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inputs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'forecast_inputs'!$A$1:$Y$25</definedName>
    <definedName name="_xlnm._FilterDatabase" localSheetId="1" hidden="1">'formula_catalog'!$A$1:$C$9</definedName>
    <definedName name="_xlnm._FilterDatabase" localSheetId="2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2" customWidth="1" min="4" max="4"/>
    <col width="21" customWidth="1" min="5" max="5"/>
    <col width="18" customWidth="1" min="6" max="6"/>
    <col width="20" customWidth="1" min="7" max="7"/>
    <col width="23" customWidth="1" min="8" max="8"/>
    <col width="16" customWidth="1" min="9" max="9"/>
    <col width="12" customWidth="1" min="10" max="10"/>
    <col width="23" customWidth="1" min="11" max="11"/>
    <col width="29" customWidth="1" min="12" max="12"/>
    <col width="27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9" customWidth="1" min="19" max="19"/>
    <col width="12" customWidth="1" min="20" max="20"/>
    <col width="46" customWidth="1" min="21" max="21"/>
    <col width="46" customWidth="1" min="22" max="22"/>
    <col width="16" customWidth="1" min="23" max="23"/>
    <col width="27" customWidth="1" min="24" max="24"/>
    <col width="70" customWidth="1" min="25" max="25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product</t>
        </is>
      </c>
      <c r="E1" s="1" t="inlineStr">
        <is>
          <t>source_index_period</t>
        </is>
      </c>
      <c r="F1" s="1" t="inlineStr">
        <is>
          <t>low_index_type</t>
        </is>
      </c>
      <c r="G1" s="1" t="inlineStr">
        <is>
          <t>low_index</t>
        </is>
      </c>
      <c r="H1" s="1" t="inlineStr">
        <is>
          <t>low_index_source_cell</t>
        </is>
      </c>
      <c r="I1" s="1" t="inlineStr">
        <is>
          <t>mid_index_type</t>
        </is>
      </c>
      <c r="J1" s="1" t="inlineStr">
        <is>
          <t>mid_index</t>
        </is>
      </c>
      <c r="K1" s="1" t="inlineStr">
        <is>
          <t>mid_index_source_cell</t>
        </is>
      </c>
      <c r="L1" s="1" t="inlineStr">
        <is>
          <t>mid_missing_fallback_to_low</t>
        </is>
      </c>
      <c r="M1" s="1" t="inlineStr">
        <is>
          <t>effective_mid_index</t>
        </is>
      </c>
      <c r="N1" s="1" t="inlineStr">
        <is>
          <t>discount</t>
        </is>
      </c>
      <c r="O1" s="1" t="inlineStr">
        <is>
          <t>freight</t>
        </is>
      </c>
      <c r="P1" s="1" t="inlineStr">
        <is>
          <t>importation</t>
        </is>
      </c>
      <c r="Q1" s="1" t="inlineStr">
        <is>
          <t>import_tax</t>
        </is>
      </c>
      <c r="R1" s="1" t="inlineStr">
        <is>
          <t>surcharge</t>
        </is>
      </c>
      <c r="S1" s="1" t="inlineStr">
        <is>
          <t>indorama_discount</t>
        </is>
      </c>
      <c r="T1" s="1" t="inlineStr">
        <is>
          <t>ptax</t>
        </is>
      </c>
      <c r="U1" s="1" t="inlineStr">
        <is>
          <t>resin_with_assumptions</t>
        </is>
      </c>
      <c r="V1" s="1" t="inlineStr">
        <is>
          <t>total_vpet_usd</t>
        </is>
      </c>
      <c r="W1" s="1" t="inlineStr">
        <is>
          <t>total_vpet_brl</t>
        </is>
      </c>
      <c r="X1" s="1" t="inlineStr">
        <is>
          <t>latest_actual_period_used</t>
        </is>
      </c>
      <c r="Y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VMG11</t>
        </is>
      </c>
      <c r="E2" t="inlineStr">
        <is>
          <t>April 2026</t>
        </is>
      </c>
      <c r="F2" t="inlineStr">
        <is>
          <t>ICIS Asia SE Low</t>
        </is>
      </c>
      <c r="G2" s="2" t="n">
        <v>1287.5</v>
      </c>
      <c r="H2" t="inlineStr">
        <is>
          <t>C29</t>
        </is>
      </c>
      <c r="I2" t="inlineStr">
        <is>
          <t>ICIS China Mid</t>
        </is>
      </c>
      <c r="J2" s="2" t="n">
        <v>1191.9</v>
      </c>
      <c r="K2" t="inlineStr">
        <is>
          <t>D29</t>
        </is>
      </c>
      <c r="L2" t="inlineStr">
        <is>
          <t>No</t>
        </is>
      </c>
      <c r="M2" s="3">
        <f>IF(ISBLANK(J2),G2,J2)</f>
        <v/>
      </c>
      <c r="N2" s="2" t="n">
        <v>0.01</v>
      </c>
      <c r="O2" s="2" t="n">
        <v>91.33</v>
      </c>
      <c r="P2" s="2" t="n">
        <v>0.06</v>
      </c>
      <c r="Q2" s="2" t="n">
        <v>0.2</v>
      </c>
      <c r="R2" s="2" t="n">
        <v>85</v>
      </c>
      <c r="S2" s="2" t="n">
        <v>-25</v>
      </c>
      <c r="T2" s="2" t="n">
        <v>5.2316</v>
      </c>
      <c r="U2" s="3">
        <f>IF(G2&gt;M2,M2,IF((M2-G2)&gt;75,M2-75,G2))</f>
        <v/>
      </c>
      <c r="V2" s="3">
        <f>(((U2*(1-N2))+O2)*(1+(P2+Q2)))+R2+S2</f>
        <v/>
      </c>
      <c r="W2" s="3">
        <f>V2*T2</f>
        <v/>
      </c>
      <c r="X2" t="inlineStr">
        <is>
          <t>April 2026</t>
        </is>
      </c>
      <c r="Y2" t="inlineStr">
        <is>
          <t>Update yellow/input values before rerunning forecast if business provides new assumptions.</t>
        </is>
      </c>
    </row>
    <row r="3">
      <c r="A3" t="inlineStr">
        <is>
          <t>June 2026</t>
        </is>
      </c>
      <c r="B3" t="n">
        <v>2026</v>
      </c>
      <c r="C3" t="n">
        <v>6</v>
      </c>
      <c r="D3" t="inlineStr">
        <is>
          <t>VMG11</t>
        </is>
      </c>
      <c r="E3" t="inlineStr">
        <is>
          <t>May 2026</t>
        </is>
      </c>
      <c r="F3" t="inlineStr">
        <is>
          <t>ICIS Asia SE Low</t>
        </is>
      </c>
      <c r="G3" s="2" t="n">
        <v>1344.987363100253</v>
      </c>
      <c r="H3" t="inlineStr">
        <is>
          <t>C30</t>
        </is>
      </c>
      <c r="I3" t="inlineStr">
        <is>
          <t>ICIS China Mid</t>
        </is>
      </c>
      <c r="J3" s="2" t="n"/>
      <c r="L3" t="inlineStr">
        <is>
          <t>Yes</t>
        </is>
      </c>
      <c r="M3" s="3">
        <f>IF(ISBLANK(J3),G3,J3)</f>
        <v/>
      </c>
      <c r="N3" s="2" t="n">
        <v>0.01</v>
      </c>
      <c r="O3" s="2" t="n">
        <v>91.33</v>
      </c>
      <c r="P3" s="2" t="n">
        <v>0.06</v>
      </c>
      <c r="Q3" s="2" t="n">
        <v>0.2</v>
      </c>
      <c r="R3" s="2" t="n">
        <v>85</v>
      </c>
      <c r="S3" s="2" t="n">
        <v>-25</v>
      </c>
      <c r="T3" s="2" t="n">
        <v>5.2316</v>
      </c>
      <c r="U3" s="3">
        <f>IF(G3&gt;M3,M3,IF((M3-G3)&gt;75,M3-75,G3))</f>
        <v/>
      </c>
      <c r="V3" s="3">
        <f>(((U3*(1-N3))+O3)*(1+(P3+Q3)))+R3+S3</f>
        <v/>
      </c>
      <c r="W3" s="3">
        <f>V3*T3</f>
        <v/>
      </c>
      <c r="X3" t="inlineStr">
        <is>
          <t>April 2026</t>
        </is>
      </c>
      <c r="Y3" t="inlineStr">
        <is>
          <t>Update yellow/input values before rerunning forecast if business provides new assumptions.</t>
        </is>
      </c>
    </row>
    <row r="4">
      <c r="A4" t="inlineStr">
        <is>
          <t>July 2026</t>
        </is>
      </c>
      <c r="B4" t="n">
        <v>2026</v>
      </c>
      <c r="C4" t="n">
        <v>7</v>
      </c>
      <c r="D4" t="inlineStr">
        <is>
          <t>VMG11</t>
        </is>
      </c>
      <c r="E4" t="inlineStr">
        <is>
          <t>June 2026</t>
        </is>
      </c>
      <c r="F4" t="inlineStr">
        <is>
          <t>ICIS Asia SE Low</t>
        </is>
      </c>
      <c r="G4" s="2" t="n">
        <v>1438.288288288288</v>
      </c>
      <c r="H4" t="inlineStr">
        <is>
          <t>C31</t>
        </is>
      </c>
      <c r="I4" t="inlineStr">
        <is>
          <t>ICIS China Mid</t>
        </is>
      </c>
      <c r="J4" s="2" t="n"/>
      <c r="L4" t="inlineStr">
        <is>
          <t>Yes</t>
        </is>
      </c>
      <c r="M4" s="3">
        <f>IF(ISBLANK(J4),G4,J4)</f>
        <v/>
      </c>
      <c r="N4" s="2" t="n">
        <v>0.01</v>
      </c>
      <c r="O4" s="2" t="n">
        <v>91.33</v>
      </c>
      <c r="P4" s="2" t="n">
        <v>0.06</v>
      </c>
      <c r="Q4" s="2" t="n">
        <v>0.2</v>
      </c>
      <c r="R4" s="2" t="n">
        <v>85</v>
      </c>
      <c r="S4" s="2" t="n">
        <v>-25</v>
      </c>
      <c r="T4" s="2" t="n">
        <v>5.2316</v>
      </c>
      <c r="U4" s="3">
        <f>IF(G4&gt;M4,M4,IF((M4-G4)&gt;75,M4-75,G4))</f>
        <v/>
      </c>
      <c r="V4" s="3">
        <f>(((U4*(1-N4))+O4)*(1+(P4+Q4)))+R4+S4</f>
        <v/>
      </c>
      <c r="W4" s="3">
        <f>V4*T4</f>
        <v/>
      </c>
      <c r="X4" t="inlineStr">
        <is>
          <t>April 2026</t>
        </is>
      </c>
      <c r="Y4" t="inlineStr">
        <is>
          <t>Update yellow/input values before rerunning forecast if business provides new assumptions.</t>
        </is>
      </c>
    </row>
    <row r="5">
      <c r="A5" t="inlineStr">
        <is>
          <t>August 2026</t>
        </is>
      </c>
      <c r="B5" t="n">
        <v>2026</v>
      </c>
      <c r="C5" t="n">
        <v>8</v>
      </c>
      <c r="D5" t="inlineStr">
        <is>
          <t>VMG11</t>
        </is>
      </c>
      <c r="E5" t="inlineStr">
        <is>
          <t>July 2026</t>
        </is>
      </c>
      <c r="F5" t="inlineStr">
        <is>
          <t>ICIS Asia SE Low</t>
        </is>
      </c>
      <c r="G5" s="2" t="n">
        <v>1527.751196172249</v>
      </c>
      <c r="H5" t="inlineStr">
        <is>
          <t>C32</t>
        </is>
      </c>
      <c r="I5" t="inlineStr">
        <is>
          <t>ICIS China Mid</t>
        </is>
      </c>
      <c r="J5" s="2" t="n"/>
      <c r="L5" t="inlineStr">
        <is>
          <t>Yes</t>
        </is>
      </c>
      <c r="M5" s="3">
        <f>IF(ISBLANK(J5),G5,J5)</f>
        <v/>
      </c>
      <c r="N5" s="2" t="n">
        <v>0.01</v>
      </c>
      <c r="O5" s="2" t="n">
        <v>91.33</v>
      </c>
      <c r="P5" s="2" t="n">
        <v>0.06</v>
      </c>
      <c r="Q5" s="2" t="n">
        <v>0.2</v>
      </c>
      <c r="R5" s="2" t="n">
        <v>85</v>
      </c>
      <c r="S5" s="2" t="n">
        <v>-25</v>
      </c>
      <c r="T5" s="2" t="n">
        <v>5.2316</v>
      </c>
      <c r="U5" s="3">
        <f>IF(G5&gt;M5,M5,IF((M5-G5)&gt;75,M5-75,G5))</f>
        <v/>
      </c>
      <c r="V5" s="3">
        <f>(((U5*(1-N5))+O5)*(1+(P5+Q5)))+R5+S5</f>
        <v/>
      </c>
      <c r="W5" s="3">
        <f>V5*T5</f>
        <v/>
      </c>
      <c r="X5" t="inlineStr">
        <is>
          <t>April 2026</t>
        </is>
      </c>
      <c r="Y5" t="inlineStr">
        <is>
          <t>Update yellow/input values before rerunning forecast if business provides new assumptions.</t>
        </is>
      </c>
    </row>
    <row r="6">
      <c r="A6" t="inlineStr">
        <is>
          <t>September 2026</t>
        </is>
      </c>
      <c r="B6" t="n">
        <v>2026</v>
      </c>
      <c r="C6" t="n">
        <v>9</v>
      </c>
      <c r="D6" t="inlineStr">
        <is>
          <t>VMG11</t>
        </is>
      </c>
      <c r="E6" t="inlineStr">
        <is>
          <t>August 2026</t>
        </is>
      </c>
      <c r="F6" t="inlineStr">
        <is>
          <t>ICIS Asia SE Low</t>
        </is>
      </c>
      <c r="G6" s="2" t="n">
        <v>1644.181256436663</v>
      </c>
      <c r="H6" t="inlineStr">
        <is>
          <t>C33</t>
        </is>
      </c>
      <c r="I6" t="inlineStr">
        <is>
          <t>ICIS China Mid</t>
        </is>
      </c>
      <c r="J6" s="2" t="n"/>
      <c r="L6" t="inlineStr">
        <is>
          <t>Yes</t>
        </is>
      </c>
      <c r="M6" s="3">
        <f>IF(ISBLANK(J6),G6,J6)</f>
        <v/>
      </c>
      <c r="N6" s="2" t="n">
        <v>0.01</v>
      </c>
      <c r="O6" s="2" t="n">
        <v>91.33</v>
      </c>
      <c r="P6" s="2" t="n">
        <v>0.06</v>
      </c>
      <c r="Q6" s="2" t="n">
        <v>0.2</v>
      </c>
      <c r="R6" s="2" t="n">
        <v>85</v>
      </c>
      <c r="S6" s="2" t="n">
        <v>-25</v>
      </c>
      <c r="T6" s="2" t="n">
        <v>5.2316</v>
      </c>
      <c r="U6" s="3">
        <f>IF(G6&gt;M6,M6,IF((M6-G6)&gt;75,M6-75,G6))</f>
        <v/>
      </c>
      <c r="V6" s="3">
        <f>(((U6*(1-N6))+O6)*(1+(P6+Q6)))+R6+S6</f>
        <v/>
      </c>
      <c r="W6" s="3">
        <f>V6*T6</f>
        <v/>
      </c>
      <c r="X6" t="inlineStr">
        <is>
          <t>April 2026</t>
        </is>
      </c>
      <c r="Y6" t="inlineStr">
        <is>
          <t>Update yellow/input values before rerunning forecast if business provides new assumptions.</t>
        </is>
      </c>
    </row>
    <row r="7">
      <c r="A7" t="inlineStr">
        <is>
          <t>October 2026</t>
        </is>
      </c>
      <c r="B7" t="n">
        <v>2026</v>
      </c>
      <c r="C7" t="n">
        <v>10</v>
      </c>
      <c r="D7" t="inlineStr">
        <is>
          <t>VMG11</t>
        </is>
      </c>
      <c r="E7" t="inlineStr">
        <is>
          <t>September 2026</t>
        </is>
      </c>
      <c r="F7" t="inlineStr">
        <is>
          <t>ICIS Asia SE Low</t>
        </is>
      </c>
      <c r="G7" s="2" t="n">
        <v>1733.441910966341</v>
      </c>
      <c r="H7" t="inlineStr">
        <is>
          <t>C34</t>
        </is>
      </c>
      <c r="I7" t="inlineStr">
        <is>
          <t>ICIS China Mid</t>
        </is>
      </c>
      <c r="J7" s="2" t="n"/>
      <c r="L7" t="inlineStr">
        <is>
          <t>Yes</t>
        </is>
      </c>
      <c r="M7" s="3">
        <f>IF(ISBLANK(J7),G7,J7)</f>
        <v/>
      </c>
      <c r="N7" s="2" t="n">
        <v>0.01</v>
      </c>
      <c r="O7" s="2" t="n">
        <v>91.33</v>
      </c>
      <c r="P7" s="2" t="n">
        <v>0.06</v>
      </c>
      <c r="Q7" s="2" t="n">
        <v>0.2</v>
      </c>
      <c r="R7" s="2" t="n">
        <v>85</v>
      </c>
      <c r="S7" s="2" t="n">
        <v>-25</v>
      </c>
      <c r="T7" s="2" t="n">
        <v>5.2316</v>
      </c>
      <c r="U7" s="3">
        <f>IF(G7&gt;M7,M7,IF((M7-G7)&gt;75,M7-75,G7))</f>
        <v/>
      </c>
      <c r="V7" s="3">
        <f>(((U7*(1-N7))+O7)*(1+(P7+Q7)))+R7+S7</f>
        <v/>
      </c>
      <c r="W7" s="3">
        <f>V7*T7</f>
        <v/>
      </c>
      <c r="X7" t="inlineStr">
        <is>
          <t>April 2026</t>
        </is>
      </c>
      <c r="Y7" t="inlineStr">
        <is>
          <t>Update yellow/input values before rerunning forecast if business provides new assumptions.</t>
        </is>
      </c>
    </row>
    <row r="8">
      <c r="A8" t="inlineStr">
        <is>
          <t>November 2026</t>
        </is>
      </c>
      <c r="B8" t="n">
        <v>2026</v>
      </c>
      <c r="C8" t="n">
        <v>11</v>
      </c>
      <c r="D8" t="inlineStr">
        <is>
          <t>VMG11</t>
        </is>
      </c>
      <c r="E8" t="inlineStr">
        <is>
          <t>October 2026</t>
        </is>
      </c>
      <c r="F8" t="inlineStr">
        <is>
          <t>ICIS Asia SE Low</t>
        </is>
      </c>
      <c r="G8" s="2" t="n">
        <v>1773.888888888889</v>
      </c>
      <c r="H8" t="inlineStr">
        <is>
          <t>C35</t>
        </is>
      </c>
      <c r="I8" t="inlineStr">
        <is>
          <t>ICIS China Mid</t>
        </is>
      </c>
      <c r="J8" s="2" t="n"/>
      <c r="L8" t="inlineStr">
        <is>
          <t>Yes</t>
        </is>
      </c>
      <c r="M8" s="3">
        <f>IF(ISBLANK(J8),G8,J8)</f>
        <v/>
      </c>
      <c r="N8" s="2" t="n">
        <v>0.01</v>
      </c>
      <c r="O8" s="2" t="n">
        <v>91.33</v>
      </c>
      <c r="P8" s="2" t="n">
        <v>0.06</v>
      </c>
      <c r="Q8" s="2" t="n">
        <v>0.2</v>
      </c>
      <c r="R8" s="2" t="n">
        <v>85</v>
      </c>
      <c r="S8" s="2" t="n">
        <v>-25</v>
      </c>
      <c r="T8" s="2" t="n">
        <v>5.2316</v>
      </c>
      <c r="U8" s="3">
        <f>IF(G8&gt;M8,M8,IF((M8-G8)&gt;75,M8-75,G8))</f>
        <v/>
      </c>
      <c r="V8" s="3">
        <f>(((U8*(1-N8))+O8)*(1+(P8+Q8)))+R8+S8</f>
        <v/>
      </c>
      <c r="W8" s="3">
        <f>V8*T8</f>
        <v/>
      </c>
      <c r="X8" t="inlineStr">
        <is>
          <t>April 2026</t>
        </is>
      </c>
      <c r="Y8" t="inlineStr">
        <is>
          <t>Update yellow/input values before rerunning forecast if business provides new assumptions.</t>
        </is>
      </c>
    </row>
    <row r="9">
      <c r="A9" t="inlineStr">
        <is>
          <t>December 2026</t>
        </is>
      </c>
      <c r="B9" t="n">
        <v>2026</v>
      </c>
      <c r="C9" t="n">
        <v>12</v>
      </c>
      <c r="D9" t="inlineStr">
        <is>
          <t>VMG11</t>
        </is>
      </c>
      <c r="E9" t="inlineStr">
        <is>
          <t>November 2026</t>
        </is>
      </c>
      <c r="F9" t="inlineStr">
        <is>
          <t>ICIS Asia SE Low</t>
        </is>
      </c>
      <c r="G9" s="2" t="n">
        <v>1824.571428571428</v>
      </c>
      <c r="H9" t="inlineStr">
        <is>
          <t>C36</t>
        </is>
      </c>
      <c r="I9" t="inlineStr">
        <is>
          <t>ICIS China Mid</t>
        </is>
      </c>
      <c r="J9" s="2" t="n"/>
      <c r="L9" t="inlineStr">
        <is>
          <t>Yes</t>
        </is>
      </c>
      <c r="M9" s="3">
        <f>IF(ISBLANK(J9),G9,J9)</f>
        <v/>
      </c>
      <c r="N9" s="2" t="n">
        <v>0.01</v>
      </c>
      <c r="O9" s="2" t="n">
        <v>91.33</v>
      </c>
      <c r="P9" s="2" t="n">
        <v>0.06</v>
      </c>
      <c r="Q9" s="2" t="n">
        <v>0.2</v>
      </c>
      <c r="R9" s="2" t="n">
        <v>85</v>
      </c>
      <c r="S9" s="2" t="n">
        <v>-25</v>
      </c>
      <c r="T9" s="2" t="n">
        <v>5.2316</v>
      </c>
      <c r="U9" s="3">
        <f>IF(G9&gt;M9,M9,IF((M9-G9)&gt;75,M9-75,G9))</f>
        <v/>
      </c>
      <c r="V9" s="3">
        <f>(((U9*(1-N9))+O9)*(1+(P9+Q9)))+R9+S9</f>
        <v/>
      </c>
      <c r="W9" s="3">
        <f>V9*T9</f>
        <v/>
      </c>
      <c r="X9" t="inlineStr">
        <is>
          <t>April 2026</t>
        </is>
      </c>
      <c r="Y9" t="inlineStr">
        <is>
          <t>Update yellow/input values before rerunning forecast if business provides new assumptions.</t>
        </is>
      </c>
    </row>
    <row r="10">
      <c r="A10" t="inlineStr">
        <is>
          <t>May 2026</t>
        </is>
      </c>
      <c r="B10" t="n">
        <v>2026</v>
      </c>
      <c r="C10" t="n">
        <v>5</v>
      </c>
      <c r="D10" t="inlineStr">
        <is>
          <t>VPE1</t>
        </is>
      </c>
      <c r="E10" t="inlineStr">
        <is>
          <t>April 2026</t>
        </is>
      </c>
      <c r="F10" t="inlineStr">
        <is>
          <t>ICIS Asia SE Low</t>
        </is>
      </c>
      <c r="G10" s="2" t="n">
        <v>1287.5</v>
      </c>
      <c r="H10" t="inlineStr">
        <is>
          <t>C29</t>
        </is>
      </c>
      <c r="I10" t="inlineStr">
        <is>
          <t>ICIS China Mid</t>
        </is>
      </c>
      <c r="J10" s="2" t="n">
        <v>1191.9</v>
      </c>
      <c r="K10" t="inlineStr">
        <is>
          <t>D29</t>
        </is>
      </c>
      <c r="L10" t="inlineStr">
        <is>
          <t>No</t>
        </is>
      </c>
      <c r="M10" s="3">
        <f>IF(ISBLANK(J10),G10,J10)</f>
        <v/>
      </c>
      <c r="N10" s="2" t="n">
        <v>0.04</v>
      </c>
      <c r="O10" s="2" t="n">
        <v>91.33</v>
      </c>
      <c r="P10" s="2" t="n">
        <v>0.06</v>
      </c>
      <c r="Q10" s="2" t="n">
        <v>0.2</v>
      </c>
      <c r="R10" s="2" t="n">
        <v>85</v>
      </c>
      <c r="S10" s="2" t="n">
        <v>-25</v>
      </c>
      <c r="T10" s="2" t="n">
        <v>5.2316</v>
      </c>
      <c r="U10" s="3">
        <f>IF(G10&gt;M10,M10,IF((M10-G10)&gt;75,M10-75,G10))</f>
        <v/>
      </c>
      <c r="V10" s="3">
        <f>(((U10*(1-N10))+O10)*(1+(P10+Q10)))+R10+S10</f>
        <v/>
      </c>
      <c r="W10" s="3">
        <f>V10*T10</f>
        <v/>
      </c>
      <c r="X10" t="inlineStr">
        <is>
          <t>April 2026</t>
        </is>
      </c>
      <c r="Y10" t="inlineStr">
        <is>
          <t>Update yellow/input values before rerunning forecast if business provides new assumptions.</t>
        </is>
      </c>
    </row>
    <row r="11">
      <c r="A11" t="inlineStr">
        <is>
          <t>June 2026</t>
        </is>
      </c>
      <c r="B11" t="n">
        <v>2026</v>
      </c>
      <c r="C11" t="n">
        <v>6</v>
      </c>
      <c r="D11" t="inlineStr">
        <is>
          <t>VPE1</t>
        </is>
      </c>
      <c r="E11" t="inlineStr">
        <is>
          <t>May 2026</t>
        </is>
      </c>
      <c r="F11" t="inlineStr">
        <is>
          <t>ICIS Asia SE Low</t>
        </is>
      </c>
      <c r="G11" s="2" t="n">
        <v>1344.987363100253</v>
      </c>
      <c r="H11" t="inlineStr">
        <is>
          <t>C30</t>
        </is>
      </c>
      <c r="I11" t="inlineStr">
        <is>
          <t>ICIS China Mid</t>
        </is>
      </c>
      <c r="J11" s="2" t="n"/>
      <c r="L11" t="inlineStr">
        <is>
          <t>Yes</t>
        </is>
      </c>
      <c r="M11" s="3">
        <f>IF(ISBLANK(J11),G11,J11)</f>
        <v/>
      </c>
      <c r="N11" s="2" t="n">
        <v>0.04</v>
      </c>
      <c r="O11" s="2" t="n">
        <v>91.33</v>
      </c>
      <c r="P11" s="2" t="n">
        <v>0.06</v>
      </c>
      <c r="Q11" s="2" t="n">
        <v>0.2</v>
      </c>
      <c r="R11" s="2" t="n">
        <v>85</v>
      </c>
      <c r="S11" s="2" t="n">
        <v>-25</v>
      </c>
      <c r="T11" s="2" t="n">
        <v>5.2316</v>
      </c>
      <c r="U11" s="3">
        <f>IF(G11&gt;M11,M11,IF((M11-G11)&gt;75,M11-75,G11))</f>
        <v/>
      </c>
      <c r="V11" s="3">
        <f>(((U11*(1-N11))+O11)*(1+(P11+Q11)))+R11+S11</f>
        <v/>
      </c>
      <c r="W11" s="3">
        <f>V11*T11</f>
        <v/>
      </c>
      <c r="X11" t="inlineStr">
        <is>
          <t>April 2026</t>
        </is>
      </c>
      <c r="Y11" t="inlineStr">
        <is>
          <t>Update yellow/input values before rerunning forecast if business provides new assumptions.</t>
        </is>
      </c>
    </row>
    <row r="12">
      <c r="A12" t="inlineStr">
        <is>
          <t>July 2026</t>
        </is>
      </c>
      <c r="B12" t="n">
        <v>2026</v>
      </c>
      <c r="C12" t="n">
        <v>7</v>
      </c>
      <c r="D12" t="inlineStr">
        <is>
          <t>VPE1</t>
        </is>
      </c>
      <c r="E12" t="inlineStr">
        <is>
          <t>June 2026</t>
        </is>
      </c>
      <c r="F12" t="inlineStr">
        <is>
          <t>ICIS Asia SE Low</t>
        </is>
      </c>
      <c r="G12" s="2" t="n">
        <v>1438.288288288288</v>
      </c>
      <c r="H12" t="inlineStr">
        <is>
          <t>C31</t>
        </is>
      </c>
      <c r="I12" t="inlineStr">
        <is>
          <t>ICIS China Mid</t>
        </is>
      </c>
      <c r="J12" s="2" t="n"/>
      <c r="L12" t="inlineStr">
        <is>
          <t>Yes</t>
        </is>
      </c>
      <c r="M12" s="3">
        <f>IF(ISBLANK(J12),G12,J12)</f>
        <v/>
      </c>
      <c r="N12" s="2" t="n">
        <v>0.04</v>
      </c>
      <c r="O12" s="2" t="n">
        <v>91.33</v>
      </c>
      <c r="P12" s="2" t="n">
        <v>0.06</v>
      </c>
      <c r="Q12" s="2" t="n">
        <v>0.2</v>
      </c>
      <c r="R12" s="2" t="n">
        <v>85</v>
      </c>
      <c r="S12" s="2" t="n">
        <v>-25</v>
      </c>
      <c r="T12" s="2" t="n">
        <v>5.2316</v>
      </c>
      <c r="U12" s="3">
        <f>IF(G12&gt;M12,M12,IF((M12-G12)&gt;75,M12-75,G12))</f>
        <v/>
      </c>
      <c r="V12" s="3">
        <f>(((U12*(1-N12))+O12)*(1+(P12+Q12)))+R12+S12</f>
        <v/>
      </c>
      <c r="W12" s="3">
        <f>V12*T12</f>
        <v/>
      </c>
      <c r="X12" t="inlineStr">
        <is>
          <t>April 2026</t>
        </is>
      </c>
      <c r="Y12" t="inlineStr">
        <is>
          <t>Update yellow/input values before rerunning forecast if business provides new assumptions.</t>
        </is>
      </c>
    </row>
    <row r="13">
      <c r="A13" t="inlineStr">
        <is>
          <t>August 2026</t>
        </is>
      </c>
      <c r="B13" t="n">
        <v>2026</v>
      </c>
      <c r="C13" t="n">
        <v>8</v>
      </c>
      <c r="D13" t="inlineStr">
        <is>
          <t>VPE1</t>
        </is>
      </c>
      <c r="E13" t="inlineStr">
        <is>
          <t>July 2026</t>
        </is>
      </c>
      <c r="F13" t="inlineStr">
        <is>
          <t>ICIS Asia SE Low</t>
        </is>
      </c>
      <c r="G13" s="2" t="n">
        <v>1527.751196172249</v>
      </c>
      <c r="H13" t="inlineStr">
        <is>
          <t>C32</t>
        </is>
      </c>
      <c r="I13" t="inlineStr">
        <is>
          <t>ICIS China Mid</t>
        </is>
      </c>
      <c r="J13" s="2" t="n"/>
      <c r="L13" t="inlineStr">
        <is>
          <t>Yes</t>
        </is>
      </c>
      <c r="M13" s="3">
        <f>IF(ISBLANK(J13),G13,J13)</f>
        <v/>
      </c>
      <c r="N13" s="2" t="n">
        <v>0.04</v>
      </c>
      <c r="O13" s="2" t="n">
        <v>91.33</v>
      </c>
      <c r="P13" s="2" t="n">
        <v>0.06</v>
      </c>
      <c r="Q13" s="2" t="n">
        <v>0.2</v>
      </c>
      <c r="R13" s="2" t="n">
        <v>85</v>
      </c>
      <c r="S13" s="2" t="n">
        <v>-25</v>
      </c>
      <c r="T13" s="2" t="n">
        <v>5.2316</v>
      </c>
      <c r="U13" s="3">
        <f>IF(G13&gt;M13,M13,IF((M13-G13)&gt;75,M13-75,G13))</f>
        <v/>
      </c>
      <c r="V13" s="3">
        <f>(((U13*(1-N13))+O13)*(1+(P13+Q13)))+R13+S13</f>
        <v/>
      </c>
      <c r="W13" s="3">
        <f>V13*T13</f>
        <v/>
      </c>
      <c r="X13" t="inlineStr">
        <is>
          <t>April 2026</t>
        </is>
      </c>
      <c r="Y13" t="inlineStr">
        <is>
          <t>Update yellow/input values before rerunning forecast if business provides new assumptions.</t>
        </is>
      </c>
    </row>
    <row r="14">
      <c r="A14" t="inlineStr">
        <is>
          <t>September 2026</t>
        </is>
      </c>
      <c r="B14" t="n">
        <v>2026</v>
      </c>
      <c r="C14" t="n">
        <v>9</v>
      </c>
      <c r="D14" t="inlineStr">
        <is>
          <t>VPE1</t>
        </is>
      </c>
      <c r="E14" t="inlineStr">
        <is>
          <t>August 2026</t>
        </is>
      </c>
      <c r="F14" t="inlineStr">
        <is>
          <t>ICIS Asia SE Low</t>
        </is>
      </c>
      <c r="G14" s="2" t="n">
        <v>1644.181256436663</v>
      </c>
      <c r="H14" t="inlineStr">
        <is>
          <t>C33</t>
        </is>
      </c>
      <c r="I14" t="inlineStr">
        <is>
          <t>ICIS China Mid</t>
        </is>
      </c>
      <c r="J14" s="2" t="n"/>
      <c r="L14" t="inlineStr">
        <is>
          <t>Yes</t>
        </is>
      </c>
      <c r="M14" s="3">
        <f>IF(ISBLANK(J14),G14,J14)</f>
        <v/>
      </c>
      <c r="N14" s="2" t="n">
        <v>0.04</v>
      </c>
      <c r="O14" s="2" t="n">
        <v>91.33</v>
      </c>
      <c r="P14" s="2" t="n">
        <v>0.06</v>
      </c>
      <c r="Q14" s="2" t="n">
        <v>0.2</v>
      </c>
      <c r="R14" s="2" t="n">
        <v>85</v>
      </c>
      <c r="S14" s="2" t="n">
        <v>-25</v>
      </c>
      <c r="T14" s="2" t="n">
        <v>5.2316</v>
      </c>
      <c r="U14" s="3">
        <f>IF(G14&gt;M14,M14,IF((M14-G14)&gt;75,M14-75,G14))</f>
        <v/>
      </c>
      <c r="V14" s="3">
        <f>(((U14*(1-N14))+O14)*(1+(P14+Q14)))+R14+S14</f>
        <v/>
      </c>
      <c r="W14" s="3">
        <f>V14*T14</f>
        <v/>
      </c>
      <c r="X14" t="inlineStr">
        <is>
          <t>April 2026</t>
        </is>
      </c>
      <c r="Y14" t="inlineStr">
        <is>
          <t>Update yellow/input values before rerunning forecast if business provides new assumptions.</t>
        </is>
      </c>
    </row>
    <row r="15">
      <c r="A15" t="inlineStr">
        <is>
          <t>October 2026</t>
        </is>
      </c>
      <c r="B15" t="n">
        <v>2026</v>
      </c>
      <c r="C15" t="n">
        <v>10</v>
      </c>
      <c r="D15" t="inlineStr">
        <is>
          <t>VPE1</t>
        </is>
      </c>
      <c r="E15" t="inlineStr">
        <is>
          <t>September 2026</t>
        </is>
      </c>
      <c r="F15" t="inlineStr">
        <is>
          <t>ICIS Asia SE Low</t>
        </is>
      </c>
      <c r="G15" s="2" t="n">
        <v>1733.441910966341</v>
      </c>
      <c r="H15" t="inlineStr">
        <is>
          <t>C34</t>
        </is>
      </c>
      <c r="I15" t="inlineStr">
        <is>
          <t>ICIS China Mid</t>
        </is>
      </c>
      <c r="J15" s="2" t="n"/>
      <c r="L15" t="inlineStr">
        <is>
          <t>Yes</t>
        </is>
      </c>
      <c r="M15" s="3">
        <f>IF(ISBLANK(J15),G15,J15)</f>
        <v/>
      </c>
      <c r="N15" s="2" t="n">
        <v>0.04</v>
      </c>
      <c r="O15" s="2" t="n">
        <v>91.33</v>
      </c>
      <c r="P15" s="2" t="n">
        <v>0.06</v>
      </c>
      <c r="Q15" s="2" t="n">
        <v>0.2</v>
      </c>
      <c r="R15" s="2" t="n">
        <v>85</v>
      </c>
      <c r="S15" s="2" t="n">
        <v>-25</v>
      </c>
      <c r="T15" s="2" t="n">
        <v>5.2316</v>
      </c>
      <c r="U15" s="3">
        <f>IF(G15&gt;M15,M15,IF((M15-G15)&gt;75,M15-75,G15))</f>
        <v/>
      </c>
      <c r="V15" s="3">
        <f>(((U15*(1-N15))+O15)*(1+(P15+Q15)))+R15+S15</f>
        <v/>
      </c>
      <c r="W15" s="3">
        <f>V15*T15</f>
        <v/>
      </c>
      <c r="X15" t="inlineStr">
        <is>
          <t>April 2026</t>
        </is>
      </c>
      <c r="Y15" t="inlineStr">
        <is>
          <t>Update yellow/input values before rerunning forecast if business provides new assumptions.</t>
        </is>
      </c>
    </row>
    <row r="16">
      <c r="A16" t="inlineStr">
        <is>
          <t>November 2026</t>
        </is>
      </c>
      <c r="B16" t="n">
        <v>2026</v>
      </c>
      <c r="C16" t="n">
        <v>11</v>
      </c>
      <c r="D16" t="inlineStr">
        <is>
          <t>VPE1</t>
        </is>
      </c>
      <c r="E16" t="inlineStr">
        <is>
          <t>October 2026</t>
        </is>
      </c>
      <c r="F16" t="inlineStr">
        <is>
          <t>ICIS Asia SE Low</t>
        </is>
      </c>
      <c r="G16" s="2" t="n">
        <v>1773.888888888889</v>
      </c>
      <c r="H16" t="inlineStr">
        <is>
          <t>C35</t>
        </is>
      </c>
      <c r="I16" t="inlineStr">
        <is>
          <t>ICIS China Mid</t>
        </is>
      </c>
      <c r="J16" s="2" t="n"/>
      <c r="L16" t="inlineStr">
        <is>
          <t>Yes</t>
        </is>
      </c>
      <c r="M16" s="3">
        <f>IF(ISBLANK(J16),G16,J16)</f>
        <v/>
      </c>
      <c r="N16" s="2" t="n">
        <v>0.04</v>
      </c>
      <c r="O16" s="2" t="n">
        <v>91.33</v>
      </c>
      <c r="P16" s="2" t="n">
        <v>0.06</v>
      </c>
      <c r="Q16" s="2" t="n">
        <v>0.2</v>
      </c>
      <c r="R16" s="2" t="n">
        <v>85</v>
      </c>
      <c r="S16" s="2" t="n">
        <v>-25</v>
      </c>
      <c r="T16" s="2" t="n">
        <v>5.2316</v>
      </c>
      <c r="U16" s="3">
        <f>IF(G16&gt;M16,M16,IF((M16-G16)&gt;75,M16-75,G16))</f>
        <v/>
      </c>
      <c r="V16" s="3">
        <f>(((U16*(1-N16))+O16)*(1+(P16+Q16)))+R16+S16</f>
        <v/>
      </c>
      <c r="W16" s="3">
        <f>V16*T16</f>
        <v/>
      </c>
      <c r="X16" t="inlineStr">
        <is>
          <t>April 2026</t>
        </is>
      </c>
      <c r="Y16" t="inlineStr">
        <is>
          <t>Update yellow/input values before rerunning forecast if business provides new assumptions.</t>
        </is>
      </c>
    </row>
    <row r="17">
      <c r="A17" t="inlineStr">
        <is>
          <t>December 2026</t>
        </is>
      </c>
      <c r="B17" t="n">
        <v>2026</v>
      </c>
      <c r="C17" t="n">
        <v>12</v>
      </c>
      <c r="D17" t="inlineStr">
        <is>
          <t>VPE1</t>
        </is>
      </c>
      <c r="E17" t="inlineStr">
        <is>
          <t>November 2026</t>
        </is>
      </c>
      <c r="F17" t="inlineStr">
        <is>
          <t>ICIS Asia SE Low</t>
        </is>
      </c>
      <c r="G17" s="2" t="n">
        <v>1824.571428571428</v>
      </c>
      <c r="H17" t="inlineStr">
        <is>
          <t>C36</t>
        </is>
      </c>
      <c r="I17" t="inlineStr">
        <is>
          <t>ICIS China Mid</t>
        </is>
      </c>
      <c r="J17" s="2" t="n"/>
      <c r="L17" t="inlineStr">
        <is>
          <t>Yes</t>
        </is>
      </c>
      <c r="M17" s="3">
        <f>IF(ISBLANK(J17),G17,J17)</f>
        <v/>
      </c>
      <c r="N17" s="2" t="n">
        <v>0.04</v>
      </c>
      <c r="O17" s="2" t="n">
        <v>91.33</v>
      </c>
      <c r="P17" s="2" t="n">
        <v>0.06</v>
      </c>
      <c r="Q17" s="2" t="n">
        <v>0.2</v>
      </c>
      <c r="R17" s="2" t="n">
        <v>85</v>
      </c>
      <c r="S17" s="2" t="n">
        <v>-25</v>
      </c>
      <c r="T17" s="2" t="n">
        <v>5.2316</v>
      </c>
      <c r="U17" s="3">
        <f>IF(G17&gt;M17,M17,IF((M17-G17)&gt;75,M17-75,G17))</f>
        <v/>
      </c>
      <c r="V17" s="3">
        <f>(((U17*(1-N17))+O17)*(1+(P17+Q17)))+R17+S17</f>
        <v/>
      </c>
      <c r="W17" s="3">
        <f>V17*T17</f>
        <v/>
      </c>
      <c r="X17" t="inlineStr">
        <is>
          <t>April 2026</t>
        </is>
      </c>
      <c r="Y17" t="inlineStr">
        <is>
          <t>Update yellow/input values before rerunning forecast if business provides new assumptions.</t>
        </is>
      </c>
    </row>
    <row r="18">
      <c r="A18" t="inlineStr">
        <is>
          <t>May 2026</t>
        </is>
      </c>
      <c r="B18" t="n">
        <v>2026</v>
      </c>
      <c r="C18" t="n">
        <v>5</v>
      </c>
      <c r="D18" t="inlineStr">
        <is>
          <t>VRJ1</t>
        </is>
      </c>
      <c r="E18" t="inlineStr">
        <is>
          <t>April 2026</t>
        </is>
      </c>
      <c r="F18" t="inlineStr">
        <is>
          <t>ICIS Asia SE Low</t>
        </is>
      </c>
      <c r="G18" s="2" t="n">
        <v>1287.5</v>
      </c>
      <c r="H18" t="inlineStr">
        <is>
          <t>C29</t>
        </is>
      </c>
      <c r="I18" t="inlineStr">
        <is>
          <t>ICIS China Mid</t>
        </is>
      </c>
      <c r="J18" s="2" t="n">
        <v>1191.9</v>
      </c>
      <c r="K18" t="inlineStr">
        <is>
          <t>D29</t>
        </is>
      </c>
      <c r="L18" t="inlineStr">
        <is>
          <t>No</t>
        </is>
      </c>
      <c r="M18" s="3">
        <f>IF(ISBLANK(J18),G18,J18)</f>
        <v/>
      </c>
      <c r="N18" s="2" t="n">
        <v>0.025</v>
      </c>
      <c r="O18" s="2" t="n">
        <v>91.33</v>
      </c>
      <c r="P18" s="2" t="n">
        <v>0.06</v>
      </c>
      <c r="Q18" s="2" t="n">
        <v>0.2</v>
      </c>
      <c r="R18" s="2" t="n">
        <v>85</v>
      </c>
      <c r="S18" s="2" t="n">
        <v>-25</v>
      </c>
      <c r="T18" s="2" t="n">
        <v>5.2316</v>
      </c>
      <c r="U18" s="3">
        <f>IF(G18&gt;M18,M18,IF((M18-G18)&gt;75,M18-75,G18))</f>
        <v/>
      </c>
      <c r="V18" s="3">
        <f>(((U18*(1-N18))+O18)*(1+(P18+Q18)))+R18+S18</f>
        <v/>
      </c>
      <c r="W18" s="3">
        <f>V18*T18</f>
        <v/>
      </c>
      <c r="X18" t="inlineStr">
        <is>
          <t>April 2026</t>
        </is>
      </c>
      <c r="Y18" t="inlineStr">
        <is>
          <t>Update yellow/input values before rerunning forecast if business provides new assumptions.</t>
        </is>
      </c>
    </row>
    <row r="19">
      <c r="A19" t="inlineStr">
        <is>
          <t>June 2026</t>
        </is>
      </c>
      <c r="B19" t="n">
        <v>2026</v>
      </c>
      <c r="C19" t="n">
        <v>6</v>
      </c>
      <c r="D19" t="inlineStr">
        <is>
          <t>VRJ1</t>
        </is>
      </c>
      <c r="E19" t="inlineStr">
        <is>
          <t>May 2026</t>
        </is>
      </c>
      <c r="F19" t="inlineStr">
        <is>
          <t>ICIS Asia SE Low</t>
        </is>
      </c>
      <c r="G19" s="2" t="n">
        <v>1344.987363100253</v>
      </c>
      <c r="H19" t="inlineStr">
        <is>
          <t>C30</t>
        </is>
      </c>
      <c r="I19" t="inlineStr">
        <is>
          <t>ICIS China Mid</t>
        </is>
      </c>
      <c r="J19" s="2" t="n"/>
      <c r="L19" t="inlineStr">
        <is>
          <t>Yes</t>
        </is>
      </c>
      <c r="M19" s="3">
        <f>IF(ISBLANK(J19),G19,J19)</f>
        <v/>
      </c>
      <c r="N19" s="2" t="n">
        <v>0.025</v>
      </c>
      <c r="O19" s="2" t="n">
        <v>91.33</v>
      </c>
      <c r="P19" s="2" t="n">
        <v>0.06</v>
      </c>
      <c r="Q19" s="2" t="n">
        <v>0.2</v>
      </c>
      <c r="R19" s="2" t="n">
        <v>85</v>
      </c>
      <c r="S19" s="2" t="n">
        <v>-25</v>
      </c>
      <c r="T19" s="2" t="n">
        <v>5.2316</v>
      </c>
      <c r="U19" s="3">
        <f>IF(G19&gt;M19,M19,IF((M19-G19)&gt;75,M19-75,G19))</f>
        <v/>
      </c>
      <c r="V19" s="3">
        <f>(((U19*(1-N19))+O19)*(1+(P19+Q19)))+R19+S19</f>
        <v/>
      </c>
      <c r="W19" s="3">
        <f>V19*T19</f>
        <v/>
      </c>
      <c r="X19" t="inlineStr">
        <is>
          <t>April 2026</t>
        </is>
      </c>
      <c r="Y19" t="inlineStr">
        <is>
          <t>Update yellow/input values before rerunning forecast if business provides new assumptions.</t>
        </is>
      </c>
    </row>
    <row r="20">
      <c r="A20" t="inlineStr">
        <is>
          <t>July 2026</t>
        </is>
      </c>
      <c r="B20" t="n">
        <v>2026</v>
      </c>
      <c r="C20" t="n">
        <v>7</v>
      </c>
      <c r="D20" t="inlineStr">
        <is>
          <t>VRJ1</t>
        </is>
      </c>
      <c r="E20" t="inlineStr">
        <is>
          <t>June 2026</t>
        </is>
      </c>
      <c r="F20" t="inlineStr">
        <is>
          <t>ICIS Asia SE Low</t>
        </is>
      </c>
      <c r="G20" s="2" t="n">
        <v>1438.288288288288</v>
      </c>
      <c r="H20" t="inlineStr">
        <is>
          <t>C31</t>
        </is>
      </c>
      <c r="I20" t="inlineStr">
        <is>
          <t>ICIS China Mid</t>
        </is>
      </c>
      <c r="J20" s="2" t="n"/>
      <c r="L20" t="inlineStr">
        <is>
          <t>Yes</t>
        </is>
      </c>
      <c r="M20" s="3">
        <f>IF(ISBLANK(J20),G20,J20)</f>
        <v/>
      </c>
      <c r="N20" s="2" t="n">
        <v>0.025</v>
      </c>
      <c r="O20" s="2" t="n">
        <v>91.33</v>
      </c>
      <c r="P20" s="2" t="n">
        <v>0.06</v>
      </c>
      <c r="Q20" s="2" t="n">
        <v>0.2</v>
      </c>
      <c r="R20" s="2" t="n">
        <v>85</v>
      </c>
      <c r="S20" s="2" t="n">
        <v>-25</v>
      </c>
      <c r="T20" s="2" t="n">
        <v>5.2316</v>
      </c>
      <c r="U20" s="3">
        <f>IF(G20&gt;M20,M20,IF((M20-G20)&gt;75,M20-75,G20))</f>
        <v/>
      </c>
      <c r="V20" s="3">
        <f>(((U20*(1-N20))+O20)*(1+(P20+Q20)))+R20+S20</f>
        <v/>
      </c>
      <c r="W20" s="3">
        <f>V20*T20</f>
        <v/>
      </c>
      <c r="X20" t="inlineStr">
        <is>
          <t>April 2026</t>
        </is>
      </c>
      <c r="Y20" t="inlineStr">
        <is>
          <t>Update yellow/input values before rerunning forecast if business provides new assumptions.</t>
        </is>
      </c>
    </row>
    <row r="21">
      <c r="A21" t="inlineStr">
        <is>
          <t>August 2026</t>
        </is>
      </c>
      <c r="B21" t="n">
        <v>2026</v>
      </c>
      <c r="C21" t="n">
        <v>8</v>
      </c>
      <c r="D21" t="inlineStr">
        <is>
          <t>VRJ1</t>
        </is>
      </c>
      <c r="E21" t="inlineStr">
        <is>
          <t>July 2026</t>
        </is>
      </c>
      <c r="F21" t="inlineStr">
        <is>
          <t>ICIS Asia SE Low</t>
        </is>
      </c>
      <c r="G21" s="2" t="n">
        <v>1527.751196172249</v>
      </c>
      <c r="H21" t="inlineStr">
        <is>
          <t>C32</t>
        </is>
      </c>
      <c r="I21" t="inlineStr">
        <is>
          <t>ICIS China Mid</t>
        </is>
      </c>
      <c r="J21" s="2" t="n"/>
      <c r="L21" t="inlineStr">
        <is>
          <t>Yes</t>
        </is>
      </c>
      <c r="M21" s="3">
        <f>IF(ISBLANK(J21),G21,J21)</f>
        <v/>
      </c>
      <c r="N21" s="2" t="n">
        <v>0.025</v>
      </c>
      <c r="O21" s="2" t="n">
        <v>91.33</v>
      </c>
      <c r="P21" s="2" t="n">
        <v>0.06</v>
      </c>
      <c r="Q21" s="2" t="n">
        <v>0.2</v>
      </c>
      <c r="R21" s="2" t="n">
        <v>85</v>
      </c>
      <c r="S21" s="2" t="n">
        <v>-25</v>
      </c>
      <c r="T21" s="2" t="n">
        <v>5.2316</v>
      </c>
      <c r="U21" s="3">
        <f>IF(G21&gt;M21,M21,IF((M21-G21)&gt;75,M21-75,G21))</f>
        <v/>
      </c>
      <c r="V21" s="3">
        <f>(((U21*(1-N21))+O21)*(1+(P21+Q21)))+R21+S21</f>
        <v/>
      </c>
      <c r="W21" s="3">
        <f>V21*T21</f>
        <v/>
      </c>
      <c r="X21" t="inlineStr">
        <is>
          <t>April 2026</t>
        </is>
      </c>
      <c r="Y21" t="inlineStr">
        <is>
          <t>Update yellow/input values before rerunning forecast if business provides new assumptions.</t>
        </is>
      </c>
    </row>
    <row r="22">
      <c r="A22" t="inlineStr">
        <is>
          <t>September 2026</t>
        </is>
      </c>
      <c r="B22" t="n">
        <v>2026</v>
      </c>
      <c r="C22" t="n">
        <v>9</v>
      </c>
      <c r="D22" t="inlineStr">
        <is>
          <t>VRJ1</t>
        </is>
      </c>
      <c r="E22" t="inlineStr">
        <is>
          <t>August 2026</t>
        </is>
      </c>
      <c r="F22" t="inlineStr">
        <is>
          <t>ICIS Asia SE Low</t>
        </is>
      </c>
      <c r="G22" s="2" t="n">
        <v>1644.181256436663</v>
      </c>
      <c r="H22" t="inlineStr">
        <is>
          <t>C33</t>
        </is>
      </c>
      <c r="I22" t="inlineStr">
        <is>
          <t>ICIS China Mid</t>
        </is>
      </c>
      <c r="J22" s="2" t="n"/>
      <c r="L22" t="inlineStr">
        <is>
          <t>Yes</t>
        </is>
      </c>
      <c r="M22" s="3">
        <f>IF(ISBLANK(J22),G22,J22)</f>
        <v/>
      </c>
      <c r="N22" s="2" t="n">
        <v>0.025</v>
      </c>
      <c r="O22" s="2" t="n">
        <v>91.33</v>
      </c>
      <c r="P22" s="2" t="n">
        <v>0.06</v>
      </c>
      <c r="Q22" s="2" t="n">
        <v>0.2</v>
      </c>
      <c r="R22" s="2" t="n">
        <v>85</v>
      </c>
      <c r="S22" s="2" t="n">
        <v>-25</v>
      </c>
      <c r="T22" s="2" t="n">
        <v>5.2316</v>
      </c>
      <c r="U22" s="3">
        <f>IF(G22&gt;M22,M22,IF((M22-G22)&gt;75,M22-75,G22))</f>
        <v/>
      </c>
      <c r="V22" s="3">
        <f>(((U22*(1-N22))+O22)*(1+(P22+Q22)))+R22+S22</f>
        <v/>
      </c>
      <c r="W22" s="3">
        <f>V22*T22</f>
        <v/>
      </c>
      <c r="X22" t="inlineStr">
        <is>
          <t>April 2026</t>
        </is>
      </c>
      <c r="Y22" t="inlineStr">
        <is>
          <t>Update yellow/input values before rerunning forecast if business provides new assumptions.</t>
        </is>
      </c>
    </row>
    <row r="23">
      <c r="A23" t="inlineStr">
        <is>
          <t>October 2026</t>
        </is>
      </c>
      <c r="B23" t="n">
        <v>2026</v>
      </c>
      <c r="C23" t="n">
        <v>10</v>
      </c>
      <c r="D23" t="inlineStr">
        <is>
          <t>VRJ1</t>
        </is>
      </c>
      <c r="E23" t="inlineStr">
        <is>
          <t>September 2026</t>
        </is>
      </c>
      <c r="F23" t="inlineStr">
        <is>
          <t>ICIS Asia SE Low</t>
        </is>
      </c>
      <c r="G23" s="2" t="n">
        <v>1733.441910966341</v>
      </c>
      <c r="H23" t="inlineStr">
        <is>
          <t>C34</t>
        </is>
      </c>
      <c r="I23" t="inlineStr">
        <is>
          <t>ICIS China Mid</t>
        </is>
      </c>
      <c r="J23" s="2" t="n"/>
      <c r="L23" t="inlineStr">
        <is>
          <t>Yes</t>
        </is>
      </c>
      <c r="M23" s="3">
        <f>IF(ISBLANK(J23),G23,J23)</f>
        <v/>
      </c>
      <c r="N23" s="2" t="n">
        <v>0.025</v>
      </c>
      <c r="O23" s="2" t="n">
        <v>91.33</v>
      </c>
      <c r="P23" s="2" t="n">
        <v>0.06</v>
      </c>
      <c r="Q23" s="2" t="n">
        <v>0.2</v>
      </c>
      <c r="R23" s="2" t="n">
        <v>85</v>
      </c>
      <c r="S23" s="2" t="n">
        <v>-25</v>
      </c>
      <c r="T23" s="2" t="n">
        <v>5.2316</v>
      </c>
      <c r="U23" s="3">
        <f>IF(G23&gt;M23,M23,IF((M23-G23)&gt;75,M23-75,G23))</f>
        <v/>
      </c>
      <c r="V23" s="3">
        <f>(((U23*(1-N23))+O23)*(1+(P23+Q23)))+R23+S23</f>
        <v/>
      </c>
      <c r="W23" s="3">
        <f>V23*T23</f>
        <v/>
      </c>
      <c r="X23" t="inlineStr">
        <is>
          <t>April 2026</t>
        </is>
      </c>
      <c r="Y23" t="inlineStr">
        <is>
          <t>Update yellow/input values before rerunning forecast if business provides new assumptions.</t>
        </is>
      </c>
    </row>
    <row r="24">
      <c r="A24" t="inlineStr">
        <is>
          <t>November 2026</t>
        </is>
      </c>
      <c r="B24" t="n">
        <v>2026</v>
      </c>
      <c r="C24" t="n">
        <v>11</v>
      </c>
      <c r="D24" t="inlineStr">
        <is>
          <t>VRJ1</t>
        </is>
      </c>
      <c r="E24" t="inlineStr">
        <is>
          <t>October 2026</t>
        </is>
      </c>
      <c r="F24" t="inlineStr">
        <is>
          <t>ICIS Asia SE Low</t>
        </is>
      </c>
      <c r="G24" s="2" t="n">
        <v>1773.888888888889</v>
      </c>
      <c r="H24" t="inlineStr">
        <is>
          <t>C35</t>
        </is>
      </c>
      <c r="I24" t="inlineStr">
        <is>
          <t>ICIS China Mid</t>
        </is>
      </c>
      <c r="J24" s="2" t="n"/>
      <c r="L24" t="inlineStr">
        <is>
          <t>Yes</t>
        </is>
      </c>
      <c r="M24" s="3">
        <f>IF(ISBLANK(J24),G24,J24)</f>
        <v/>
      </c>
      <c r="N24" s="2" t="n">
        <v>0.025</v>
      </c>
      <c r="O24" s="2" t="n">
        <v>91.33</v>
      </c>
      <c r="P24" s="2" t="n">
        <v>0.06</v>
      </c>
      <c r="Q24" s="2" t="n">
        <v>0.2</v>
      </c>
      <c r="R24" s="2" t="n">
        <v>85</v>
      </c>
      <c r="S24" s="2" t="n">
        <v>-25</v>
      </c>
      <c r="T24" s="2" t="n">
        <v>5.2316</v>
      </c>
      <c r="U24" s="3">
        <f>IF(G24&gt;M24,M24,IF((M24-G24)&gt;75,M24-75,G24))</f>
        <v/>
      </c>
      <c r="V24" s="3">
        <f>(((U24*(1-N24))+O24)*(1+(P24+Q24)))+R24+S24</f>
        <v/>
      </c>
      <c r="W24" s="3">
        <f>V24*T24</f>
        <v/>
      </c>
      <c r="X24" t="inlineStr">
        <is>
          <t>April 2026</t>
        </is>
      </c>
      <c r="Y24" t="inlineStr">
        <is>
          <t>Update yellow/input values before rerunning forecast if business provides new assumptions.</t>
        </is>
      </c>
    </row>
    <row r="25">
      <c r="A25" t="inlineStr">
        <is>
          <t>December 2026</t>
        </is>
      </c>
      <c r="B25" t="n">
        <v>2026</v>
      </c>
      <c r="C25" t="n">
        <v>12</v>
      </c>
      <c r="D25" t="inlineStr">
        <is>
          <t>VRJ1</t>
        </is>
      </c>
      <c r="E25" t="inlineStr">
        <is>
          <t>November 2026</t>
        </is>
      </c>
      <c r="F25" t="inlineStr">
        <is>
          <t>ICIS Asia SE Low</t>
        </is>
      </c>
      <c r="G25" s="2" t="n">
        <v>1824.571428571428</v>
      </c>
      <c r="H25" t="inlineStr">
        <is>
          <t>C36</t>
        </is>
      </c>
      <c r="I25" t="inlineStr">
        <is>
          <t>ICIS China Mid</t>
        </is>
      </c>
      <c r="J25" s="2" t="n"/>
      <c r="L25" t="inlineStr">
        <is>
          <t>Yes</t>
        </is>
      </c>
      <c r="M25" s="3">
        <f>IF(ISBLANK(J25),G25,J25)</f>
        <v/>
      </c>
      <c r="N25" s="2" t="n">
        <v>0.025</v>
      </c>
      <c r="O25" s="2" t="n">
        <v>91.33</v>
      </c>
      <c r="P25" s="2" t="n">
        <v>0.06</v>
      </c>
      <c r="Q25" s="2" t="n">
        <v>0.2</v>
      </c>
      <c r="R25" s="2" t="n">
        <v>85</v>
      </c>
      <c r="S25" s="2" t="n">
        <v>-25</v>
      </c>
      <c r="T25" s="2" t="n">
        <v>5.2316</v>
      </c>
      <c r="U25" s="3">
        <f>IF(G25&gt;M25,M25,IF((M25-G25)&gt;75,M25-75,G25))</f>
        <v/>
      </c>
      <c r="V25" s="3">
        <f>(((U25*(1-N25))+O25)*(1+(P25+Q25)))+R25+S25</f>
        <v/>
      </c>
      <c r="W25" s="3">
        <f>V25*T25</f>
        <v/>
      </c>
      <c r="X25" t="inlineStr">
        <is>
          <t>April 2026</t>
        </is>
      </c>
      <c r="Y25" t="inlineStr">
        <is>
          <t>Update yellow/input values before rerunning forecast if business provides new assumptions.</t>
        </is>
      </c>
    </row>
  </sheetData>
  <autoFilter ref="A1:Y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70" customWidth="1" min="3" max="3"/>
  </cols>
  <sheetData>
    <row r="1">
      <c r="A1" s="1" t="inlineStr">
        <is>
          <t>component</t>
        </is>
      </c>
      <c r="B1" s="1" t="inlineStr">
        <is>
          <t>classification</t>
        </is>
      </c>
      <c r="C1" s="1" t="inlineStr">
        <is>
          <t>formula_or_source</t>
        </is>
      </c>
    </row>
    <row r="2">
      <c r="A2" t="inlineStr">
        <is>
          <t>ICIS Asia SE Low (n-1)</t>
        </is>
      </c>
      <c r="B2" t="inlineStr">
        <is>
          <t>variable_index_input</t>
        </is>
      </c>
      <c r="C2" t="inlineStr">
        <is>
          <t>icis_resin_index_reference_table.csv / ICIS Asia SE Low, target month - 1</t>
        </is>
      </c>
    </row>
    <row r="3">
      <c r="A3" t="inlineStr">
        <is>
          <t>ICIS Asia 5R MID (n-1)</t>
        </is>
      </c>
      <c r="B3" t="inlineStr">
        <is>
          <t>variable_index_input</t>
        </is>
      </c>
      <c r="C3" t="inlineStr">
        <is>
          <t>icis_resin_index_reference_table.csv / ICIS China Mid, target month - 1; fallback to Low when missing</t>
        </is>
      </c>
    </row>
    <row r="4">
      <c r="A4" t="inlineStr">
        <is>
          <t>Resin with assumptions</t>
        </is>
      </c>
      <c r="B4" t="inlineStr">
        <is>
          <t>formula</t>
        </is>
      </c>
      <c r="C4" t="inlineStr">
        <is>
          <t>Resin with assumptions = IF(Low &gt; Mid, Mid, IF(Mid - Low &gt; 75, Mid - 75, Low))</t>
        </is>
      </c>
    </row>
    <row r="5">
      <c r="A5" t="inlineStr">
        <is>
          <t>Discount</t>
        </is>
      </c>
      <c r="B5" t="inlineStr">
        <is>
          <t>product_assumption</t>
        </is>
      </c>
      <c r="C5" t="inlineStr">
        <is>
          <t>Latest actual by product: VRJ1 2.5%, VPE1 4%, VMG11 1%</t>
        </is>
      </c>
    </row>
    <row r="6">
      <c r="A6" t="inlineStr">
        <is>
          <t>Drewry (t-1) with discount</t>
        </is>
      </c>
      <c r="B6" t="inlineStr">
        <is>
          <t>variable_assumption</t>
        </is>
      </c>
      <c r="C6" t="inlineStr">
        <is>
          <t>Latest actual carried forward unless updated</t>
        </is>
      </c>
    </row>
    <row r="7">
      <c r="A7" t="inlineStr">
        <is>
          <t>Importation + Import Tax</t>
        </is>
      </c>
      <c r="B7" t="inlineStr">
        <is>
          <t>constant_assumption</t>
        </is>
      </c>
      <c r="C7" t="inlineStr">
        <is>
          <t>6% + 20% from source workbook</t>
        </is>
      </c>
    </row>
    <row r="8">
      <c r="A8" t="inlineStr">
        <is>
          <t>Surcharge + Indorama Discount</t>
        </is>
      </c>
      <c r="B8" t="inlineStr">
        <is>
          <t>constant_assumption</t>
        </is>
      </c>
      <c r="C8" t="inlineStr">
        <is>
          <t>85 + (-25) from source workbook</t>
        </is>
      </c>
    </row>
    <row r="9">
      <c r="A9" t="inlineStr">
        <is>
          <t>Total V-PET USD/ton</t>
        </is>
      </c>
      <c r="B9" t="inlineStr">
        <is>
          <t>calculated_output</t>
        </is>
      </c>
      <c r="C9" t="inlineStr">
        <is>
          <t>Total V-PET USD/ton = (((Resin with assumptions * (1 - Discount)) + Freight) * (1 + Importation + Import Tax)) + Surcharge + Indorama Discount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2026-05-15T17:04:04</t>
        </is>
      </c>
    </row>
    <row r="3">
      <c r="A3" t="inlineStr">
        <is>
          <t>pipeline</t>
        </is>
      </c>
      <c r="B3" t="inlineStr">
        <is>
          <t>04. Valgroup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Valgroup.xlsx</t>
        </is>
      </c>
    </row>
    <row r="5">
      <c r="A5" t="inlineStr">
        <is>
          <t>index_reference_csv</t>
        </is>
      </c>
      <c r="B5" t="inlineStr">
        <is>
          <t>C:\Users\40100123\OneDrive - Anheuser-Busch InBev\GAC\PET\Data Model\PET_Data_Model\Index Fprecast\icis_resin_index_reference_table.csv</t>
        </is>
      </c>
    </row>
    <row r="6">
      <c r="A6" t="inlineStr">
        <is>
          <t>legacy_extracted_file</t>
        </is>
      </c>
      <c r="B6" t="inlineStr">
        <is>
          <t>C:\Users\40100123\OneDrive - Anheuser-Busch InBev\GAC\PET\Data Model\PET_Data_Model\supplier_pipelines\04. Valgroup\artifacts\extraction\04. Valgroup_months_final.xlsx</t>
        </is>
      </c>
    </row>
    <row r="7">
      <c r="A7" t="inlineStr">
        <is>
          <t>extracted_file</t>
        </is>
      </c>
      <c r="B7" t="inlineStr">
        <is>
          <t>C:\Users\40100123\OneDrive - Anheuser-Busch InBev\GAC\PET\Data Model\PET_Data_Model\supplier_pipelines\04. Valgroup\artifacts\extraction\04. Valgroup_months_full_final.xlsx</t>
        </is>
      </c>
    </row>
    <row r="8">
      <c r="A8" t="inlineStr">
        <is>
          <t>supplier</t>
        </is>
      </c>
      <c r="B8" t="inlineStr">
        <is>
          <t>Valgroup</t>
        </is>
      </c>
    </row>
    <row r="9">
      <c r="A9" t="inlineStr">
        <is>
          <t>destination_country</t>
        </is>
      </c>
      <c r="B9" t="inlineStr">
        <is>
          <t>Brazil</t>
        </is>
      </c>
    </row>
    <row r="10">
      <c r="A10" t="inlineStr">
        <is>
          <t>source_resin_index_type</t>
        </is>
      </c>
      <c r="B10" t="inlineStr">
        <is>
          <t>ICIS Asia SE Low (n-1) with Mid guardrail</t>
        </is>
      </c>
    </row>
    <row r="11">
      <c r="A11" t="inlineStr">
        <is>
          <t>forecast_resin_index_types</t>
        </is>
      </c>
      <c r="B11" t="inlineStr">
        <is>
          <t>ICIS Asia SE Low; ICIS China Mid</t>
        </is>
      </c>
    </row>
    <row r="12">
      <c r="A12" t="inlineStr">
        <is>
          <t>tlc_formula</t>
        </is>
      </c>
      <c r="B12" t="inlineStr">
        <is>
          <t>Total V-PET USD/ton = (((Resin with assumptions * (1 - Discount)) + Freight) * (1 + Importation + Import Tax)) + Surcharge + Indorama Discount</t>
        </is>
      </c>
    </row>
    <row r="13">
      <c r="A13" t="inlineStr">
        <is>
          <t>resin_formula</t>
        </is>
      </c>
      <c r="B13" t="inlineStr">
        <is>
          <t>Resin with assumptions = IF(Low &gt; Mid, Mid, IF(Mid - Low &gt; 75, Mid - 75, Low))</t>
        </is>
      </c>
    </row>
    <row r="14">
      <c r="A14" t="inlineStr">
        <is>
          <t>note</t>
        </is>
      </c>
      <c r="B14" t="inlineStr">
        <is>
          <t>Full pipeline extracts VRJ1, VPE1, and VMG11 product columns; legacy extraction remains available for the old U2:V12 scope.</t>
        </is>
      </c>
    </row>
    <row r="15">
      <c r="A15" t="inlineStr">
        <is>
          <t>raw_rows</t>
        </is>
      </c>
      <c r="B15" t="n">
        <v>48</v>
      </c>
    </row>
    <row r="16">
      <c r="A16" t="inlineStr">
        <is>
          <t>final_rows</t>
        </is>
      </c>
      <c r="B16" t="n">
        <v>120</v>
      </c>
    </row>
    <row r="17">
      <c r="A17" t="inlineStr">
        <is>
          <t>validation_rows</t>
        </is>
      </c>
      <c r="B17" t="n">
        <v>12</v>
      </c>
    </row>
    <row r="18">
      <c r="A18" t="inlineStr">
        <is>
          <t>forecast_input_rows</t>
        </is>
      </c>
      <c r="B18" t="n">
        <v>24</v>
      </c>
    </row>
    <row r="19">
      <c r="A19" t="inlineStr">
        <is>
          <t>forecast_estimate_rows</t>
        </is>
      </c>
      <c r="B19" t="n">
        <v>24</v>
      </c>
    </row>
    <row r="20">
      <c r="A20" t="inlineStr">
        <is>
          <t>forecast_front_end_rows</t>
        </is>
      </c>
      <c r="B20" t="n">
        <v>264</v>
      </c>
    </row>
    <row r="21">
      <c r="A21" t="inlineStr">
        <is>
          <t>actual_forecast_front_end_rows</t>
        </is>
      </c>
      <c r="B21" t="n">
        <v>384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2026-05-15T11:34:04Z</dcterms:created>
  <dcterms:modified xsi:type="dcterms:W3CDTF">2026-05-15T11:34:04Z</dcterms:modified>
</cp:coreProperties>
</file>