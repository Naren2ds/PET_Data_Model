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c_validation" sheetId="1" state="visible" r:id="rId1"/>
    <sheet name="run_metadata" sheetId="2" state="visible" r:id="rId2"/>
  </sheets>
  <definedNames>
    <definedName name="_xlnm._FilterDatabase" localSheetId="0" hidden="1">'tlc_validation'!$A$1:$T$22</definedName>
    <definedName name="_xlnm._FilterDatabase" localSheetId="1" hidden="1">'run_metadata'!$A$1:$B$18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9" customWidth="1" min="4" max="4"/>
    <col width="34" customWidth="1" min="5" max="5"/>
    <col width="19" customWidth="1" min="6" max="6"/>
    <col width="12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  <col width="12" customWidth="1" min="13" max="13"/>
    <col width="27" customWidth="1" min="14" max="14"/>
    <col width="31" customWidth="1" min="15" max="15"/>
    <col width="25" customWidth="1" min="16" max="16"/>
    <col width="30" customWidth="1" min="17" max="17"/>
    <col width="27" customWidth="1" min="18" max="18"/>
    <col width="20" customWidth="1" min="19" max="19"/>
    <col width="70" customWidth="1" min="20" max="20"/>
  </cols>
  <sheetData>
    <row r="1">
      <c r="A1" s="1" t="inlineStr">
        <is>
          <t>location</t>
        </is>
      </c>
      <c r="B1" s="1" t="inlineStr">
        <is>
          <t>time_period</t>
        </is>
      </c>
      <c r="C1" s="1" t="inlineStr">
        <is>
          <t>time_period_year</t>
        </is>
      </c>
      <c r="D1" s="1" t="inlineStr">
        <is>
          <t>time_period_month</t>
        </is>
      </c>
      <c r="E1" s="1" t="inlineStr">
        <is>
          <t>resin_index_type</t>
        </is>
      </c>
      <c r="F1" s="1" t="inlineStr">
        <is>
          <t>resin_price_index</t>
        </is>
      </c>
      <c r="G1" s="1" t="inlineStr">
        <is>
          <t>drewry</t>
        </is>
      </c>
      <c r="H1" s="1" t="inlineStr">
        <is>
          <t>source_freight</t>
        </is>
      </c>
      <c r="I1" s="1" t="inlineStr">
        <is>
          <t>calculated_freight</t>
        </is>
      </c>
      <c r="J1" s="1" t="inlineStr">
        <is>
          <t>source_duties</t>
        </is>
      </c>
      <c r="K1" s="1" t="inlineStr">
        <is>
          <t>calculated_duties</t>
        </is>
      </c>
      <c r="L1" s="1" t="inlineStr">
        <is>
          <t>fixed_cost_metric</t>
        </is>
      </c>
      <c r="M1" s="1" t="inlineStr">
        <is>
          <t>fixed_cost</t>
        </is>
      </c>
      <c r="N1" s="1" t="inlineStr">
        <is>
          <t>source_total_landing_cost</t>
        </is>
      </c>
      <c r="O1" s="1" t="inlineStr">
        <is>
          <t>calculated_total_landing_cost</t>
        </is>
      </c>
      <c r="P1" s="1" t="inlineStr">
        <is>
          <t>difference</t>
        </is>
      </c>
      <c r="Q1" s="1" t="inlineStr">
        <is>
          <t>max_abs_component_difference</t>
        </is>
      </c>
      <c r="R1" s="1" t="inlineStr">
        <is>
          <t>validation_status</t>
        </is>
      </c>
      <c r="S1" s="1" t="inlineStr">
        <is>
          <t>source_tlc_formula</t>
        </is>
      </c>
      <c r="T1" s="1" t="inlineStr">
        <is>
          <t>tlc_formula</t>
        </is>
      </c>
    </row>
    <row r="2">
      <c r="A2" t="inlineStr">
        <is>
          <t>MANAUS</t>
        </is>
      </c>
      <c r="B2" t="inlineStr">
        <is>
          <t>July 2025</t>
        </is>
      </c>
      <c r="C2" t="n">
        <v>2025</v>
      </c>
      <c r="D2" t="n">
        <v>7</v>
      </c>
      <c r="E2" t="inlineStr">
        <is>
          <t>ICIS PET China MID (M-1) USD/ton</t>
        </is>
      </c>
      <c r="F2" t="n">
        <v>793.125</v>
      </c>
      <c r="G2" t="n">
        <v>4649</v>
      </c>
      <c r="H2" t="n">
        <v>226.6222222222222</v>
      </c>
      <c r="I2" t="n">
        <v>226.6222222222222</v>
      </c>
      <c r="J2" t="n">
        <v>212.1074222222223</v>
      </c>
      <c r="K2" t="n">
        <v>212.1074222222222</v>
      </c>
      <c r="L2" t="inlineStr">
        <is>
          <t>Seguro</t>
        </is>
      </c>
      <c r="M2" t="n">
        <v>167</v>
      </c>
      <c r="N2" t="n">
        <v>1398.854644444445</v>
      </c>
      <c r="O2" t="n">
        <v>1398.854644444445</v>
      </c>
      <c r="P2" t="n">
        <v>-4.547473508864641e-13</v>
      </c>
      <c r="Q2" t="n">
        <v>4.547473508864641e-13</v>
      </c>
      <c r="R2" t="inlineStr">
        <is>
          <t>match</t>
        </is>
      </c>
      <c r="S2" t="n">
        <v>1398.854644444445</v>
      </c>
      <c r="T2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3">
      <c r="A3" t="inlineStr">
        <is>
          <t>SUAPE</t>
        </is>
      </c>
      <c r="B3" t="inlineStr">
        <is>
          <t>July 2025</t>
        </is>
      </c>
      <c r="C3" t="n">
        <v>2025</v>
      </c>
      <c r="D3" t="n">
        <v>7</v>
      </c>
      <c r="E3" t="inlineStr">
        <is>
          <t>ICIS PET China MID (M-1) USD/ton</t>
        </is>
      </c>
      <c r="F3" t="n">
        <v>793.125</v>
      </c>
      <c r="G3" t="n">
        <v>4649</v>
      </c>
      <c r="H3" t="n">
        <v>206.6222222222222</v>
      </c>
      <c r="I3" t="n">
        <v>206.6222222222222</v>
      </c>
      <c r="J3" t="n">
        <v>207.9474222222223</v>
      </c>
      <c r="K3" t="n">
        <v>207.9474222222222</v>
      </c>
      <c r="L3" t="inlineStr">
        <is>
          <t>Others</t>
        </is>
      </c>
      <c r="M3" t="n">
        <v>167</v>
      </c>
      <c r="N3" t="n">
        <v>1374.694644444445</v>
      </c>
      <c r="O3" t="n">
        <v>1374.694644444445</v>
      </c>
      <c r="P3" t="n">
        <v>-4.547473508864641e-13</v>
      </c>
      <c r="Q3" t="n">
        <v>4.547473508864641e-13</v>
      </c>
      <c r="R3" t="inlineStr">
        <is>
          <t>match</t>
        </is>
      </c>
      <c r="S3" t="n">
        <v>1374.694644444445</v>
      </c>
      <c r="T3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4">
      <c r="A4" t="inlineStr">
        <is>
          <t>MANAUS</t>
        </is>
      </c>
      <c r="B4" t="inlineStr">
        <is>
          <t>August 2025</t>
        </is>
      </c>
      <c r="C4" t="n">
        <v>2025</v>
      </c>
      <c r="D4" t="n">
        <v>8</v>
      </c>
      <c r="E4" t="inlineStr">
        <is>
          <t>ICIS PET China MID (M-1) USD/ton</t>
        </is>
      </c>
      <c r="F4" t="n">
        <v>781.875</v>
      </c>
      <c r="G4" t="n">
        <v>6498</v>
      </c>
      <c r="H4" t="n">
        <v>308.8</v>
      </c>
      <c r="I4" t="n">
        <v>308.8</v>
      </c>
      <c r="J4" t="n">
        <v>226.8604</v>
      </c>
      <c r="K4" t="n">
        <v>226.8604</v>
      </c>
      <c r="L4" t="inlineStr">
        <is>
          <t>Seguro</t>
        </is>
      </c>
      <c r="M4" t="n">
        <v>167</v>
      </c>
      <c r="N4" t="n">
        <v>1484.5354</v>
      </c>
      <c r="O4" t="n">
        <v>1484.5354</v>
      </c>
      <c r="P4" t="n">
        <v>0</v>
      </c>
      <c r="Q4" t="n">
        <v>2.842170943040401e-14</v>
      </c>
      <c r="R4" t="inlineStr">
        <is>
          <t>match</t>
        </is>
      </c>
      <c r="S4">
        <f>SUM(F30:F34)</f>
        <v/>
      </c>
      <c r="T4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5">
      <c r="A5" t="inlineStr">
        <is>
          <t>SUAPE</t>
        </is>
      </c>
      <c r="B5" t="inlineStr">
        <is>
          <t>August 2025</t>
        </is>
      </c>
      <c r="C5" t="n">
        <v>2025</v>
      </c>
      <c r="D5" t="n">
        <v>8</v>
      </c>
      <c r="E5" t="inlineStr">
        <is>
          <t>ICIS PET China MID (M-1) USD/ton</t>
        </is>
      </c>
      <c r="F5" t="n">
        <v>781.875</v>
      </c>
      <c r="G5" t="n">
        <v>6498</v>
      </c>
      <c r="H5" t="n">
        <v>288.8</v>
      </c>
      <c r="I5" t="n">
        <v>288.8</v>
      </c>
      <c r="J5" t="n">
        <v>222.7004</v>
      </c>
      <c r="K5" t="n">
        <v>222.7004</v>
      </c>
      <c r="L5" t="inlineStr">
        <is>
          <t>Others</t>
        </is>
      </c>
      <c r="M5" t="n">
        <v>167</v>
      </c>
      <c r="N5" t="n">
        <v>1460.3754</v>
      </c>
      <c r="O5" t="n">
        <v>1460.3754</v>
      </c>
      <c r="P5" t="n">
        <v>0</v>
      </c>
      <c r="Q5" t="n">
        <v>2.842170943040401e-14</v>
      </c>
      <c r="R5" t="inlineStr">
        <is>
          <t>match</t>
        </is>
      </c>
      <c r="S5">
        <f>SUM(F6:F10)</f>
        <v/>
      </c>
      <c r="T5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6">
      <c r="A6" t="inlineStr">
        <is>
          <t>MANAUS</t>
        </is>
      </c>
      <c r="B6" t="inlineStr">
        <is>
          <t>September 2025</t>
        </is>
      </c>
      <c r="C6" t="n">
        <v>2025</v>
      </c>
      <c r="D6" t="n">
        <v>9</v>
      </c>
      <c r="E6" t="inlineStr">
        <is>
          <t>ICIS PET China MID (M-1) USD/ton</t>
        </is>
      </c>
      <c r="F6" t="n">
        <v>774</v>
      </c>
      <c r="G6" t="n">
        <v>3716</v>
      </c>
      <c r="H6" t="n">
        <v>185.1555555555556</v>
      </c>
      <c r="I6" t="n">
        <v>185.1555555555556</v>
      </c>
      <c r="J6" t="n">
        <v>199.5043555555556</v>
      </c>
      <c r="K6" t="n">
        <v>199.5043555555555</v>
      </c>
      <c r="L6" t="inlineStr">
        <is>
          <t>Seguro</t>
        </is>
      </c>
      <c r="M6" t="n">
        <v>167</v>
      </c>
      <c r="N6" t="n">
        <v>1325.659911111111</v>
      </c>
      <c r="O6" t="n">
        <v>1325.659911111111</v>
      </c>
      <c r="P6" t="n">
        <v>2.273736754432321e-13</v>
      </c>
      <c r="Q6" t="n">
        <v>2.273736754432321e-13</v>
      </c>
      <c r="R6" t="inlineStr">
        <is>
          <t>match</t>
        </is>
      </c>
      <c r="S6">
        <f>SUM(G30:G34)</f>
        <v/>
      </c>
      <c r="T6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7">
      <c r="A7" t="inlineStr">
        <is>
          <t>SUAPE</t>
        </is>
      </c>
      <c r="B7" t="inlineStr">
        <is>
          <t>September 2025</t>
        </is>
      </c>
      <c r="C7" t="n">
        <v>2025</v>
      </c>
      <c r="D7" t="n">
        <v>9</v>
      </c>
      <c r="E7" t="inlineStr">
        <is>
          <t>ICIS PET China MID (M-1) USD/ton</t>
        </is>
      </c>
      <c r="F7" t="n">
        <v>774</v>
      </c>
      <c r="G7" t="n">
        <v>3716</v>
      </c>
      <c r="H7" t="n">
        <v>165.1555555555556</v>
      </c>
      <c r="I7" t="n">
        <v>165.1555555555556</v>
      </c>
      <c r="J7" t="n">
        <v>195.3443555555556</v>
      </c>
      <c r="K7" t="n">
        <v>195.3443555555556</v>
      </c>
      <c r="L7" t="inlineStr">
        <is>
          <t>Others</t>
        </is>
      </c>
      <c r="M7" t="n">
        <v>167</v>
      </c>
      <c r="N7" t="n">
        <v>1301.499911111111</v>
      </c>
      <c r="O7" t="n">
        <v>1301.499911111111</v>
      </c>
      <c r="P7" t="n">
        <v>2.273736754432321e-13</v>
      </c>
      <c r="Q7" t="n">
        <v>2.273736754432321e-13</v>
      </c>
      <c r="R7" t="inlineStr">
        <is>
          <t>match</t>
        </is>
      </c>
      <c r="S7">
        <f>SUM(G6:G10)</f>
        <v/>
      </c>
      <c r="T7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8">
      <c r="A8" t="inlineStr">
        <is>
          <t>MANAUS</t>
        </is>
      </c>
      <c r="B8" t="inlineStr">
        <is>
          <t>October 2025</t>
        </is>
      </c>
      <c r="C8" t="n">
        <v>2025</v>
      </c>
      <c r="D8" t="n">
        <v>10</v>
      </c>
      <c r="E8" t="inlineStr">
        <is>
          <t>ICIS PET China MID (M-1) USD/ton</t>
        </is>
      </c>
      <c r="F8" t="n">
        <v>765</v>
      </c>
      <c r="G8" t="n">
        <v>3338</v>
      </c>
      <c r="H8" t="n">
        <v>168.3555555555556</v>
      </c>
      <c r="I8" t="n">
        <v>168.3555555555556</v>
      </c>
      <c r="J8" t="n">
        <v>194.1379555555556</v>
      </c>
      <c r="K8" t="n">
        <v>194.1379555555555</v>
      </c>
      <c r="L8" t="inlineStr">
        <is>
          <t>Seguro</t>
        </is>
      </c>
      <c r="M8" t="n">
        <v>167</v>
      </c>
      <c r="N8" t="n">
        <v>1294.493511111111</v>
      </c>
      <c r="O8" t="n">
        <v>1294.493511111111</v>
      </c>
      <c r="P8" t="n">
        <v>2.273736754432321e-13</v>
      </c>
      <c r="Q8" t="n">
        <v>2.273736754432321e-13</v>
      </c>
      <c r="R8" t="inlineStr">
        <is>
          <t>match</t>
        </is>
      </c>
      <c r="S8">
        <f>SUM(H30:H34)</f>
        <v/>
      </c>
      <c r="T8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9">
      <c r="A9" t="inlineStr">
        <is>
          <t>SUAPE</t>
        </is>
      </c>
      <c r="B9" t="inlineStr">
        <is>
          <t>October 2025</t>
        </is>
      </c>
      <c r="C9" t="n">
        <v>2025</v>
      </c>
      <c r="D9" t="n">
        <v>10</v>
      </c>
      <c r="E9" t="inlineStr">
        <is>
          <t>ICIS PET China MID (M-1) USD/ton</t>
        </is>
      </c>
      <c r="F9" t="n">
        <v>765</v>
      </c>
      <c r="G9" t="n">
        <v>3338</v>
      </c>
      <c r="H9" t="n">
        <v>148.3555555555556</v>
      </c>
      <c r="I9" t="n">
        <v>148.3555555555556</v>
      </c>
      <c r="J9" t="n">
        <v>189.9779555555556</v>
      </c>
      <c r="K9" t="n">
        <v>189.9779555555556</v>
      </c>
      <c r="L9" t="inlineStr">
        <is>
          <t>Others</t>
        </is>
      </c>
      <c r="M9" t="n">
        <v>167</v>
      </c>
      <c r="N9" t="n">
        <v>1270.333511111111</v>
      </c>
      <c r="O9" t="n">
        <v>1270.333511111111</v>
      </c>
      <c r="P9" t="n">
        <v>2.273736754432321e-13</v>
      </c>
      <c r="Q9" t="n">
        <v>2.273736754432321e-13</v>
      </c>
      <c r="R9" t="inlineStr">
        <is>
          <t>match</t>
        </is>
      </c>
      <c r="S9">
        <f>SUM(H6:H10)</f>
        <v/>
      </c>
      <c r="T9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10">
      <c r="A10" t="inlineStr">
        <is>
          <t>MANAUS</t>
        </is>
      </c>
      <c r="B10" t="inlineStr">
        <is>
          <t>November 2025</t>
        </is>
      </c>
      <c r="C10" t="n">
        <v>2025</v>
      </c>
      <c r="D10" t="n">
        <v>11</v>
      </c>
      <c r="E10" t="inlineStr">
        <is>
          <t>ICIS PET China MID (M-1) USD/ton</t>
        </is>
      </c>
      <c r="F10" t="n">
        <v>752</v>
      </c>
      <c r="G10" t="n">
        <v>2654</v>
      </c>
      <c r="H10" t="n">
        <v>137.9555555555555</v>
      </c>
      <c r="I10" t="n">
        <v>137.9555555555555</v>
      </c>
      <c r="J10" t="n">
        <v>185.1107555555556</v>
      </c>
      <c r="K10" t="n">
        <v>185.1107555555555</v>
      </c>
      <c r="L10" t="inlineStr">
        <is>
          <t>Seguro</t>
        </is>
      </c>
      <c r="M10" t="n">
        <v>167</v>
      </c>
      <c r="N10" t="n">
        <v>1242.066311111111</v>
      </c>
      <c r="O10" t="n">
        <v>1242.066311111111</v>
      </c>
      <c r="P10" t="n">
        <v>2.273736754432321e-13</v>
      </c>
      <c r="Q10" t="n">
        <v>2.273736754432321e-13</v>
      </c>
      <c r="R10" t="inlineStr">
        <is>
          <t>match</t>
        </is>
      </c>
      <c r="S10">
        <f>SUM(I30:I34)</f>
        <v/>
      </c>
      <c r="T10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11">
      <c r="A11" t="inlineStr">
        <is>
          <t>SUAPE</t>
        </is>
      </c>
      <c r="B11" t="inlineStr">
        <is>
          <t>November 2025</t>
        </is>
      </c>
      <c r="C11" t="n">
        <v>2025</v>
      </c>
      <c r="D11" t="n">
        <v>11</v>
      </c>
      <c r="E11" t="inlineStr">
        <is>
          <t>ICIS PET China MID (M-1) USD/ton</t>
        </is>
      </c>
      <c r="F11" t="n">
        <v>752</v>
      </c>
      <c r="G11" t="n">
        <v>2654</v>
      </c>
      <c r="H11" t="n">
        <v>117.9555555555555</v>
      </c>
      <c r="I11" t="n">
        <v>117.9555555555555</v>
      </c>
      <c r="J11" t="n">
        <v>180.9507555555556</v>
      </c>
      <c r="K11" t="n">
        <v>180.9507555555555</v>
      </c>
      <c r="L11" t="inlineStr">
        <is>
          <t>Others</t>
        </is>
      </c>
      <c r="M11" t="n">
        <v>167</v>
      </c>
      <c r="N11" t="n">
        <v>1217.906311111111</v>
      </c>
      <c r="O11" t="n">
        <v>1217.906311111111</v>
      </c>
      <c r="P11" t="n">
        <v>0</v>
      </c>
      <c r="Q11" t="n">
        <v>5.684341886080801e-14</v>
      </c>
      <c r="R11" t="inlineStr">
        <is>
          <t>match</t>
        </is>
      </c>
      <c r="S11">
        <f>SUM(I6:I10)</f>
        <v/>
      </c>
      <c r="T11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12">
      <c r="A12" t="inlineStr">
        <is>
          <t>MANAUS</t>
        </is>
      </c>
      <c r="B12" t="inlineStr">
        <is>
          <t>December 2025</t>
        </is>
      </c>
      <c r="C12" t="n">
        <v>2025</v>
      </c>
      <c r="D12" t="n">
        <v>12</v>
      </c>
      <c r="E12" t="inlineStr">
        <is>
          <t>ICIS PET China MID (M-1) USD/ton</t>
        </is>
      </c>
      <c r="F12" t="n">
        <v>748.75</v>
      </c>
      <c r="G12" t="n">
        <v>1999</v>
      </c>
      <c r="H12" t="n">
        <v>108.8444444444444</v>
      </c>
      <c r="I12" t="n">
        <v>108.8444444444444</v>
      </c>
      <c r="J12" t="n">
        <v>178.3796444444445</v>
      </c>
      <c r="K12" t="n">
        <v>178.3796444444444</v>
      </c>
      <c r="L12" t="inlineStr">
        <is>
          <t>Seguro</t>
        </is>
      </c>
      <c r="M12" t="n">
        <v>167</v>
      </c>
      <c r="N12" t="n">
        <v>1202.974088888889</v>
      </c>
      <c r="O12" t="n">
        <v>1202.974088888889</v>
      </c>
      <c r="P12" t="n">
        <v>0</v>
      </c>
      <c r="Q12" t="n">
        <v>5.684341886080801e-14</v>
      </c>
      <c r="R12" t="inlineStr">
        <is>
          <t>match</t>
        </is>
      </c>
      <c r="S12">
        <f>SUM(J30:J34)</f>
        <v/>
      </c>
      <c r="T12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13">
      <c r="A13" t="inlineStr">
        <is>
          <t>SUAPE</t>
        </is>
      </c>
      <c r="B13" t="inlineStr">
        <is>
          <t>December 2025</t>
        </is>
      </c>
      <c r="C13" t="n">
        <v>2025</v>
      </c>
      <c r="D13" t="n">
        <v>12</v>
      </c>
      <c r="E13" t="inlineStr">
        <is>
          <t>ICIS PET China MID (M-1) USD/ton</t>
        </is>
      </c>
      <c r="F13" t="n">
        <v>748.75</v>
      </c>
      <c r="G13" t="n">
        <v>1999</v>
      </c>
      <c r="H13" t="n">
        <v>88.84444444444445</v>
      </c>
      <c r="I13" t="n">
        <v>88.84444444444445</v>
      </c>
      <c r="J13" t="n">
        <v>174.2196444444445</v>
      </c>
      <c r="K13" t="n">
        <v>174.2196444444444</v>
      </c>
      <c r="L13" t="inlineStr">
        <is>
          <t>Others</t>
        </is>
      </c>
      <c r="M13" t="n">
        <v>167</v>
      </c>
      <c r="N13" t="n">
        <v>1178.814088888889</v>
      </c>
      <c r="O13" t="n">
        <v>1178.814088888889</v>
      </c>
      <c r="P13" t="n">
        <v>-2.273736754432321e-13</v>
      </c>
      <c r="Q13" t="n">
        <v>2.273736754432321e-13</v>
      </c>
      <c r="R13" t="inlineStr">
        <is>
          <t>match</t>
        </is>
      </c>
      <c r="S13">
        <f>SUM(J6:J10)</f>
        <v/>
      </c>
      <c r="T13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14">
      <c r="A14" t="inlineStr">
        <is>
          <t>MANAUS</t>
        </is>
      </c>
      <c r="B14" t="inlineStr">
        <is>
          <t>January 2026</t>
        </is>
      </c>
      <c r="C14" t="n">
        <v>2026</v>
      </c>
      <c r="D14" t="n">
        <v>1</v>
      </c>
      <c r="E14" t="inlineStr">
        <is>
          <t>ICIS PET China MID (M-1) USD/ton</t>
        </is>
      </c>
      <c r="F14" t="n">
        <v>756.25</v>
      </c>
      <c r="G14" t="n">
        <v>1699</v>
      </c>
      <c r="H14" t="n">
        <v>95.51111111111111</v>
      </c>
      <c r="I14" t="n">
        <v>95.51111111111111</v>
      </c>
      <c r="J14" t="n">
        <v>177.1663111111111</v>
      </c>
      <c r="K14" t="n">
        <v>177.1663111111111</v>
      </c>
      <c r="L14" t="inlineStr">
        <is>
          <t>Seguro</t>
        </is>
      </c>
      <c r="M14" t="n">
        <v>167</v>
      </c>
      <c r="N14" t="n">
        <v>1195.927422222222</v>
      </c>
      <c r="O14" t="n">
        <v>1195.927422222222</v>
      </c>
      <c r="P14" t="n">
        <v>0</v>
      </c>
      <c r="Q14" t="n">
        <v>0</v>
      </c>
      <c r="R14" t="inlineStr">
        <is>
          <t>match</t>
        </is>
      </c>
      <c r="S14">
        <f>SUM(K30:K34)</f>
        <v/>
      </c>
      <c r="T14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15">
      <c r="A15" t="inlineStr">
        <is>
          <t>SUAPE</t>
        </is>
      </c>
      <c r="B15" t="inlineStr">
        <is>
          <t>January 2026</t>
        </is>
      </c>
      <c r="C15" t="n">
        <v>2026</v>
      </c>
      <c r="D15" t="n">
        <v>1</v>
      </c>
      <c r="E15" t="inlineStr">
        <is>
          <t>ICIS PET China MID (M-1) USD/ton</t>
        </is>
      </c>
      <c r="F15" t="n">
        <v>756.25</v>
      </c>
      <c r="G15" t="n">
        <v>1699</v>
      </c>
      <c r="H15" t="n">
        <v>75.51111111111111</v>
      </c>
      <c r="I15" t="n">
        <v>75.51111111111111</v>
      </c>
      <c r="J15" t="n">
        <v>173.0063111111111</v>
      </c>
      <c r="K15" t="n">
        <v>173.0063111111111</v>
      </c>
      <c r="L15" t="inlineStr">
        <is>
          <t>Others</t>
        </is>
      </c>
      <c r="M15" t="n">
        <v>167</v>
      </c>
      <c r="N15" t="n">
        <v>1171.767422222222</v>
      </c>
      <c r="O15" t="n">
        <v>1171.767422222222</v>
      </c>
      <c r="P15" t="n">
        <v>2.273736754432321e-13</v>
      </c>
      <c r="Q15" t="n">
        <v>2.273736754432321e-13</v>
      </c>
      <c r="R15" t="inlineStr">
        <is>
          <t>match</t>
        </is>
      </c>
      <c r="S15">
        <f>SUM(K6:K10)</f>
        <v/>
      </c>
      <c r="T15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16">
      <c r="A16" t="inlineStr">
        <is>
          <t>MANAUS</t>
        </is>
      </c>
      <c r="B16" t="inlineStr">
        <is>
          <t>February 2026</t>
        </is>
      </c>
      <c r="C16" t="n">
        <v>2026</v>
      </c>
      <c r="D16" t="n">
        <v>2</v>
      </c>
      <c r="E16" t="inlineStr">
        <is>
          <t>ICIS PET China MID (M-1) USD/ton</t>
        </is>
      </c>
      <c r="F16" t="n">
        <v>818.125</v>
      </c>
      <c r="G16" t="n">
        <v>1473</v>
      </c>
      <c r="H16" t="n">
        <v>85.46666666666667</v>
      </c>
      <c r="I16" t="n">
        <v>85.46666666666667</v>
      </c>
      <c r="J16" t="n">
        <v>187.9470666666667</v>
      </c>
      <c r="K16" t="n">
        <v>187.9470666666667</v>
      </c>
      <c r="L16" t="inlineStr">
        <is>
          <t>Seguro</t>
        </is>
      </c>
      <c r="M16" t="n">
        <v>167</v>
      </c>
      <c r="N16" t="n">
        <v>1258.538733333333</v>
      </c>
      <c r="O16" t="n">
        <v>1258.538733333333</v>
      </c>
      <c r="P16" t="n">
        <v>2.273736754432321e-13</v>
      </c>
      <c r="Q16" t="n">
        <v>2.273736754432321e-13</v>
      </c>
      <c r="R16" t="inlineStr">
        <is>
          <t>match</t>
        </is>
      </c>
      <c r="S16">
        <f>SUM(L30:L34)</f>
        <v/>
      </c>
      <c r="T16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17">
      <c r="A17" t="inlineStr">
        <is>
          <t>SUAPE</t>
        </is>
      </c>
      <c r="B17" t="inlineStr">
        <is>
          <t>February 2026</t>
        </is>
      </c>
      <c r="C17" t="n">
        <v>2026</v>
      </c>
      <c r="D17" t="n">
        <v>2</v>
      </c>
      <c r="E17" t="inlineStr">
        <is>
          <t>ICIS PET China MID (M-1) USD/ton</t>
        </is>
      </c>
      <c r="F17" t="n">
        <v>818.125</v>
      </c>
      <c r="G17" t="n">
        <v>1473</v>
      </c>
      <c r="H17" t="n">
        <v>65.46666666666667</v>
      </c>
      <c r="I17" t="n">
        <v>65.46666666666667</v>
      </c>
      <c r="J17" t="n">
        <v>183.7870666666667</v>
      </c>
      <c r="K17" t="n">
        <v>183.7870666666667</v>
      </c>
      <c r="L17" t="inlineStr">
        <is>
          <t>Others</t>
        </is>
      </c>
      <c r="M17" t="n">
        <v>167</v>
      </c>
      <c r="N17" t="n">
        <v>1234.378733333333</v>
      </c>
      <c r="O17" t="n">
        <v>1234.378733333333</v>
      </c>
      <c r="P17" t="n">
        <v>4.547473508864641e-13</v>
      </c>
      <c r="Q17" t="n">
        <v>4.547473508864641e-13</v>
      </c>
      <c r="R17" t="inlineStr">
        <is>
          <t>match</t>
        </is>
      </c>
      <c r="S17">
        <f>SUM(L6:L10)</f>
        <v/>
      </c>
      <c r="T17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18">
      <c r="A18" t="inlineStr">
        <is>
          <t>MANAUS</t>
        </is>
      </c>
      <c r="B18" t="inlineStr">
        <is>
          <t>March 2026</t>
        </is>
      </c>
      <c r="C18" t="n">
        <v>2026</v>
      </c>
      <c r="D18" t="n">
        <v>3</v>
      </c>
      <c r="E18" t="inlineStr">
        <is>
          <t>ICIS PET China MID (M-1) USD/ton</t>
        </is>
      </c>
      <c r="F18" t="n">
        <v>838.13</v>
      </c>
      <c r="G18" t="n">
        <v>1486</v>
      </c>
      <c r="H18" t="n">
        <v>86.04444444444445</v>
      </c>
      <c r="I18" t="n">
        <v>86.04444444444445</v>
      </c>
      <c r="J18" t="n">
        <v>192.2282844444445</v>
      </c>
      <c r="K18" t="n">
        <v>192.2282844444445</v>
      </c>
      <c r="L18" t="inlineStr">
        <is>
          <t>Seguro</t>
        </is>
      </c>
      <c r="M18" t="n">
        <v>167</v>
      </c>
      <c r="N18" t="n">
        <v>1283.402728888889</v>
      </c>
      <c r="O18" t="n">
        <v>1283.402728888889</v>
      </c>
      <c r="P18" t="n">
        <v>0</v>
      </c>
      <c r="Q18" t="n">
        <v>5.684341886080801e-14</v>
      </c>
      <c r="R18" t="inlineStr">
        <is>
          <t>match</t>
        </is>
      </c>
      <c r="S18">
        <f>SUM(M30:M34)</f>
        <v/>
      </c>
      <c r="T18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19">
      <c r="A19" t="inlineStr">
        <is>
          <t>SUAPE</t>
        </is>
      </c>
      <c r="B19" t="inlineStr">
        <is>
          <t>March 2026</t>
        </is>
      </c>
      <c r="C19" t="n">
        <v>2026</v>
      </c>
      <c r="D19" t="n">
        <v>3</v>
      </c>
      <c r="E19" t="inlineStr">
        <is>
          <t>ICIS PET China MID (M-1) USD/ton</t>
        </is>
      </c>
      <c r="F19" t="n">
        <v>838.13</v>
      </c>
      <c r="G19" t="n">
        <v>1486</v>
      </c>
      <c r="H19" t="n">
        <v>66.04444444444445</v>
      </c>
      <c r="I19" t="n">
        <v>66.04444444444445</v>
      </c>
      <c r="J19" t="n">
        <v>188.0682844444445</v>
      </c>
      <c r="K19" t="n">
        <v>188.0682844444444</v>
      </c>
      <c r="L19" t="inlineStr">
        <is>
          <t>Others</t>
        </is>
      </c>
      <c r="M19" t="n">
        <v>167</v>
      </c>
      <c r="N19" t="n">
        <v>1259.242728888889</v>
      </c>
      <c r="O19" t="n">
        <v>1259.242728888889</v>
      </c>
      <c r="P19" t="n">
        <v>0</v>
      </c>
      <c r="Q19" t="n">
        <v>5.684341886080801e-14</v>
      </c>
      <c r="R19" t="inlineStr">
        <is>
          <t>match</t>
        </is>
      </c>
      <c r="S19">
        <f>SUM(M6:M10)</f>
        <v/>
      </c>
      <c r="T19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20">
      <c r="A20" t="inlineStr">
        <is>
          <t>MANAUS</t>
        </is>
      </c>
      <c r="B20" t="inlineStr">
        <is>
          <t>April 2026</t>
        </is>
      </c>
      <c r="C20" t="n">
        <v>2026</v>
      </c>
      <c r="D20" t="n">
        <v>4</v>
      </c>
      <c r="E20" t="inlineStr">
        <is>
          <t>ICIS PET China MID (M-1) USD/ton</t>
        </is>
      </c>
      <c r="F20" t="n">
        <v>1111.25</v>
      </c>
      <c r="G20" t="n">
        <v>2795</v>
      </c>
      <c r="H20" t="n">
        <v>144.2222222222222</v>
      </c>
      <c r="I20" t="n">
        <v>144.2222222222222</v>
      </c>
      <c r="J20" t="n">
        <v>261.1382222222222</v>
      </c>
      <c r="K20" t="n">
        <v>261.1382222222222</v>
      </c>
      <c r="L20" t="inlineStr">
        <is>
          <t>Seguro</t>
        </is>
      </c>
      <c r="M20" t="n">
        <v>167</v>
      </c>
      <c r="N20" t="n">
        <v>1683.610444444445</v>
      </c>
      <c r="O20" t="n">
        <v>1683.610444444445</v>
      </c>
      <c r="P20" t="n">
        <v>-4.547473508864641e-13</v>
      </c>
      <c r="Q20" t="n">
        <v>4.547473508864641e-13</v>
      </c>
      <c r="R20" t="inlineStr">
        <is>
          <t>match</t>
        </is>
      </c>
      <c r="S20">
        <f>SUM(N30:N34)</f>
        <v/>
      </c>
      <c r="T20" t="inlineStr">
        <is>
          <t>Sell Side Resina USD = Resin Index + International Freight + Duties + Seguro; Duties = (Resin Index + International Freight) * 20.8%; International Freight = Drewry / 22.5 plus location add-on.</t>
        </is>
      </c>
    </row>
    <row r="21">
      <c r="A21" t="inlineStr">
        <is>
          <t>SUAPE</t>
        </is>
      </c>
      <c r="B21" t="inlineStr">
        <is>
          <t>April 2026</t>
        </is>
      </c>
      <c r="C21" t="n">
        <v>2026</v>
      </c>
      <c r="D21" t="n">
        <v>4</v>
      </c>
      <c r="E21" t="inlineStr">
        <is>
          <t>ICIS PET China MID (M-1) USD/ton</t>
        </is>
      </c>
      <c r="F21" t="n">
        <v>1111.25</v>
      </c>
      <c r="G21" t="n">
        <v>2795</v>
      </c>
      <c r="H21" t="n">
        <v>124.2222222222222</v>
      </c>
      <c r="I21" t="n">
        <v>124.2222222222222</v>
      </c>
      <c r="J21" t="n">
        <v>256.9782222222223</v>
      </c>
      <c r="K21" t="n">
        <v>256.9782222222222</v>
      </c>
      <c r="L21" t="inlineStr">
        <is>
          <t>Others</t>
        </is>
      </c>
      <c r="M21" t="n">
        <v>167</v>
      </c>
      <c r="N21" t="n">
        <v>1659.450444444444</v>
      </c>
      <c r="O21" t="n">
        <v>1659.450444444444</v>
      </c>
      <c r="P21" t="n">
        <v>4.547473508864641e-13</v>
      </c>
      <c r="Q21" t="n">
        <v>4.547473508864641e-13</v>
      </c>
      <c r="R21" t="inlineStr">
        <is>
          <t>match</t>
        </is>
      </c>
      <c r="S21">
        <f>SUM(N6:N10)</f>
        <v/>
      </c>
      <c r="T21" t="inlineStr">
        <is>
          <t>Sell Side Resina USD = Resin Index + International Freight + Duties + Others; Duties = (Resin Index + International Freight) * 20.8%; International Freight = Drewry / 22.5 plus location add-on.</t>
        </is>
      </c>
    </row>
    <row r="22">
      <c r="A22" t="inlineStr">
        <is>
          <t>SUAPE</t>
        </is>
      </c>
      <c r="B22" t="inlineStr">
        <is>
          <t>May 2026</t>
        </is>
      </c>
      <c r="C22" t="n">
        <v>2026</v>
      </c>
      <c r="D22" t="n">
        <v>5</v>
      </c>
      <c r="E22" t="inlineStr">
        <is>
          <t>ICIS PET China MID (M-1) USD/ton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Others</t>
        </is>
      </c>
      <c r="M22" t="n">
        <v>167</v>
      </c>
      <c r="N22" t="n">
        <v>167</v>
      </c>
      <c r="O22" t="n">
        <v>167</v>
      </c>
      <c r="P22" t="n">
        <v>0</v>
      </c>
      <c r="Q22" t="n">
        <v>0</v>
      </c>
      <c r="R22" t="inlineStr">
        <is>
          <t>formula_match_input_check</t>
        </is>
      </c>
      <c r="S22">
        <f>SUM(O6:O10)</f>
        <v/>
      </c>
      <c r="T22" t="inlineStr">
        <is>
          <t>Sell Side Resina USD = Resin Index + International Freight + Duties + Others; Duties = (Resin Index + International Freight) * 20.8%; International Freight = Drewry / 22.5 plus location add-on.</t>
        </is>
      </c>
    </row>
  </sheetData>
  <autoFilter ref="A1:T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2026-05-15T13:53:38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source_extracted_rows</t>
        </is>
      </c>
      <c r="B10" t="n">
        <v>137</v>
      </c>
    </row>
    <row r="11">
      <c r="A11" t="inlineStr">
        <is>
          <t>actual_rows</t>
        </is>
      </c>
      <c r="B11" t="n">
        <v>130</v>
      </c>
    </row>
    <row r="12">
      <c r="A12" t="inlineStr">
        <is>
          <t>standardized_rows</t>
        </is>
      </c>
      <c r="B12" t="n">
        <v>130</v>
      </c>
    </row>
    <row r="13">
      <c r="A13" t="inlineStr">
        <is>
          <t>actual_front_end_rows</t>
        </is>
      </c>
      <c r="B13" t="n">
        <v>130</v>
      </c>
    </row>
    <row r="14">
      <c r="A14" t="inlineStr">
        <is>
          <t>tlc_validation_rows</t>
        </is>
      </c>
      <c r="B14" t="n">
        <v>21</v>
      </c>
    </row>
    <row r="15">
      <c r="A15" t="inlineStr">
        <is>
          <t>forecast_input_rows</t>
        </is>
      </c>
      <c r="B15" t="n">
        <v>16</v>
      </c>
    </row>
    <row r="16">
      <c r="A16" t="inlineStr">
        <is>
          <t>forecast_estimate_rows</t>
        </is>
      </c>
      <c r="B16" t="n">
        <v>16</v>
      </c>
    </row>
    <row r="17">
      <c r="A17" t="inlineStr">
        <is>
          <t>forecast_front_end_rows</t>
        </is>
      </c>
      <c r="B17" t="n">
        <v>96</v>
      </c>
    </row>
    <row r="18">
      <c r="A18" t="inlineStr">
        <is>
          <t>actual_forecast_front_end_rows</t>
        </is>
      </c>
      <c r="B18" t="n">
        <v>226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2026-05-15T08:23:38Z</dcterms:created>
  <dcterms:modified xsi:type="dcterms:W3CDTF">2026-05-15T08:23:38Z</dcterms:modified>
</cp:coreProperties>
</file>