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narendhrakumar_murugan_ab-inbev_com/Documents/GAC/PET/Data Model/PET_Data_Model/supplier_pipelines/3 Precios AB Inbev_Abril 26 ECUADOR/artifacts/calculation/"/>
    </mc:Choice>
  </mc:AlternateContent>
  <xr:revisionPtr revIDLastSave="2" documentId="11_A94D4157D07AAE935040B5D63FDB4255B7F45354" xr6:coauthVersionLast="47" xr6:coauthVersionMax="47" xr10:uidLastSave="{A35F42F0-3DE7-4539-A601-3959F4E51528}"/>
  <bookViews>
    <workbookView xWindow="-110" yWindow="-110" windowWidth="19420" windowHeight="11500" activeTab="1" xr2:uid="{00000000-000D-0000-FFFF-FFFF00000000}"/>
  </bookViews>
  <sheets>
    <sheet name="tlc_validation" sheetId="1" r:id="rId1"/>
    <sheet name="run_metadata" sheetId="2" r:id="rId2"/>
  </sheets>
  <definedNames>
    <definedName name="_xlnm._FilterDatabase" localSheetId="1" hidden="1">run_metadata!$A$1:$B$12</definedName>
    <definedName name="_xlnm._FilterDatabase" localSheetId="0" hidden="1">tlc_validation!$A$1:$Y$33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3" i="1" l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0" i="1"/>
  <c r="X9" i="1"/>
  <c r="X8" i="1"/>
  <c r="X7" i="1"/>
  <c r="X6" i="1"/>
  <c r="X5" i="1"/>
  <c r="X4" i="1"/>
  <c r="X3" i="1"/>
  <c r="X2" i="1"/>
  <c r="X11" i="1" l="1"/>
</calcChain>
</file>

<file path=xl/sharedStrings.xml><?xml version="1.0" encoding="utf-8"?>
<sst xmlns="http://schemas.openxmlformats.org/spreadsheetml/2006/main" count="173" uniqueCount="76">
  <si>
    <t>time_period</t>
  </si>
  <si>
    <t>time_period_year</t>
  </si>
  <si>
    <t>time_period_month</t>
  </si>
  <si>
    <t>source_resin_index_type</t>
  </si>
  <si>
    <t>resin_price_index</t>
  </si>
  <si>
    <t>freight</t>
  </si>
  <si>
    <t>finance_fee</t>
  </si>
  <si>
    <t>cif</t>
  </si>
  <si>
    <t>insurance_0_10</t>
  </si>
  <si>
    <t>foreign_currency_exit_tax_4</t>
  </si>
  <si>
    <t>fodinfa_0_5</t>
  </si>
  <si>
    <t>customs_282</t>
  </si>
  <si>
    <t>port_storage</t>
  </si>
  <si>
    <t>local_freight</t>
  </si>
  <si>
    <t>shipping_container_return</t>
  </si>
  <si>
    <t>fixed_bl_inspection</t>
  </si>
  <si>
    <t>customs_clearance_fixed</t>
  </si>
  <si>
    <t>government_diesel_surcharge</t>
  </si>
  <si>
    <t>calculated_landed_price</t>
  </si>
  <si>
    <t>source_landed_price</t>
  </si>
  <si>
    <t>difference</t>
  </si>
  <si>
    <t>abs_difference</t>
  </si>
  <si>
    <t>validation_status</t>
  </si>
  <si>
    <t>source_landed_formula</t>
  </si>
  <si>
    <t>tlc_formula</t>
  </si>
  <si>
    <t>July 2023</t>
  </si>
  <si>
    <t>ICIS PET China MID (N-2) USD/ton</t>
  </si>
  <si>
    <t>match</t>
  </si>
  <si>
    <t>Landed Price = CIF + 0.10% of CIF Value + Foreign Currency Exit Tax 4% of CIF Value + 0.5% of CIF Value + customs clearance/freight fixed components + Government Diesel Surcharge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</si>
  <si>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</si>
  <si>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</si>
  <si>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</si>
  <si>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</si>
  <si>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</si>
  <si>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</si>
  <si>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</si>
  <si>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</si>
  <si>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</si>
  <si>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</si>
  <si>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</si>
  <si>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</si>
  <si>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</si>
  <si>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</si>
  <si>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</si>
  <si>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</si>
  <si>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</si>
  <si>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</si>
  <si>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</si>
  <si>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</si>
  <si>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</si>
  <si>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</si>
  <si>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</si>
  <si>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</si>
  <si>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</si>
  <si>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</si>
  <si>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</si>
  <si>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</si>
  <si>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</si>
  <si>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</si>
  <si>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March 2026</t>
  </si>
  <si>
    <t>field</t>
  </si>
  <si>
    <t>value</t>
  </si>
  <si>
    <t>run_timestamp</t>
  </si>
  <si>
    <t>2026-05-15T11:08:48</t>
  </si>
  <si>
    <t>pipeline</t>
  </si>
  <si>
    <t>3 Precios AB Inbev_Abril 26 ECUADOR</t>
  </si>
  <si>
    <t>extracted_file</t>
  </si>
  <si>
    <t>C:\Users\40100123\OneDrive - Anheuser-Busch InBev\GAC\PET\Data Model\PET_Data_Model\supplier_pipelines\3 Precios AB Inbev_Abril 26 ECUADOR\artifacts\extraction\3 Precios AB Inbev_Abril 26 ECUADOR_formula_virgen_final.xlsx</t>
  </si>
  <si>
    <t>resin_forecast_csv</t>
  </si>
  <si>
    <t>C:\Users\40100123\OneDrive - Anheuser-Busch InBev\GAC\PET\Data Model\PET_Data_Model\Estimation\resin_index_forecast_table.csv</t>
  </si>
  <si>
    <t>forecast_resin_index_type</t>
  </si>
  <si>
    <t>PET Bottle Grade FOB China Spot</t>
  </si>
  <si>
    <t>validation_rows</t>
  </si>
  <si>
    <t>forecast_months</t>
  </si>
  <si>
    <t>forecast_component_rows</t>
  </si>
  <si>
    <t>merged_front_end_rows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</si>
</sst>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"/>
  <sheetViews>
    <sheetView topLeftCell="W1" workbookViewId="0">
      <pane ySplit="1" topLeftCell="A31" activePane="bottomLeft" state="frozen"/>
      <selection pane="bottomLeft" activeCell="AD33" sqref="AD33"/>
    </sheetView>
  </sheetViews>
  <sheetFormatPr defaultRowHeight="14.5" x14ac:dyDescent="0.35"/>
  <cols>
    <col min="1" max="1" width="16" customWidth="1"/>
    <col min="2" max="2" width="18" customWidth="1"/>
    <col min="3" max="3" width="19" customWidth="1"/>
    <col min="4" max="4" width="34" customWidth="1"/>
    <col min="5" max="8" width="19" customWidth="1"/>
    <col min="9" max="9" width="20" customWidth="1"/>
    <col min="10" max="10" width="29" customWidth="1"/>
    <col min="11" max="11" width="19" customWidth="1"/>
    <col min="12" max="12" width="13" customWidth="1"/>
    <col min="13" max="13" width="14" customWidth="1"/>
    <col min="14" max="14" width="19" customWidth="1"/>
    <col min="15" max="15" width="27" customWidth="1"/>
    <col min="16" max="16" width="21" customWidth="1"/>
    <col min="17" max="17" width="25" customWidth="1"/>
    <col min="18" max="18" width="29" customWidth="1"/>
    <col min="19" max="19" width="25" customWidth="1"/>
    <col min="20" max="20" width="21" customWidth="1"/>
    <col min="21" max="21" width="25" customWidth="1"/>
    <col min="22" max="22" width="24" customWidth="1"/>
    <col min="23" max="23" width="19" customWidth="1"/>
    <col min="24" max="24" width="23" customWidth="1"/>
    <col min="25" max="25" width="70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>
        <v>2023</v>
      </c>
      <c r="C2">
        <v>7</v>
      </c>
      <c r="D2" t="s">
        <v>26</v>
      </c>
      <c r="E2">
        <v>1152.5</v>
      </c>
      <c r="F2">
        <v>130</v>
      </c>
      <c r="G2">
        <v>45.364783253424648</v>
      </c>
      <c r="H2">
        <v>1327.864783253425</v>
      </c>
      <c r="I2">
        <v>1.3278647832534241</v>
      </c>
      <c r="J2">
        <v>53.114591330136982</v>
      </c>
      <c r="K2">
        <v>6.6393239162671227</v>
      </c>
      <c r="L2">
        <v>0</v>
      </c>
      <c r="M2">
        <v>2.5</v>
      </c>
      <c r="N2">
        <v>29.54545454545455</v>
      </c>
      <c r="O2">
        <v>16</v>
      </c>
      <c r="P2">
        <v>4.0909090909090908</v>
      </c>
      <c r="Q2">
        <v>0</v>
      </c>
      <c r="R2">
        <v>0</v>
      </c>
      <c r="S2">
        <v>1441.082926919446</v>
      </c>
      <c r="T2">
        <v>1441.082926919446</v>
      </c>
      <c r="U2">
        <v>2.2737367544323211E-13</v>
      </c>
      <c r="V2">
        <v>2.2737367544323211E-13</v>
      </c>
      <c r="W2" t="s">
        <v>27</v>
      </c>
      <c r="X2">
        <f>+SUM(O7:O15)</f>
        <v>144</v>
      </c>
      <c r="Y2" t="s">
        <v>28</v>
      </c>
    </row>
    <row r="3" spans="1:25" x14ac:dyDescent="0.35">
      <c r="A3" t="s">
        <v>29</v>
      </c>
      <c r="B3">
        <v>2023</v>
      </c>
      <c r="C3">
        <v>8</v>
      </c>
      <c r="D3" t="s">
        <v>26</v>
      </c>
      <c r="E3">
        <v>1125</v>
      </c>
      <c r="F3">
        <v>130</v>
      </c>
      <c r="G3">
        <v>44.392049109589038</v>
      </c>
      <c r="H3">
        <v>1299.3920491095889</v>
      </c>
      <c r="I3">
        <v>1.2993920491095889</v>
      </c>
      <c r="J3">
        <v>51.975681964383568</v>
      </c>
      <c r="K3">
        <v>6.496960245547946</v>
      </c>
      <c r="L3">
        <v>0</v>
      </c>
      <c r="M3">
        <v>2.5</v>
      </c>
      <c r="N3">
        <v>29.54545454545455</v>
      </c>
      <c r="O3">
        <v>16</v>
      </c>
      <c r="P3">
        <v>4.0909090909090908</v>
      </c>
      <c r="Q3">
        <v>0</v>
      </c>
      <c r="R3">
        <v>0</v>
      </c>
      <c r="S3">
        <v>1411.3004470049941</v>
      </c>
      <c r="T3">
        <v>1411.3004470049941</v>
      </c>
      <c r="U3">
        <v>-4.5474735088646412E-13</v>
      </c>
      <c r="V3">
        <v>4.5474735088646412E-13</v>
      </c>
      <c r="W3" t="s">
        <v>27</v>
      </c>
      <c r="X3">
        <f>+SUM(P7:P15)</f>
        <v>36.81818181818182</v>
      </c>
      <c r="Y3" t="s">
        <v>28</v>
      </c>
    </row>
    <row r="4" spans="1:25" x14ac:dyDescent="0.35">
      <c r="A4" t="s">
        <v>30</v>
      </c>
      <c r="B4">
        <v>2023</v>
      </c>
      <c r="C4">
        <v>9</v>
      </c>
      <c r="D4" t="s">
        <v>26</v>
      </c>
      <c r="E4">
        <v>1118.75</v>
      </c>
      <c r="F4">
        <v>130</v>
      </c>
      <c r="G4">
        <v>44.170973167808221</v>
      </c>
      <c r="H4">
        <v>1292.9209731678079</v>
      </c>
      <c r="I4">
        <v>1.292920973167808</v>
      </c>
      <c r="J4">
        <v>51.716838926712327</v>
      </c>
      <c r="K4">
        <v>6.4646048658390409</v>
      </c>
      <c r="L4">
        <v>0</v>
      </c>
      <c r="M4">
        <v>2.5</v>
      </c>
      <c r="N4">
        <v>29.54545454545455</v>
      </c>
      <c r="O4">
        <v>16</v>
      </c>
      <c r="P4">
        <v>4.0909090909090908</v>
      </c>
      <c r="Q4">
        <v>0</v>
      </c>
      <c r="R4">
        <v>0</v>
      </c>
      <c r="S4">
        <v>1404.5317015698911</v>
      </c>
      <c r="T4">
        <v>1404.5317015698911</v>
      </c>
      <c r="U4">
        <v>-4.5474735088646412E-13</v>
      </c>
      <c r="V4">
        <v>4.5474735088646412E-13</v>
      </c>
      <c r="W4" t="s">
        <v>27</v>
      </c>
      <c r="X4">
        <f>+SUM(Q7:Q15)</f>
        <v>0</v>
      </c>
      <c r="Y4" t="s">
        <v>28</v>
      </c>
    </row>
    <row r="5" spans="1:25" x14ac:dyDescent="0.35">
      <c r="A5" t="s">
        <v>31</v>
      </c>
      <c r="B5">
        <v>2023</v>
      </c>
      <c r="C5">
        <v>10</v>
      </c>
      <c r="D5" t="s">
        <v>26</v>
      </c>
      <c r="E5">
        <v>1095</v>
      </c>
      <c r="F5">
        <v>130</v>
      </c>
      <c r="G5">
        <v>43.330884589041091</v>
      </c>
      <c r="H5">
        <v>1268.330884589041</v>
      </c>
      <c r="I5">
        <v>1.2683308845890411</v>
      </c>
      <c r="J5">
        <v>50.733235383561642</v>
      </c>
      <c r="K5">
        <v>6.3416544229452052</v>
      </c>
      <c r="L5">
        <v>0</v>
      </c>
      <c r="M5">
        <v>2.5</v>
      </c>
      <c r="N5">
        <v>29.54545454545455</v>
      </c>
      <c r="O5">
        <v>16</v>
      </c>
      <c r="P5">
        <v>4.0909090909090908</v>
      </c>
      <c r="Q5">
        <v>0</v>
      </c>
      <c r="R5">
        <v>0</v>
      </c>
      <c r="S5">
        <v>1378.8104689165</v>
      </c>
      <c r="T5">
        <v>1378.8104689165</v>
      </c>
      <c r="U5">
        <v>2.2737367544323211E-13</v>
      </c>
      <c r="V5">
        <v>2.2737367544323211E-13</v>
      </c>
      <c r="W5" t="s">
        <v>27</v>
      </c>
      <c r="X5">
        <f>+SUM(R7:R15)</f>
        <v>0</v>
      </c>
      <c r="Y5" t="s">
        <v>28</v>
      </c>
    </row>
    <row r="6" spans="1:25" x14ac:dyDescent="0.35">
      <c r="A6" t="s">
        <v>32</v>
      </c>
      <c r="B6">
        <v>2023</v>
      </c>
      <c r="C6">
        <v>11</v>
      </c>
      <c r="D6" t="s">
        <v>26</v>
      </c>
      <c r="E6">
        <v>1075.625</v>
      </c>
      <c r="F6">
        <v>130</v>
      </c>
      <c r="G6">
        <v>42.64554916952055</v>
      </c>
      <c r="H6">
        <v>1248.270549169521</v>
      </c>
      <c r="I6">
        <v>1.248270549169521</v>
      </c>
      <c r="J6">
        <v>49.930821966780833</v>
      </c>
      <c r="K6">
        <v>6.2413527458476032</v>
      </c>
      <c r="L6">
        <v>0</v>
      </c>
      <c r="M6">
        <v>2.5</v>
      </c>
      <c r="N6">
        <v>29.54545454545455</v>
      </c>
      <c r="O6">
        <v>16</v>
      </c>
      <c r="P6">
        <v>4.0909090909090908</v>
      </c>
      <c r="Q6">
        <v>0</v>
      </c>
      <c r="R6">
        <v>0</v>
      </c>
      <c r="S6">
        <v>1357.8273580676821</v>
      </c>
      <c r="T6">
        <v>1357.8273580676821</v>
      </c>
      <c r="U6">
        <v>2.2737367544323211E-13</v>
      </c>
      <c r="V6">
        <v>2.2737367544323211E-13</v>
      </c>
      <c r="W6" t="s">
        <v>27</v>
      </c>
      <c r="X6">
        <f>+SUM(S7:S15)</f>
        <v>12765.194855226207</v>
      </c>
      <c r="Y6" t="s">
        <v>28</v>
      </c>
    </row>
    <row r="7" spans="1:25" x14ac:dyDescent="0.35">
      <c r="A7" t="s">
        <v>33</v>
      </c>
      <c r="B7">
        <v>2023</v>
      </c>
      <c r="C7">
        <v>12</v>
      </c>
      <c r="D7" t="s">
        <v>26</v>
      </c>
      <c r="E7">
        <v>1056.25</v>
      </c>
      <c r="F7">
        <v>130</v>
      </c>
      <c r="G7">
        <v>41.960213750000001</v>
      </c>
      <c r="H7">
        <v>1228.2102137500001</v>
      </c>
      <c r="I7">
        <v>1.2282102137499999</v>
      </c>
      <c r="J7">
        <v>49.128408550000003</v>
      </c>
      <c r="K7">
        <v>6.1410510687500004</v>
      </c>
      <c r="L7">
        <v>0</v>
      </c>
      <c r="M7">
        <v>2.5</v>
      </c>
      <c r="N7">
        <v>29.54545454545455</v>
      </c>
      <c r="O7">
        <v>16</v>
      </c>
      <c r="P7">
        <v>4.0909090909090908</v>
      </c>
      <c r="Q7">
        <v>0</v>
      </c>
      <c r="R7">
        <v>0</v>
      </c>
      <c r="S7">
        <v>1336.8442472188631</v>
      </c>
      <c r="T7">
        <v>1336.8442472188631</v>
      </c>
      <c r="U7">
        <v>2.2737367544323211E-13</v>
      </c>
      <c r="V7">
        <v>2.2737367544323211E-13</v>
      </c>
      <c r="W7" t="s">
        <v>27</v>
      </c>
      <c r="X7">
        <f>+SUM(T7:T15)</f>
        <v>12765.194855226206</v>
      </c>
      <c r="Y7" t="s">
        <v>28</v>
      </c>
    </row>
    <row r="8" spans="1:25" x14ac:dyDescent="0.35">
      <c r="A8" t="s">
        <v>34</v>
      </c>
      <c r="B8">
        <v>2024</v>
      </c>
      <c r="C8">
        <v>1</v>
      </c>
      <c r="D8" t="s">
        <v>26</v>
      </c>
      <c r="E8">
        <v>1057.5</v>
      </c>
      <c r="F8">
        <v>130</v>
      </c>
      <c r="G8">
        <v>42.004428938356163</v>
      </c>
      <c r="H8">
        <v>1229.5044289383561</v>
      </c>
      <c r="I8">
        <v>1.2295044289383561</v>
      </c>
      <c r="J8">
        <v>49.180177157534253</v>
      </c>
      <c r="K8">
        <v>6.1475221446917807</v>
      </c>
      <c r="L8">
        <v>0</v>
      </c>
      <c r="M8">
        <v>2.5</v>
      </c>
      <c r="N8">
        <v>29.54545454545455</v>
      </c>
      <c r="O8">
        <v>16</v>
      </c>
      <c r="P8">
        <v>4.0909090909090908</v>
      </c>
      <c r="Q8">
        <v>0</v>
      </c>
      <c r="R8">
        <v>0</v>
      </c>
      <c r="S8">
        <v>1338.1979963058841</v>
      </c>
      <c r="T8">
        <v>1338.1979963058841</v>
      </c>
      <c r="U8">
        <v>-2.2737367544323211E-13</v>
      </c>
      <c r="V8">
        <v>2.2737367544323211E-13</v>
      </c>
      <c r="W8" t="s">
        <v>27</v>
      </c>
      <c r="X8">
        <f>+SUM(U7:U15)</f>
        <v>0</v>
      </c>
      <c r="Y8" t="s">
        <v>28</v>
      </c>
    </row>
    <row r="9" spans="1:25" x14ac:dyDescent="0.35">
      <c r="A9" t="s">
        <v>35</v>
      </c>
      <c r="B9">
        <v>2024</v>
      </c>
      <c r="C9">
        <v>2</v>
      </c>
      <c r="D9" t="s">
        <v>26</v>
      </c>
      <c r="E9">
        <v>1076.25</v>
      </c>
      <c r="F9">
        <v>130</v>
      </c>
      <c r="G9">
        <v>42.667656763698631</v>
      </c>
      <c r="H9">
        <v>1248.9176567636989</v>
      </c>
      <c r="I9">
        <v>1.248917656763699</v>
      </c>
      <c r="J9">
        <v>49.956706270547947</v>
      </c>
      <c r="K9">
        <v>6.2445882838184934</v>
      </c>
      <c r="L9">
        <v>0</v>
      </c>
      <c r="M9">
        <v>2.5</v>
      </c>
      <c r="N9">
        <v>29.54545454545455</v>
      </c>
      <c r="O9">
        <v>16</v>
      </c>
      <c r="P9">
        <v>4.0909090909090908</v>
      </c>
      <c r="Q9">
        <v>0</v>
      </c>
      <c r="R9">
        <v>0</v>
      </c>
      <c r="S9">
        <v>1358.5042326111929</v>
      </c>
      <c r="T9">
        <v>1358.504232611192</v>
      </c>
      <c r="U9">
        <v>6.8212102632969618E-13</v>
      </c>
      <c r="V9">
        <v>6.8212102632969618E-13</v>
      </c>
      <c r="W9" t="s">
        <v>27</v>
      </c>
      <c r="X9">
        <f>+SUM(V7:V15)</f>
        <v>3.637978807091713E-12</v>
      </c>
      <c r="Y9" t="s">
        <v>28</v>
      </c>
    </row>
    <row r="10" spans="1:25" x14ac:dyDescent="0.35">
      <c r="A10" t="s">
        <v>36</v>
      </c>
      <c r="B10">
        <v>2024</v>
      </c>
      <c r="C10">
        <v>3</v>
      </c>
      <c r="D10" t="s">
        <v>26</v>
      </c>
      <c r="E10">
        <v>1076.25</v>
      </c>
      <c r="F10">
        <v>130</v>
      </c>
      <c r="G10">
        <v>42.667656763698631</v>
      </c>
      <c r="H10">
        <v>1248.9176567636989</v>
      </c>
      <c r="I10">
        <v>1.248917656763699</v>
      </c>
      <c r="J10">
        <v>49.956706270547947</v>
      </c>
      <c r="K10">
        <v>6.2445882838184934</v>
      </c>
      <c r="L10">
        <v>0</v>
      </c>
      <c r="M10">
        <v>2.5</v>
      </c>
      <c r="N10">
        <v>29.54545454545455</v>
      </c>
      <c r="O10">
        <v>16</v>
      </c>
      <c r="P10">
        <v>4.0909090909090908</v>
      </c>
      <c r="Q10">
        <v>0</v>
      </c>
      <c r="R10">
        <v>0</v>
      </c>
      <c r="S10">
        <v>1358.5042326111929</v>
      </c>
      <c r="T10">
        <v>1358.504232611192</v>
      </c>
      <c r="U10">
        <v>6.8212102632969618E-13</v>
      </c>
      <c r="V10">
        <v>6.8212102632969618E-13</v>
      </c>
      <c r="W10" t="s">
        <v>27</v>
      </c>
      <c r="X10">
        <f>+SUM(W7:W15)</f>
        <v>0</v>
      </c>
      <c r="Y10" t="s">
        <v>28</v>
      </c>
    </row>
    <row r="11" spans="1:25" x14ac:dyDescent="0.35">
      <c r="A11" t="s">
        <v>37</v>
      </c>
      <c r="B11">
        <v>2024</v>
      </c>
      <c r="C11">
        <v>4</v>
      </c>
      <c r="D11" t="s">
        <v>26</v>
      </c>
      <c r="E11">
        <v>1082.5</v>
      </c>
      <c r="F11">
        <v>130</v>
      </c>
      <c r="G11">
        <v>42.888732705479448</v>
      </c>
      <c r="H11">
        <v>1255.388732705479</v>
      </c>
      <c r="I11">
        <v>1.25538873270548</v>
      </c>
      <c r="J11">
        <v>50.215549308219181</v>
      </c>
      <c r="K11">
        <v>6.2769436635273976</v>
      </c>
      <c r="L11">
        <v>0</v>
      </c>
      <c r="M11">
        <v>2.5</v>
      </c>
      <c r="N11">
        <v>29.54545454545455</v>
      </c>
      <c r="O11">
        <v>16</v>
      </c>
      <c r="P11">
        <v>4.0909090909090908</v>
      </c>
      <c r="Q11">
        <v>0</v>
      </c>
      <c r="R11">
        <v>0</v>
      </c>
      <c r="S11">
        <v>1365.2729780462951</v>
      </c>
      <c r="T11">
        <v>1365.2729780462951</v>
      </c>
      <c r="U11">
        <v>-4.5474735088646412E-13</v>
      </c>
      <c r="V11">
        <v>4.5474735088646412E-13</v>
      </c>
      <c r="W11" t="s">
        <v>27</v>
      </c>
      <c r="X11" t="str">
        <f ca="1">+SUM(X7:X15)</f>
        <v/>
      </c>
      <c r="Y11" t="s">
        <v>28</v>
      </c>
    </row>
    <row r="12" spans="1:25" x14ac:dyDescent="0.35">
      <c r="A12" t="s">
        <v>38</v>
      </c>
      <c r="B12">
        <v>2024</v>
      </c>
      <c r="C12">
        <v>6</v>
      </c>
      <c r="D12" t="s">
        <v>26</v>
      </c>
      <c r="E12">
        <v>1082.5</v>
      </c>
      <c r="F12">
        <v>130</v>
      </c>
      <c r="G12">
        <v>42.888732705479448</v>
      </c>
      <c r="H12">
        <v>1255.388732705479</v>
      </c>
      <c r="I12">
        <v>1.25538873270548</v>
      </c>
      <c r="J12">
        <v>50.215549308219181</v>
      </c>
      <c r="K12">
        <v>6.2769436635273976</v>
      </c>
      <c r="L12">
        <v>0</v>
      </c>
      <c r="M12">
        <v>2.5</v>
      </c>
      <c r="N12">
        <v>29.54545454545455</v>
      </c>
      <c r="O12">
        <v>16</v>
      </c>
      <c r="P12">
        <v>4.0909090909090908</v>
      </c>
      <c r="Q12">
        <v>0</v>
      </c>
      <c r="R12">
        <v>0</v>
      </c>
      <c r="S12">
        <v>1365.2729780462951</v>
      </c>
      <c r="T12">
        <v>1365.2729780462951</v>
      </c>
      <c r="U12">
        <v>-4.5474735088646412E-13</v>
      </c>
      <c r="V12">
        <v>4.5474735088646412E-13</v>
      </c>
      <c r="W12" t="s">
        <v>27</v>
      </c>
      <c r="X12">
        <f>+SUM(Y7:Y15)</f>
        <v>0</v>
      </c>
      <c r="Y12" t="s">
        <v>28</v>
      </c>
    </row>
    <row r="13" spans="1:25" x14ac:dyDescent="0.35">
      <c r="A13" t="s">
        <v>39</v>
      </c>
      <c r="B13">
        <v>2024</v>
      </c>
      <c r="C13">
        <v>7</v>
      </c>
      <c r="D13" t="s">
        <v>26</v>
      </c>
      <c r="E13">
        <v>1082.5</v>
      </c>
      <c r="F13">
        <v>130</v>
      </c>
      <c r="G13">
        <v>42.888732705479448</v>
      </c>
      <c r="H13">
        <v>1255.388732705479</v>
      </c>
      <c r="I13">
        <v>1.25538873270548</v>
      </c>
      <c r="J13">
        <v>50.215549308219181</v>
      </c>
      <c r="K13">
        <v>6.2769436635273976</v>
      </c>
      <c r="L13">
        <v>0</v>
      </c>
      <c r="M13">
        <v>2.5</v>
      </c>
      <c r="N13">
        <v>29.54545454545455</v>
      </c>
      <c r="O13">
        <v>16</v>
      </c>
      <c r="P13">
        <v>4.0909090909090908</v>
      </c>
      <c r="Q13">
        <v>0</v>
      </c>
      <c r="R13">
        <v>0</v>
      </c>
      <c r="S13">
        <v>1365.2729780462951</v>
      </c>
      <c r="T13">
        <v>1365.2729780462951</v>
      </c>
      <c r="U13">
        <v>-4.5474735088646412E-13</v>
      </c>
      <c r="V13">
        <v>4.5474735088646412E-13</v>
      </c>
      <c r="W13" t="s">
        <v>27</v>
      </c>
      <c r="X13">
        <f>+SUM(Z7:Z15)</f>
        <v>0</v>
      </c>
      <c r="Y13" t="s">
        <v>28</v>
      </c>
    </row>
    <row r="14" spans="1:25" x14ac:dyDescent="0.35">
      <c r="A14" t="s">
        <v>40</v>
      </c>
      <c r="B14">
        <v>2024</v>
      </c>
      <c r="C14">
        <v>8</v>
      </c>
      <c r="D14" t="s">
        <v>26</v>
      </c>
      <c r="E14">
        <v>1073</v>
      </c>
      <c r="F14">
        <v>390</v>
      </c>
      <c r="G14">
        <v>51.749456452054787</v>
      </c>
      <c r="H14">
        <v>1514.749456452055</v>
      </c>
      <c r="I14">
        <v>1.5147494564520549</v>
      </c>
      <c r="J14">
        <v>60.589978258082191</v>
      </c>
      <c r="K14">
        <v>7.5737472822602738</v>
      </c>
      <c r="L14">
        <v>0</v>
      </c>
      <c r="M14">
        <v>2.5</v>
      </c>
      <c r="N14">
        <v>29.54545454545455</v>
      </c>
      <c r="O14">
        <v>16</v>
      </c>
      <c r="P14">
        <v>4.0909090909090908</v>
      </c>
      <c r="Q14">
        <v>0</v>
      </c>
      <c r="R14">
        <v>0</v>
      </c>
      <c r="S14">
        <v>1636.564295085213</v>
      </c>
      <c r="T14">
        <v>1636.564295085213</v>
      </c>
      <c r="U14">
        <v>2.2737367544323211E-13</v>
      </c>
      <c r="V14">
        <v>2.2737367544323211E-13</v>
      </c>
      <c r="W14" t="s">
        <v>27</v>
      </c>
      <c r="X14">
        <f>+SUM(AA7:AA15)</f>
        <v>0</v>
      </c>
      <c r="Y14" t="s">
        <v>28</v>
      </c>
    </row>
    <row r="15" spans="1:25" x14ac:dyDescent="0.35">
      <c r="A15" t="s">
        <v>41</v>
      </c>
      <c r="B15">
        <v>2024</v>
      </c>
      <c r="C15">
        <v>9</v>
      </c>
      <c r="D15" t="s">
        <v>26</v>
      </c>
      <c r="E15">
        <v>1076.875</v>
      </c>
      <c r="F15">
        <v>390</v>
      </c>
      <c r="G15">
        <v>51.886523535958901</v>
      </c>
      <c r="H15">
        <v>1518.761523535959</v>
      </c>
      <c r="I15">
        <v>1.5187615235359591</v>
      </c>
      <c r="J15">
        <v>60.750460941438362</v>
      </c>
      <c r="K15">
        <v>7.5938076176797953</v>
      </c>
      <c r="L15">
        <v>0</v>
      </c>
      <c r="M15">
        <v>2.5</v>
      </c>
      <c r="N15">
        <v>29.54545454545455</v>
      </c>
      <c r="O15">
        <v>16</v>
      </c>
      <c r="P15">
        <v>4.0909090909090908</v>
      </c>
      <c r="Q15">
        <v>0</v>
      </c>
      <c r="R15">
        <v>0</v>
      </c>
      <c r="S15">
        <v>1640.7609172549769</v>
      </c>
      <c r="T15">
        <v>1640.7609172549769</v>
      </c>
      <c r="U15">
        <v>-2.2737367544323211E-13</v>
      </c>
      <c r="V15">
        <v>2.2737367544323211E-13</v>
      </c>
      <c r="W15" t="s">
        <v>27</v>
      </c>
      <c r="X15">
        <f>+SUM(AB7:AB15)</f>
        <v>0</v>
      </c>
      <c r="Y15" t="s">
        <v>28</v>
      </c>
    </row>
    <row r="16" spans="1:25" x14ac:dyDescent="0.35">
      <c r="A16" t="s">
        <v>42</v>
      </c>
      <c r="B16">
        <v>2024</v>
      </c>
      <c r="C16">
        <v>10</v>
      </c>
      <c r="D16" t="s">
        <v>26</v>
      </c>
      <c r="E16">
        <v>1076.875</v>
      </c>
      <c r="F16">
        <v>390</v>
      </c>
      <c r="G16">
        <v>51.886523535958901</v>
      </c>
      <c r="H16">
        <v>1518.761523535959</v>
      </c>
      <c r="I16">
        <v>1.5187615235359591</v>
      </c>
      <c r="J16">
        <v>60.750460941438362</v>
      </c>
      <c r="K16">
        <v>7.5938076176797953</v>
      </c>
      <c r="L16">
        <v>0</v>
      </c>
      <c r="M16">
        <v>2.5</v>
      </c>
      <c r="N16">
        <v>29.54545454545455</v>
      </c>
      <c r="O16">
        <v>16</v>
      </c>
      <c r="P16">
        <v>4.0909090909090908</v>
      </c>
      <c r="Q16">
        <v>0</v>
      </c>
      <c r="R16">
        <v>0</v>
      </c>
      <c r="S16">
        <v>1640.7609172549769</v>
      </c>
      <c r="T16">
        <v>1640.7609172549769</v>
      </c>
      <c r="U16">
        <v>-2.2737367544323211E-13</v>
      </c>
      <c r="V16">
        <v>2.2737367544323211E-13</v>
      </c>
      <c r="W16" t="s">
        <v>27</v>
      </c>
      <c r="X16">
        <f>+SUM(AC7:AC15)</f>
        <v>0</v>
      </c>
      <c r="Y16" t="s">
        <v>28</v>
      </c>
    </row>
    <row r="17" spans="1:25" x14ac:dyDescent="0.35">
      <c r="A17" t="s">
        <v>43</v>
      </c>
      <c r="B17">
        <v>2024</v>
      </c>
      <c r="C17">
        <v>11</v>
      </c>
      <c r="D17" t="s">
        <v>26</v>
      </c>
      <c r="E17">
        <v>1060</v>
      </c>
      <c r="F17">
        <v>264</v>
      </c>
      <c r="G17">
        <v>46.832727506849317</v>
      </c>
      <c r="H17">
        <v>1370.8327275068491</v>
      </c>
      <c r="I17">
        <v>1.370832727506849</v>
      </c>
      <c r="J17">
        <v>54.833309100273972</v>
      </c>
      <c r="K17">
        <v>6.8541636375342474</v>
      </c>
      <c r="L17">
        <v>0</v>
      </c>
      <c r="M17">
        <v>2.5</v>
      </c>
      <c r="N17">
        <v>29.54545454545455</v>
      </c>
      <c r="O17">
        <v>16</v>
      </c>
      <c r="P17">
        <v>4.0909090909090908</v>
      </c>
      <c r="Q17">
        <v>0</v>
      </c>
      <c r="R17">
        <v>0</v>
      </c>
      <c r="S17">
        <v>1486.0273966085281</v>
      </c>
      <c r="T17">
        <v>1486.0273966085281</v>
      </c>
      <c r="U17">
        <v>-4.5474735088646412E-13</v>
      </c>
      <c r="V17">
        <v>4.5474735088646412E-13</v>
      </c>
      <c r="W17" t="s">
        <v>27</v>
      </c>
      <c r="X17">
        <f>+SUM(AD7:AD15)</f>
        <v>0</v>
      </c>
      <c r="Y17" t="s">
        <v>28</v>
      </c>
    </row>
    <row r="18" spans="1:25" x14ac:dyDescent="0.35">
      <c r="A18" t="s">
        <v>44</v>
      </c>
      <c r="B18">
        <v>2024</v>
      </c>
      <c r="C18">
        <v>12</v>
      </c>
      <c r="D18" t="s">
        <v>26</v>
      </c>
      <c r="E18">
        <v>806</v>
      </c>
      <c r="F18">
        <v>157</v>
      </c>
      <c r="G18">
        <v>37.111513561643839</v>
      </c>
      <c r="H18">
        <v>1000.111513561644</v>
      </c>
      <c r="I18">
        <v>1.0001115135616441</v>
      </c>
      <c r="J18">
        <v>40.004460542465758</v>
      </c>
      <c r="K18">
        <v>5.0005575678082197</v>
      </c>
      <c r="L18">
        <v>0</v>
      </c>
      <c r="M18">
        <v>2.5</v>
      </c>
      <c r="N18">
        <v>29.54545454545455</v>
      </c>
      <c r="O18">
        <v>16</v>
      </c>
      <c r="P18">
        <v>4.0909090909090908</v>
      </c>
      <c r="Q18">
        <v>0</v>
      </c>
      <c r="R18">
        <v>0</v>
      </c>
      <c r="S18">
        <v>1098.253006821843</v>
      </c>
      <c r="T18">
        <v>1098.253006821843</v>
      </c>
      <c r="U18">
        <v>2.2737367544323211E-13</v>
      </c>
      <c r="V18">
        <v>2.2737367544323211E-13</v>
      </c>
      <c r="W18" t="s">
        <v>27</v>
      </c>
      <c r="X18">
        <f>+SUM(AE7:AE15)</f>
        <v>0</v>
      </c>
      <c r="Y18" t="s">
        <v>28</v>
      </c>
    </row>
    <row r="19" spans="1:25" x14ac:dyDescent="0.35">
      <c r="A19" t="s">
        <v>45</v>
      </c>
      <c r="B19">
        <v>2025</v>
      </c>
      <c r="C19">
        <v>1</v>
      </c>
      <c r="D19" t="s">
        <v>26</v>
      </c>
      <c r="E19">
        <v>806</v>
      </c>
      <c r="F19">
        <v>134.09090909090909</v>
      </c>
      <c r="G19">
        <v>36.228656824408468</v>
      </c>
      <c r="H19">
        <v>976.31956591531764</v>
      </c>
      <c r="I19">
        <v>0.97631956591531766</v>
      </c>
      <c r="J19">
        <v>39.052782636612697</v>
      </c>
      <c r="K19">
        <v>4.8815978295765881</v>
      </c>
      <c r="L19">
        <v>0</v>
      </c>
      <c r="M19">
        <v>3.5</v>
      </c>
      <c r="N19">
        <v>29.54545454545455</v>
      </c>
      <c r="O19">
        <v>16</v>
      </c>
      <c r="P19">
        <v>4.0909090909090908</v>
      </c>
      <c r="Q19">
        <v>0</v>
      </c>
      <c r="R19">
        <v>0</v>
      </c>
      <c r="S19">
        <v>1074.3666295837861</v>
      </c>
      <c r="T19">
        <v>1074.3666295837861</v>
      </c>
      <c r="U19">
        <v>-4.5474735088646412E-13</v>
      </c>
      <c r="V19">
        <v>4.5474735088646412E-13</v>
      </c>
      <c r="W19" t="s">
        <v>27</v>
      </c>
      <c r="X19">
        <f>+SUM(AF7:AF15)</f>
        <v>0</v>
      </c>
      <c r="Y19" t="s">
        <v>28</v>
      </c>
    </row>
    <row r="20" spans="1:25" x14ac:dyDescent="0.35">
      <c r="A20" t="s">
        <v>46</v>
      </c>
      <c r="B20">
        <v>2025</v>
      </c>
      <c r="C20">
        <v>2</v>
      </c>
      <c r="D20" t="s">
        <v>26</v>
      </c>
      <c r="E20">
        <v>796.66666666666663</v>
      </c>
      <c r="F20">
        <v>106.1363636363636</v>
      </c>
      <c r="G20">
        <v>34.791679026567053</v>
      </c>
      <c r="H20">
        <v>937.59470932959732</v>
      </c>
      <c r="I20">
        <v>0.93759470932959732</v>
      </c>
      <c r="J20">
        <v>37.503788373183887</v>
      </c>
      <c r="K20">
        <v>4.6879735466479868</v>
      </c>
      <c r="L20">
        <v>0</v>
      </c>
      <c r="M20">
        <v>4.5</v>
      </c>
      <c r="N20">
        <v>29.54545454545455</v>
      </c>
      <c r="O20">
        <v>16</v>
      </c>
      <c r="P20">
        <v>4.0909090909090908</v>
      </c>
      <c r="Q20">
        <v>0</v>
      </c>
      <c r="R20">
        <v>0</v>
      </c>
      <c r="S20">
        <v>1034.860429595122</v>
      </c>
      <c r="T20">
        <v>1034.860429595122</v>
      </c>
      <c r="U20">
        <v>2.2737367544323211E-13</v>
      </c>
      <c r="V20">
        <v>2.2737367544323211E-13</v>
      </c>
      <c r="W20" t="s">
        <v>27</v>
      </c>
      <c r="X20">
        <f>+SUM(AG7:AG15)</f>
        <v>0</v>
      </c>
      <c r="Y20" t="s">
        <v>28</v>
      </c>
    </row>
    <row r="21" spans="1:25" x14ac:dyDescent="0.35">
      <c r="A21" t="s">
        <v>47</v>
      </c>
      <c r="B21">
        <v>2025</v>
      </c>
      <c r="C21">
        <v>3</v>
      </c>
      <c r="D21" t="s">
        <v>26</v>
      </c>
      <c r="E21">
        <v>799.5</v>
      </c>
      <c r="F21">
        <v>106.1363636363636</v>
      </c>
      <c r="G21">
        <v>34.900868318804477</v>
      </c>
      <c r="H21">
        <v>940.53723195516807</v>
      </c>
      <c r="I21">
        <v>0.94053723195516814</v>
      </c>
      <c r="J21">
        <v>37.621489278206717</v>
      </c>
      <c r="K21">
        <v>4.7026861597758396</v>
      </c>
      <c r="L21">
        <v>0</v>
      </c>
      <c r="M21">
        <v>4.5</v>
      </c>
      <c r="N21">
        <v>29.54545454545455</v>
      </c>
      <c r="O21">
        <v>16</v>
      </c>
      <c r="P21">
        <v>4.0909090909090908</v>
      </c>
      <c r="Q21">
        <v>0</v>
      </c>
      <c r="R21">
        <v>0</v>
      </c>
      <c r="S21">
        <v>1037.938308261469</v>
      </c>
      <c r="T21">
        <v>1037.938308261469</v>
      </c>
      <c r="U21">
        <v>2.2737367544323211E-13</v>
      </c>
      <c r="V21">
        <v>2.2737367544323211E-13</v>
      </c>
      <c r="W21" t="s">
        <v>27</v>
      </c>
      <c r="X21">
        <f>+SUM(AH7:AH15)</f>
        <v>0</v>
      </c>
      <c r="Y21" t="s">
        <v>28</v>
      </c>
    </row>
    <row r="22" spans="1:25" x14ac:dyDescent="0.35">
      <c r="A22" t="s">
        <v>48</v>
      </c>
      <c r="B22">
        <v>2025</v>
      </c>
      <c r="C22">
        <v>4</v>
      </c>
      <c r="D22" t="s">
        <v>26</v>
      </c>
      <c r="E22">
        <v>803.125</v>
      </c>
      <c r="F22">
        <v>96.681818181818187</v>
      </c>
      <c r="G22">
        <v>34.676212809775848</v>
      </c>
      <c r="H22">
        <v>934.48303099159409</v>
      </c>
      <c r="I22">
        <v>0.93448303099159413</v>
      </c>
      <c r="J22">
        <v>37.379321239663767</v>
      </c>
      <c r="K22">
        <v>4.6724151549579709</v>
      </c>
      <c r="L22">
        <v>0</v>
      </c>
      <c r="M22">
        <v>4.5</v>
      </c>
      <c r="N22">
        <v>29.54545454545455</v>
      </c>
      <c r="O22">
        <v>16</v>
      </c>
      <c r="P22">
        <v>4.0909090909090908</v>
      </c>
      <c r="Q22">
        <v>0</v>
      </c>
      <c r="R22">
        <v>0</v>
      </c>
      <c r="S22">
        <v>1031.6056140535709</v>
      </c>
      <c r="T22">
        <v>1031.6056140535709</v>
      </c>
      <c r="U22">
        <v>2.2737367544323211E-13</v>
      </c>
      <c r="V22">
        <v>2.2737367544323211E-13</v>
      </c>
      <c r="W22" t="s">
        <v>27</v>
      </c>
      <c r="X22">
        <f>+SUM(AI7:AI15)</f>
        <v>0</v>
      </c>
      <c r="Y22" t="s">
        <v>28</v>
      </c>
    </row>
    <row r="23" spans="1:25" x14ac:dyDescent="0.35">
      <c r="A23" t="s">
        <v>49</v>
      </c>
      <c r="B23">
        <v>2025</v>
      </c>
      <c r="C23">
        <v>5</v>
      </c>
      <c r="D23" t="s">
        <v>26</v>
      </c>
      <c r="E23">
        <v>786.25</v>
      </c>
      <c r="F23">
        <v>96.681818181818187</v>
      </c>
      <c r="G23">
        <v>34.025894231008721</v>
      </c>
      <c r="H23">
        <v>916.95771241282694</v>
      </c>
      <c r="I23">
        <v>0.91695771241282698</v>
      </c>
      <c r="J23">
        <v>36.678308496513083</v>
      </c>
      <c r="K23">
        <v>4.5847885620641344</v>
      </c>
      <c r="L23">
        <v>0</v>
      </c>
      <c r="M23">
        <v>4.5</v>
      </c>
      <c r="N23">
        <v>29.54545454545455</v>
      </c>
      <c r="O23">
        <v>16</v>
      </c>
      <c r="P23">
        <v>4.0909090909090908</v>
      </c>
      <c r="Q23">
        <v>0</v>
      </c>
      <c r="R23">
        <v>0</v>
      </c>
      <c r="S23">
        <v>1013.274130820181</v>
      </c>
      <c r="T23">
        <v>1013.274130820181</v>
      </c>
      <c r="U23">
        <v>-4.5474735088646412E-13</v>
      </c>
      <c r="V23">
        <v>4.5474735088646412E-13</v>
      </c>
      <c r="W23" t="s">
        <v>27</v>
      </c>
      <c r="X23">
        <f>+SUM(AJ7:AJ15)</f>
        <v>0</v>
      </c>
      <c r="Y23" t="s">
        <v>28</v>
      </c>
    </row>
    <row r="24" spans="1:25" x14ac:dyDescent="0.35">
      <c r="A24" t="s">
        <v>50</v>
      </c>
      <c r="B24">
        <v>2025</v>
      </c>
      <c r="C24">
        <v>6</v>
      </c>
      <c r="D24" t="s">
        <v>26</v>
      </c>
      <c r="E24">
        <v>745.625</v>
      </c>
      <c r="F24">
        <v>96.681818181818187</v>
      </c>
      <c r="G24">
        <v>32.460312467310096</v>
      </c>
      <c r="H24">
        <v>874.76713064912838</v>
      </c>
      <c r="I24">
        <v>0.87476713064912837</v>
      </c>
      <c r="J24">
        <v>34.990685225965137</v>
      </c>
      <c r="K24">
        <v>4.3738356532456422</v>
      </c>
      <c r="L24">
        <v>0</v>
      </c>
      <c r="M24">
        <v>4.5</v>
      </c>
      <c r="N24">
        <v>29.54545454545455</v>
      </c>
      <c r="O24">
        <v>16</v>
      </c>
      <c r="P24">
        <v>4.0909090909090908</v>
      </c>
      <c r="Q24">
        <v>0</v>
      </c>
      <c r="R24">
        <v>0</v>
      </c>
      <c r="S24">
        <v>969.14278229535194</v>
      </c>
      <c r="T24">
        <v>969.14278229535194</v>
      </c>
      <c r="U24">
        <v>0</v>
      </c>
      <c r="V24">
        <v>0</v>
      </c>
      <c r="W24" t="s">
        <v>27</v>
      </c>
      <c r="X24">
        <f>+SUM(AK7:AK15)</f>
        <v>0</v>
      </c>
      <c r="Y24" t="s">
        <v>28</v>
      </c>
    </row>
    <row r="25" spans="1:25" x14ac:dyDescent="0.35">
      <c r="A25" t="s">
        <v>51</v>
      </c>
      <c r="B25">
        <v>2025</v>
      </c>
      <c r="C25">
        <v>7</v>
      </c>
      <c r="D25" t="s">
        <v>26</v>
      </c>
      <c r="E25">
        <v>775</v>
      </c>
      <c r="F25">
        <v>96.681818181818187</v>
      </c>
      <c r="G25">
        <v>33.592348511830643</v>
      </c>
      <c r="H25">
        <v>905.27416669364891</v>
      </c>
      <c r="I25">
        <v>0.90527416669364891</v>
      </c>
      <c r="J25">
        <v>36.210966667745957</v>
      </c>
      <c r="K25">
        <v>4.5263708334682446</v>
      </c>
      <c r="L25">
        <v>0</v>
      </c>
      <c r="M25">
        <v>4.5</v>
      </c>
      <c r="N25">
        <v>29.54545454545455</v>
      </c>
      <c r="O25">
        <v>16</v>
      </c>
      <c r="P25">
        <v>4.0909090909090908</v>
      </c>
      <c r="Q25">
        <v>0</v>
      </c>
      <c r="R25">
        <v>0</v>
      </c>
      <c r="S25">
        <v>1001.05314199792</v>
      </c>
      <c r="T25">
        <v>1001.05314199792</v>
      </c>
      <c r="U25">
        <v>4.5474735088646412E-13</v>
      </c>
      <c r="V25">
        <v>4.5474735088646412E-13</v>
      </c>
      <c r="W25" t="s">
        <v>27</v>
      </c>
      <c r="X25">
        <f>+SUM(AL7:AL15)</f>
        <v>0</v>
      </c>
      <c r="Y25" t="s">
        <v>28</v>
      </c>
    </row>
    <row r="26" spans="1:25" x14ac:dyDescent="0.35">
      <c r="A26" t="s">
        <v>52</v>
      </c>
      <c r="B26">
        <v>2025</v>
      </c>
      <c r="C26">
        <v>8</v>
      </c>
      <c r="D26" t="s">
        <v>26</v>
      </c>
      <c r="E26">
        <v>793.125</v>
      </c>
      <c r="F26">
        <v>96.681818181818187</v>
      </c>
      <c r="G26">
        <v>0</v>
      </c>
      <c r="H26">
        <v>889.80681818181824</v>
      </c>
      <c r="I26">
        <v>0.88980681818181828</v>
      </c>
      <c r="J26">
        <v>35.592272727272729</v>
      </c>
      <c r="K26">
        <v>4.4490340909090911</v>
      </c>
      <c r="L26">
        <v>0</v>
      </c>
      <c r="M26">
        <v>4.5</v>
      </c>
      <c r="N26">
        <v>29.54545454545455</v>
      </c>
      <c r="O26">
        <v>16</v>
      </c>
      <c r="P26">
        <v>4.0909090909090908</v>
      </c>
      <c r="Q26">
        <v>0</v>
      </c>
      <c r="R26">
        <v>0</v>
      </c>
      <c r="S26">
        <v>984.87429545454552</v>
      </c>
      <c r="T26">
        <v>984.87429545454552</v>
      </c>
      <c r="U26">
        <v>0</v>
      </c>
      <c r="V26">
        <v>0</v>
      </c>
      <c r="W26" t="s">
        <v>27</v>
      </c>
      <c r="X26">
        <f>+SUM(AM7:AM15)</f>
        <v>0</v>
      </c>
      <c r="Y26" t="s">
        <v>28</v>
      </c>
    </row>
    <row r="27" spans="1:25" x14ac:dyDescent="0.35">
      <c r="A27" t="s">
        <v>53</v>
      </c>
      <c r="B27">
        <v>2025</v>
      </c>
      <c r="C27">
        <v>9</v>
      </c>
      <c r="D27" t="s">
        <v>26</v>
      </c>
      <c r="E27">
        <v>781.875</v>
      </c>
      <c r="F27">
        <v>191.3636363636364</v>
      </c>
      <c r="G27">
        <v>0</v>
      </c>
      <c r="H27">
        <v>973.23863636363637</v>
      </c>
      <c r="I27">
        <v>0.97323863636363639</v>
      </c>
      <c r="J27">
        <v>38.929545454545448</v>
      </c>
      <c r="K27">
        <v>4.8661931818181818</v>
      </c>
      <c r="L27">
        <v>0</v>
      </c>
      <c r="M27">
        <v>0</v>
      </c>
      <c r="N27">
        <v>30.51</v>
      </c>
      <c r="O27">
        <v>0</v>
      </c>
      <c r="P27">
        <v>0</v>
      </c>
      <c r="Q27">
        <v>36.020000000000003</v>
      </c>
      <c r="R27">
        <v>7.0173000000000014</v>
      </c>
      <c r="S27">
        <v>1091.5549136363641</v>
      </c>
      <c r="T27">
        <v>1091.5549136363641</v>
      </c>
      <c r="U27">
        <v>-4.5474735088646412E-13</v>
      </c>
      <c r="V27">
        <v>4.5474735088646412E-13</v>
      </c>
      <c r="W27" t="s">
        <v>27</v>
      </c>
      <c r="X27">
        <f>+SUM(AN7:AN17)</f>
        <v>0</v>
      </c>
      <c r="Y27" t="s">
        <v>28</v>
      </c>
    </row>
    <row r="28" spans="1:25" x14ac:dyDescent="0.35">
      <c r="A28" t="s">
        <v>54</v>
      </c>
      <c r="B28">
        <v>2025</v>
      </c>
      <c r="C28">
        <v>10</v>
      </c>
      <c r="D28" t="s">
        <v>26</v>
      </c>
      <c r="E28">
        <v>774</v>
      </c>
      <c r="F28">
        <v>225</v>
      </c>
      <c r="G28">
        <v>0</v>
      </c>
      <c r="H28">
        <v>999</v>
      </c>
      <c r="I28">
        <v>0.999</v>
      </c>
      <c r="J28">
        <v>39.96</v>
      </c>
      <c r="K28">
        <v>4.9950000000000001</v>
      </c>
      <c r="L28">
        <v>0</v>
      </c>
      <c r="M28">
        <v>0</v>
      </c>
      <c r="N28">
        <v>30.51</v>
      </c>
      <c r="O28">
        <v>0</v>
      </c>
      <c r="P28">
        <v>0</v>
      </c>
      <c r="Q28">
        <v>36.020000000000003</v>
      </c>
      <c r="R28">
        <v>7.0173000000000014</v>
      </c>
      <c r="S28">
        <v>1118.5012999999999</v>
      </c>
      <c r="T28">
        <v>1118.5012999999999</v>
      </c>
      <c r="U28">
        <v>0</v>
      </c>
      <c r="V28">
        <v>0</v>
      </c>
      <c r="W28" t="s">
        <v>27</v>
      </c>
      <c r="X28">
        <f>+SUM(AO7:AO17)</f>
        <v>0</v>
      </c>
      <c r="Y28" t="s">
        <v>28</v>
      </c>
    </row>
    <row r="29" spans="1:25" x14ac:dyDescent="0.35">
      <c r="A29" t="s">
        <v>55</v>
      </c>
      <c r="B29">
        <v>2025</v>
      </c>
      <c r="C29">
        <v>11</v>
      </c>
      <c r="D29" t="s">
        <v>26</v>
      </c>
      <c r="E29">
        <v>765</v>
      </c>
      <c r="F29">
        <v>225</v>
      </c>
      <c r="G29">
        <v>0</v>
      </c>
      <c r="H29">
        <v>990</v>
      </c>
      <c r="I29">
        <v>0.99</v>
      </c>
      <c r="J29">
        <v>39.6</v>
      </c>
      <c r="K29">
        <v>4.95</v>
      </c>
      <c r="L29">
        <v>0</v>
      </c>
      <c r="M29">
        <v>0</v>
      </c>
      <c r="N29">
        <v>30.51</v>
      </c>
      <c r="O29">
        <v>0</v>
      </c>
      <c r="P29">
        <v>0</v>
      </c>
      <c r="Q29">
        <v>36.020000000000003</v>
      </c>
      <c r="R29">
        <v>7.0173000000000014</v>
      </c>
      <c r="S29">
        <v>1109.0872999999999</v>
      </c>
      <c r="T29">
        <v>1109.0872999999999</v>
      </c>
      <c r="U29">
        <v>0</v>
      </c>
      <c r="V29">
        <v>0</v>
      </c>
      <c r="W29" t="s">
        <v>27</v>
      </c>
      <c r="X29">
        <f>+SUM(AP7:AP17)</f>
        <v>0</v>
      </c>
      <c r="Y29" t="s">
        <v>28</v>
      </c>
    </row>
    <row r="30" spans="1:25" x14ac:dyDescent="0.35">
      <c r="A30" t="s">
        <v>56</v>
      </c>
      <c r="B30">
        <v>2025</v>
      </c>
      <c r="C30">
        <v>12</v>
      </c>
      <c r="D30" t="s">
        <v>26</v>
      </c>
      <c r="E30">
        <v>752</v>
      </c>
      <c r="F30">
        <v>225</v>
      </c>
      <c r="G30">
        <v>0</v>
      </c>
      <c r="H30">
        <v>977</v>
      </c>
      <c r="I30">
        <v>0.97699999999999998</v>
      </c>
      <c r="J30">
        <v>39.08</v>
      </c>
      <c r="K30">
        <v>4.8849999999999998</v>
      </c>
      <c r="L30">
        <v>0</v>
      </c>
      <c r="M30">
        <v>0</v>
      </c>
      <c r="N30">
        <v>30.51</v>
      </c>
      <c r="O30">
        <v>0</v>
      </c>
      <c r="P30">
        <v>0</v>
      </c>
      <c r="Q30">
        <v>36.020000000000003</v>
      </c>
      <c r="R30">
        <v>7.0173000000000014</v>
      </c>
      <c r="S30">
        <v>1095.4893</v>
      </c>
      <c r="T30">
        <v>1095.4893</v>
      </c>
      <c r="U30">
        <v>0</v>
      </c>
      <c r="V30">
        <v>0</v>
      </c>
      <c r="W30" t="s">
        <v>27</v>
      </c>
      <c r="X30">
        <f>+SUM(AQ7:AQ17)</f>
        <v>0</v>
      </c>
      <c r="Y30" t="s">
        <v>28</v>
      </c>
    </row>
    <row r="31" spans="1:25" x14ac:dyDescent="0.35">
      <c r="A31" t="s">
        <v>57</v>
      </c>
      <c r="B31">
        <v>2026</v>
      </c>
      <c r="C31">
        <v>1</v>
      </c>
      <c r="D31" t="s">
        <v>26</v>
      </c>
      <c r="E31">
        <v>748.75</v>
      </c>
      <c r="F31">
        <v>225</v>
      </c>
      <c r="G31">
        <v>0</v>
      </c>
      <c r="H31">
        <v>973.75</v>
      </c>
      <c r="I31">
        <v>0.97375</v>
      </c>
      <c r="J31">
        <v>38.950000000000003</v>
      </c>
      <c r="K31">
        <v>4.8687500000000004</v>
      </c>
      <c r="L31">
        <v>0</v>
      </c>
      <c r="M31">
        <v>0</v>
      </c>
      <c r="N31">
        <v>30.51</v>
      </c>
      <c r="O31">
        <v>0</v>
      </c>
      <c r="P31">
        <v>0</v>
      </c>
      <c r="Q31">
        <v>36.020000000000003</v>
      </c>
      <c r="R31">
        <v>7.0173000000000014</v>
      </c>
      <c r="S31">
        <v>1092.0898</v>
      </c>
      <c r="T31">
        <v>1092.0898</v>
      </c>
      <c r="U31">
        <v>0</v>
      </c>
      <c r="V31">
        <v>0</v>
      </c>
      <c r="W31" t="s">
        <v>27</v>
      </c>
      <c r="X31">
        <f>+SUM(AR7:AR17)</f>
        <v>0</v>
      </c>
      <c r="Y31" t="s">
        <v>28</v>
      </c>
    </row>
    <row r="32" spans="1:25" x14ac:dyDescent="0.35">
      <c r="A32" t="s">
        <v>58</v>
      </c>
      <c r="B32">
        <v>2026</v>
      </c>
      <c r="C32">
        <v>2</v>
      </c>
      <c r="D32" t="s">
        <v>26</v>
      </c>
      <c r="E32">
        <v>753.3</v>
      </c>
      <c r="F32">
        <v>225</v>
      </c>
      <c r="G32">
        <v>0</v>
      </c>
      <c r="H32">
        <v>978.3</v>
      </c>
      <c r="I32">
        <v>0.97829999999999995</v>
      </c>
      <c r="J32">
        <v>39.131999999999998</v>
      </c>
      <c r="K32">
        <v>4.8914999999999997</v>
      </c>
      <c r="L32">
        <v>0</v>
      </c>
      <c r="M32">
        <v>0</v>
      </c>
      <c r="N32">
        <v>30.51</v>
      </c>
      <c r="O32">
        <v>0</v>
      </c>
      <c r="P32">
        <v>0</v>
      </c>
      <c r="Q32">
        <v>36.020000000000003</v>
      </c>
      <c r="R32">
        <v>7.0173000000000014</v>
      </c>
      <c r="S32">
        <v>1096.8490999999999</v>
      </c>
      <c r="T32">
        <v>1096.8490999999999</v>
      </c>
      <c r="U32">
        <v>0</v>
      </c>
      <c r="V32">
        <v>0</v>
      </c>
      <c r="W32" t="s">
        <v>27</v>
      </c>
      <c r="X32">
        <f>+SUM(AS7:AS17)</f>
        <v>0</v>
      </c>
      <c r="Y32" t="s">
        <v>28</v>
      </c>
    </row>
    <row r="33" spans="1:25" x14ac:dyDescent="0.35">
      <c r="A33" t="s">
        <v>59</v>
      </c>
      <c r="B33">
        <v>2026</v>
      </c>
      <c r="C33">
        <v>3</v>
      </c>
      <c r="D33" t="s">
        <v>26</v>
      </c>
      <c r="E33">
        <v>821.07500000000005</v>
      </c>
      <c r="F33">
        <v>225</v>
      </c>
      <c r="G33">
        <v>0</v>
      </c>
      <c r="H33">
        <v>1046.075</v>
      </c>
      <c r="I33">
        <v>1.0460750000000001</v>
      </c>
      <c r="J33">
        <v>41.843000000000004</v>
      </c>
      <c r="K33">
        <v>5.2303750000000004</v>
      </c>
      <c r="L33">
        <v>0</v>
      </c>
      <c r="M33">
        <v>0</v>
      </c>
      <c r="N33">
        <v>30.51</v>
      </c>
      <c r="O33">
        <v>0</v>
      </c>
      <c r="P33">
        <v>0</v>
      </c>
      <c r="Q33">
        <v>36.020000000000003</v>
      </c>
      <c r="R33">
        <v>7.0173000000000014</v>
      </c>
      <c r="S33">
        <v>1167.7417499999999</v>
      </c>
      <c r="T33">
        <v>1167.7417499999999</v>
      </c>
      <c r="U33">
        <v>2.2737367544323211E-13</v>
      </c>
      <c r="V33">
        <v>2.2737367544323211E-13</v>
      </c>
      <c r="W33" t="s">
        <v>27</v>
      </c>
      <c r="X33">
        <f>+SUM(AT7:AT17)</f>
        <v>0</v>
      </c>
      <c r="Y33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7" customWidth="1"/>
    <col min="2" max="2" width="70" customWidth="1"/>
  </cols>
  <sheetData>
    <row r="1" spans="1:2" x14ac:dyDescent="0.35">
      <c r="A1" s="1" t="s">
        <v>60</v>
      </c>
      <c r="B1" s="1" t="s">
        <v>61</v>
      </c>
    </row>
    <row r="2" spans="1:2" x14ac:dyDescent="0.35">
      <c r="A2" t="s">
        <v>62</v>
      </c>
      <c r="B2" t="s">
        <v>63</v>
      </c>
    </row>
    <row r="3" spans="1:2" x14ac:dyDescent="0.35">
      <c r="A3" t="s">
        <v>64</v>
      </c>
      <c r="B3" t="s">
        <v>65</v>
      </c>
    </row>
    <row r="4" spans="1:2" x14ac:dyDescent="0.35">
      <c r="A4" t="s">
        <v>66</v>
      </c>
      <c r="B4" t="s">
        <v>67</v>
      </c>
    </row>
    <row r="5" spans="1:2" x14ac:dyDescent="0.35">
      <c r="A5" t="s">
        <v>68</v>
      </c>
      <c r="B5" t="s">
        <v>69</v>
      </c>
    </row>
    <row r="6" spans="1:2" x14ac:dyDescent="0.35">
      <c r="A6" t="s">
        <v>3</v>
      </c>
      <c r="B6" t="s">
        <v>26</v>
      </c>
    </row>
    <row r="7" spans="1:2" x14ac:dyDescent="0.35">
      <c r="A7" t="s">
        <v>70</v>
      </c>
      <c r="B7" t="s">
        <v>71</v>
      </c>
    </row>
    <row r="8" spans="1:2" x14ac:dyDescent="0.35">
      <c r="A8" t="s">
        <v>24</v>
      </c>
      <c r="B8" t="s">
        <v>28</v>
      </c>
    </row>
    <row r="9" spans="1:2" x14ac:dyDescent="0.35">
      <c r="A9" t="s">
        <v>72</v>
      </c>
      <c r="B9">
        <v>32</v>
      </c>
    </row>
    <row r="10" spans="1:2" x14ac:dyDescent="0.35">
      <c r="A10" t="s">
        <v>73</v>
      </c>
      <c r="B10">
        <v>9</v>
      </c>
    </row>
    <row r="11" spans="1:2" x14ac:dyDescent="0.35">
      <c r="A11" t="s">
        <v>74</v>
      </c>
      <c r="B11">
        <v>135</v>
      </c>
    </row>
    <row r="12" spans="1:2" x14ac:dyDescent="0.35">
      <c r="A12" t="s">
        <v>75</v>
      </c>
      <c r="B12">
        <v>540</v>
      </c>
    </row>
  </sheetData>
  <autoFilter ref="A1:B12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tlc_validation</vt:lpstr>
      <vt:lpstr>run_metadata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Murugan Narendhra Kumar</cp:lastModifiedBy>
  <dcterms:created xsi:type="dcterms:W3CDTF">2026-05-15T05:38:48Z</dcterms:created>
  <dcterms:modified xsi:type="dcterms:W3CDTF">2026-05-15T06:03:30Z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104b14-b53d-46de-9ae8-975cc0e84815_Enabled">
    <vt:lpwstr>true</vt:lpwstr>
  </property>
  <property fmtid="{D5CDD505-2E9C-101B-9397-08002B2CF9AE}" pid="3" name="MSIP_Label_68104b14-b53d-46de-9ae8-975cc0e84815_SetDate">
    <vt:lpwstr>2026-05-15T05:57:27Z</vt:lpwstr>
  </property>
  <property fmtid="{D5CDD505-2E9C-101B-9397-08002B2CF9AE}" pid="4" name="MSIP_Label_68104b14-b53d-46de-9ae8-975cc0e84815_Method">
    <vt:lpwstr>Standard</vt:lpwstr>
  </property>
  <property fmtid="{D5CDD505-2E9C-101B-9397-08002B2CF9AE}" pid="5" name="MSIP_Label_68104b14-b53d-46de-9ae8-975cc0e84815_Name">
    <vt:lpwstr>ABI_MIP_InternalUseOnly</vt:lpwstr>
  </property>
  <property fmtid="{D5CDD505-2E9C-101B-9397-08002B2CF9AE}" pid="6" name="MSIP_Label_68104b14-b53d-46de-9ae8-975cc0e84815_SiteId">
    <vt:lpwstr>cef04b19-7776-4a94-b89b-375c77a8f936</vt:lpwstr>
  </property>
  <property fmtid="{D5CDD505-2E9C-101B-9397-08002B2CF9AE}" pid="7" name="MSIP_Label_68104b14-b53d-46de-9ae8-975cc0e84815_ActionId">
    <vt:lpwstr>807fff37-92ad-426f-b90d-3660a250e776</vt:lpwstr>
  </property>
  <property fmtid="{D5CDD505-2E9C-101B-9397-08002B2CF9AE}" pid="8" name="MSIP_Label_68104b14-b53d-46de-9ae8-975cc0e84815_ContentBits">
    <vt:lpwstr>0</vt:lpwstr>
  </property>
  <property fmtid="{D5CDD505-2E9C-101B-9397-08002B2CF9AE}" pid="9" name="MSIP_Label_68104b14-b53d-46de-9ae8-975cc0e84815_Tag">
    <vt:lpwstr>10, 3, 0, 1</vt:lpwstr>
  </property>
</Properties>
</file>