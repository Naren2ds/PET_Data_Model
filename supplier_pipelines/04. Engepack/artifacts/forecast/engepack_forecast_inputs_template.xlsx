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'forecast_inputs'!$A$1:$S$9</definedName>
    <definedName name="_xlnm._FilterDatabase" localSheetId="1" hidden="1">'formula_catalog'!$A$1:$E$9</definedName>
    <definedName name="_xlnm._FilterDatabase" localSheetId="2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5" customWidth="1" min="4" max="4"/>
    <col width="33" customWidth="1" min="5" max="5"/>
    <col width="30" customWidth="1" min="6" max="6"/>
    <col width="21" customWidth="1" min="7" max="7"/>
    <col width="58" customWidth="1" min="8" max="8"/>
    <col width="19" customWidth="1" min="9" max="9"/>
    <col width="19" customWidth="1" min="10" max="10"/>
    <col width="27" customWidth="1" min="11" max="11"/>
    <col width="70" customWidth="1" min="12" max="12"/>
    <col width="19" customWidth="1" min="13" max="13"/>
    <col width="22" customWidth="1" min="14" max="14"/>
    <col width="12" customWidth="1" min="15" max="15"/>
    <col width="24" customWidth="1" min="16" max="16"/>
    <col width="33" customWidth="1" min="17" max="17"/>
    <col width="27" customWidth="1" min="18" max="18"/>
    <col width="69" customWidth="1" min="19" max="19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source_resin_index_type</t>
        </is>
      </c>
      <c r="E1" s="1" t="inlineStr">
        <is>
          <t>forecast_resin_index_type</t>
        </is>
      </c>
      <c r="F1" s="1" t="inlineStr">
        <is>
          <t>resin_forecast_source_period</t>
        </is>
      </c>
      <c r="G1" s="1" t="inlineStr">
        <is>
          <t>resin_forecast_date</t>
        </is>
      </c>
      <c r="H1" s="1" t="inlineStr">
        <is>
          <t>resin_forecast_series</t>
        </is>
      </c>
      <c r="I1" s="1" t="inlineStr">
        <is>
          <t>resin_price_index</t>
        </is>
      </c>
      <c r="J1" s="1" t="inlineStr">
        <is>
          <t>freight_avg_q1</t>
        </is>
      </c>
      <c r="K1" s="1" t="inlineStr">
        <is>
          <t>adjusted_freight_override</t>
        </is>
      </c>
      <c r="L1" s="1" t="inlineStr">
        <is>
          <t>adjusted_freight_used</t>
        </is>
      </c>
      <c r="M1" s="1" t="inlineStr">
        <is>
          <t>resin_fixed_adder</t>
        </is>
      </c>
      <c r="N1" s="1" t="inlineStr">
        <is>
          <t>internalization_rate</t>
        </is>
      </c>
      <c r="O1" s="1" t="inlineStr">
        <is>
          <t>other_cost</t>
        </is>
      </c>
      <c r="P1" s="1" t="inlineStr">
        <is>
          <t>freight_surcharge_rate</t>
        </is>
      </c>
      <c r="Q1" s="1" t="inlineStr">
        <is>
          <t>total_landing_cost_usd</t>
        </is>
      </c>
      <c r="R1" s="1" t="inlineStr">
        <is>
          <t>latest_actual_period_used</t>
        </is>
      </c>
      <c r="S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IHS (M-1)</t>
        </is>
      </c>
      <c r="E2" t="inlineStr">
        <is>
          <t>PET Bottle Grade FOB China Spot</t>
        </is>
      </c>
      <c r="F2" t="inlineStr">
        <is>
          <t>April 2026</t>
        </is>
      </c>
      <c r="G2" t="inlineStr">
        <is>
          <t>2026-04-01</t>
        </is>
      </c>
      <c r="H2" t="inlineStr">
        <is>
          <t>PET Bottle Grade FOB China Spot Forecast Apr-2026 Latest</t>
        </is>
      </c>
      <c r="I2" s="2" t="n">
        <v>1147</v>
      </c>
      <c r="J2" s="2" t="n">
        <v>74.28641975308642</v>
      </c>
      <c r="K2" s="2" t="n"/>
      <c r="L2" s="3">
        <f>IF(NOT(ISBLANK(K2)),K2,IF(J2&gt;108,MAX(108,(J2-108)*0.85+90),IF(J2&lt;60,60,J2)))</f>
        <v/>
      </c>
      <c r="M2" s="2" t="n">
        <v>100</v>
      </c>
      <c r="N2" s="2" t="n">
        <v>0.2</v>
      </c>
      <c r="O2" s="2" t="n">
        <v>125</v>
      </c>
      <c r="P2" s="2" t="n">
        <v>0.08</v>
      </c>
      <c r="Q2" s="3">
        <f>((I2+M2+L2)*(1+N2))+O2+(P2*L2)</f>
        <v/>
      </c>
      <c r="R2" t="inlineStr">
        <is>
          <t>April 2026</t>
        </is>
      </c>
      <c r="S2" t="inlineStr">
        <is>
          <t>Update resin/freight inputs if business provides new future values.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IHS (M-1)</t>
        </is>
      </c>
      <c r="E3" t="inlineStr">
        <is>
          <t>PET Bottle Grade FOB China Spot</t>
        </is>
      </c>
      <c r="F3" t="inlineStr">
        <is>
          <t>May 2026</t>
        </is>
      </c>
      <c r="G3" t="inlineStr">
        <is>
          <t>2026-05-01</t>
        </is>
      </c>
      <c r="H3" t="inlineStr">
        <is>
          <t>PET Bottle Grade FOB China Spot Forecast Apr-2026 Latest</t>
        </is>
      </c>
      <c r="I3" s="2" t="n">
        <v>1173</v>
      </c>
      <c r="J3" s="2" t="n">
        <v>74.28641975308642</v>
      </c>
      <c r="K3" s="2" t="n"/>
      <c r="L3" s="3">
        <f>IF(NOT(ISBLANK(K3)),K3,IF(J3&gt;108,MAX(108,(J3-108)*0.85+90),IF(J3&lt;60,60,J3)))</f>
        <v/>
      </c>
      <c r="M3" s="2" t="n">
        <v>100</v>
      </c>
      <c r="N3" s="2" t="n">
        <v>0.2</v>
      </c>
      <c r="O3" s="2" t="n">
        <v>125</v>
      </c>
      <c r="P3" s="2" t="n">
        <v>0.08</v>
      </c>
      <c r="Q3" s="3">
        <f>((I3+M3+L3)*(1+N3))+O3+(P3*L3)</f>
        <v/>
      </c>
      <c r="R3" t="inlineStr">
        <is>
          <t>April 2026</t>
        </is>
      </c>
      <c r="S3" t="inlineStr">
        <is>
          <t>Update resin/freight inputs if business provides new future values.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IHS (M-1)</t>
        </is>
      </c>
      <c r="E4" t="inlineStr">
        <is>
          <t>PET Bottle Grade FOB China Spot</t>
        </is>
      </c>
      <c r="F4" t="inlineStr">
        <is>
          <t>June 2026</t>
        </is>
      </c>
      <c r="G4" t="inlineStr">
        <is>
          <t>2026-06-01</t>
        </is>
      </c>
      <c r="H4" t="inlineStr">
        <is>
          <t>PET Bottle Grade FOB China Spot Forecast Apr-2026 Latest</t>
        </is>
      </c>
      <c r="I4" s="2" t="n">
        <v>1054</v>
      </c>
      <c r="J4" s="2" t="n">
        <v>74.28641975308642</v>
      </c>
      <c r="K4" s="2" t="n"/>
      <c r="L4" s="3">
        <f>IF(NOT(ISBLANK(K4)),K4,IF(J4&gt;108,MAX(108,(J4-108)*0.85+90),IF(J4&lt;60,60,J4)))</f>
        <v/>
      </c>
      <c r="M4" s="2" t="n">
        <v>100</v>
      </c>
      <c r="N4" s="2" t="n">
        <v>0.2</v>
      </c>
      <c r="O4" s="2" t="n">
        <v>125</v>
      </c>
      <c r="P4" s="2" t="n">
        <v>0.08</v>
      </c>
      <c r="Q4" s="3">
        <f>((I4+M4+L4)*(1+N4))+O4+(P4*L4)</f>
        <v/>
      </c>
      <c r="R4" t="inlineStr">
        <is>
          <t>April 2026</t>
        </is>
      </c>
      <c r="S4" t="inlineStr">
        <is>
          <t>Update resin/freight inputs if business provides new future values.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IHS (M-1)</t>
        </is>
      </c>
      <c r="E5" t="inlineStr">
        <is>
          <t>PET Bottle Grade FOB China Spot</t>
        </is>
      </c>
      <c r="F5" t="inlineStr">
        <is>
          <t>July 2026</t>
        </is>
      </c>
      <c r="G5" t="inlineStr">
        <is>
          <t>2026-07-01</t>
        </is>
      </c>
      <c r="H5" t="inlineStr">
        <is>
          <t>PET Bottle Grade FOB China Spot Forecast Apr-2026 Latest</t>
        </is>
      </c>
      <c r="I5" s="2" t="n">
        <v>941</v>
      </c>
      <c r="J5" s="2" t="n">
        <v>74.28641975308642</v>
      </c>
      <c r="K5" s="2" t="n"/>
      <c r="L5" s="3">
        <f>IF(NOT(ISBLANK(K5)),K5,IF(J5&gt;108,MAX(108,(J5-108)*0.85+90),IF(J5&lt;60,60,J5)))</f>
        <v/>
      </c>
      <c r="M5" s="2" t="n">
        <v>100</v>
      </c>
      <c r="N5" s="2" t="n">
        <v>0.2</v>
      </c>
      <c r="O5" s="2" t="n">
        <v>125</v>
      </c>
      <c r="P5" s="2" t="n">
        <v>0.08</v>
      </c>
      <c r="Q5" s="3">
        <f>((I5+M5+L5)*(1+N5))+O5+(P5*L5)</f>
        <v/>
      </c>
      <c r="R5" t="inlineStr">
        <is>
          <t>April 2026</t>
        </is>
      </c>
      <c r="S5" t="inlineStr">
        <is>
          <t>Update resin/freight inputs if business provides new future values.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IHS (M-1)</t>
        </is>
      </c>
      <c r="E6" t="inlineStr">
        <is>
          <t>PET Bottle Grade FOB China Spot</t>
        </is>
      </c>
      <c r="F6" t="inlineStr">
        <is>
          <t>August 2026</t>
        </is>
      </c>
      <c r="G6" t="inlineStr">
        <is>
          <t>2026-08-01</t>
        </is>
      </c>
      <c r="H6" t="inlineStr">
        <is>
          <t>PET Bottle Grade FOB China Spot Forecast Apr-2026 Latest</t>
        </is>
      </c>
      <c r="I6" s="2" t="n">
        <v>883</v>
      </c>
      <c r="J6" s="2" t="n">
        <v>74.28641975308642</v>
      </c>
      <c r="K6" s="2" t="n"/>
      <c r="L6" s="3">
        <f>IF(NOT(ISBLANK(K6)),K6,IF(J6&gt;108,MAX(108,(J6-108)*0.85+90),IF(J6&lt;60,60,J6)))</f>
        <v/>
      </c>
      <c r="M6" s="2" t="n">
        <v>100</v>
      </c>
      <c r="N6" s="2" t="n">
        <v>0.2</v>
      </c>
      <c r="O6" s="2" t="n">
        <v>125</v>
      </c>
      <c r="P6" s="2" t="n">
        <v>0.08</v>
      </c>
      <c r="Q6" s="3">
        <f>((I6+M6+L6)*(1+N6))+O6+(P6*L6)</f>
        <v/>
      </c>
      <c r="R6" t="inlineStr">
        <is>
          <t>April 2026</t>
        </is>
      </c>
      <c r="S6" t="inlineStr">
        <is>
          <t>Update resin/freight inputs if business provides new future values.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IHS (M-1)</t>
        </is>
      </c>
      <c r="E7" t="inlineStr">
        <is>
          <t>PET Bottle Grade FOB China Spot</t>
        </is>
      </c>
      <c r="F7" t="inlineStr">
        <is>
          <t>September 2026</t>
        </is>
      </c>
      <c r="G7" t="inlineStr">
        <is>
          <t>2026-09-01</t>
        </is>
      </c>
      <c r="H7" t="inlineStr">
        <is>
          <t>PET Bottle Grade FOB China Spot Forecast Apr-2026 Latest</t>
        </is>
      </c>
      <c r="I7" s="2" t="n">
        <v>864</v>
      </c>
      <c r="J7" s="2" t="n">
        <v>74.28641975308642</v>
      </c>
      <c r="K7" s="2" t="n"/>
      <c r="L7" s="3">
        <f>IF(NOT(ISBLANK(K7)),K7,IF(J7&gt;108,MAX(108,(J7-108)*0.85+90),IF(J7&lt;60,60,J7)))</f>
        <v/>
      </c>
      <c r="M7" s="2" t="n">
        <v>100</v>
      </c>
      <c r="N7" s="2" t="n">
        <v>0.2</v>
      </c>
      <c r="O7" s="2" t="n">
        <v>125</v>
      </c>
      <c r="P7" s="2" t="n">
        <v>0.08</v>
      </c>
      <c r="Q7" s="3">
        <f>((I7+M7+L7)*(1+N7))+O7+(P7*L7)</f>
        <v/>
      </c>
      <c r="R7" t="inlineStr">
        <is>
          <t>April 2026</t>
        </is>
      </c>
      <c r="S7" t="inlineStr">
        <is>
          <t>Update resin/freight inputs if business provides new future values.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IHS (M-1)</t>
        </is>
      </c>
      <c r="E8" t="inlineStr">
        <is>
          <t>PET Bottle Grade FOB China Spot</t>
        </is>
      </c>
      <c r="F8" t="inlineStr">
        <is>
          <t>October 2026</t>
        </is>
      </c>
      <c r="G8" t="inlineStr">
        <is>
          <t>2026-10-01</t>
        </is>
      </c>
      <c r="H8" t="inlineStr">
        <is>
          <t>PET Bottle Grade FOB China Spot Forecast Apr-2026 Latest</t>
        </is>
      </c>
      <c r="I8" s="2" t="n">
        <v>838</v>
      </c>
      <c r="J8" s="2" t="n">
        <v>74.28641975308642</v>
      </c>
      <c r="K8" s="2" t="n"/>
      <c r="L8" s="3">
        <f>IF(NOT(ISBLANK(K8)),K8,IF(J8&gt;108,MAX(108,(J8-108)*0.85+90),IF(J8&lt;60,60,J8)))</f>
        <v/>
      </c>
      <c r="M8" s="2" t="n">
        <v>100</v>
      </c>
      <c r="N8" s="2" t="n">
        <v>0.2</v>
      </c>
      <c r="O8" s="2" t="n">
        <v>125</v>
      </c>
      <c r="P8" s="2" t="n">
        <v>0.08</v>
      </c>
      <c r="Q8" s="3">
        <f>((I8+M8+L8)*(1+N8))+O8+(P8*L8)</f>
        <v/>
      </c>
      <c r="R8" t="inlineStr">
        <is>
          <t>April 2026</t>
        </is>
      </c>
      <c r="S8" t="inlineStr">
        <is>
          <t>Update resin/freight inputs if business provides new future values.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IHS (M-1)</t>
        </is>
      </c>
      <c r="E9" t="inlineStr">
        <is>
          <t>PET Bottle Grade FOB China Spot</t>
        </is>
      </c>
      <c r="F9" t="inlineStr">
        <is>
          <t>November 2026</t>
        </is>
      </c>
      <c r="G9" t="inlineStr">
        <is>
          <t>2026-11-01</t>
        </is>
      </c>
      <c r="H9" t="inlineStr">
        <is>
          <t>PET Bottle Grade FOB China Spot Forecast Apr-2026 Latest</t>
        </is>
      </c>
      <c r="I9" s="2" t="n">
        <v>811</v>
      </c>
      <c r="J9" s="2" t="n">
        <v>74.28641975308642</v>
      </c>
      <c r="K9" s="2" t="n"/>
      <c r="L9" s="3">
        <f>IF(NOT(ISBLANK(K9)),K9,IF(J9&gt;108,MAX(108,(J9-108)*0.85+90),IF(J9&lt;60,60,J9)))</f>
        <v/>
      </c>
      <c r="M9" s="2" t="n">
        <v>100</v>
      </c>
      <c r="N9" s="2" t="n">
        <v>0.2</v>
      </c>
      <c r="O9" s="2" t="n">
        <v>125</v>
      </c>
      <c r="P9" s="2" t="n">
        <v>0.08</v>
      </c>
      <c r="Q9" s="3">
        <f>((I9+M9+L9)*(1+N9))+O9+(P9*L9)</f>
        <v/>
      </c>
      <c r="R9" t="inlineStr">
        <is>
          <t>April 2026</t>
        </is>
      </c>
      <c r="S9" t="inlineStr">
        <is>
          <t>Update resin/freight inputs if business provides new future values.</t>
        </is>
      </c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9" customWidth="1" min="3" max="3"/>
    <col width="70" customWidth="1" min="4" max="4"/>
    <col width="70" customWidth="1" min="5" max="5"/>
  </cols>
  <sheetData>
    <row r="1">
      <c r="A1" s="1" t="inlineStr">
        <is>
          <t>component</t>
        </is>
      </c>
      <c r="B1" s="1" t="inlineStr">
        <is>
          <t>classification</t>
        </is>
      </c>
      <c r="C1" s="1" t="inlineStr">
        <is>
          <t>default_value</t>
        </is>
      </c>
      <c r="D1" s="1" t="inlineStr">
        <is>
          <t>formula_or_source</t>
        </is>
      </c>
      <c r="E1" s="1" t="inlineStr">
        <is>
          <t>notes</t>
        </is>
      </c>
    </row>
    <row r="2">
      <c r="A2" t="inlineStr">
        <is>
          <t>IHS (M-1)</t>
        </is>
      </c>
      <c r="B2" t="inlineStr">
        <is>
          <t>variable_forecast_input</t>
        </is>
      </c>
      <c r="D2" t="inlineStr">
        <is>
          <t>Forecast table source period is target month - 1.</t>
        </is>
      </c>
      <c r="E2" t="inlineStr">
        <is>
          <t>Source resin index type: IHS (M-1).</t>
        </is>
      </c>
    </row>
    <row r="3">
      <c r="A3" t="inlineStr">
        <is>
          <t>Freight AVG Q-1</t>
        </is>
      </c>
      <c r="B3" t="inlineStr">
        <is>
          <t>variable_forecast_input</t>
        </is>
      </c>
      <c r="C3" t="n">
        <v>74.28641975308642</v>
      </c>
      <c r="D3" t="inlineStr">
        <is>
          <t>Carried from latest actual unless updated.</t>
        </is>
      </c>
      <c r="E3" t="inlineStr">
        <is>
          <t>The extracted Freight row is AVG Q-1; TLC uses the adjusted freight row.</t>
        </is>
      </c>
    </row>
    <row r="4">
      <c r="A4" t="inlineStr">
        <is>
          <t>Freight Adjusted for TLC</t>
        </is>
      </c>
      <c r="B4" t="inlineStr">
        <is>
          <t>formula_or_override</t>
        </is>
      </c>
      <c r="C4" t="n">
        <v>74.28641975308642</v>
      </c>
      <c r="D4" t="inlineStr">
        <is>
          <t>Adjusted Freight = IF(AVG Q-1 &gt; 108, MAX(108, (AVG Q-1 - 108) * 0.85 + 90), IF(AVG Q-1 &lt; 60, 60, AVG Q-1))</t>
        </is>
      </c>
      <c r="E4" t="inlineStr">
        <is>
          <t>This is the freight component used by the Total Landing Cost formula.</t>
        </is>
      </c>
    </row>
    <row r="5">
      <c r="A5" t="inlineStr">
        <is>
          <t>Resin Fixed Adder</t>
        </is>
      </c>
      <c r="B5" t="inlineStr">
        <is>
          <t>constant</t>
        </is>
      </c>
      <c r="C5" t="n">
        <v>100</v>
      </c>
      <c r="D5" t="inlineStr">
        <is>
          <t>Latest Engepack source formula.</t>
        </is>
      </c>
    </row>
    <row r="6">
      <c r="A6" t="inlineStr">
        <is>
          <t>Internalization Cost Rate</t>
        </is>
      </c>
      <c r="B6" t="inlineStr">
        <is>
          <t>constant</t>
        </is>
      </c>
      <c r="C6" t="n">
        <v>0.2</v>
      </c>
      <c r="D6" t="inlineStr">
        <is>
          <t>Latest Engepack source formula.</t>
        </is>
      </c>
    </row>
    <row r="7">
      <c r="A7" t="inlineStr">
        <is>
          <t>Other Cost</t>
        </is>
      </c>
      <c r="B7" t="inlineStr">
        <is>
          <t>constant</t>
        </is>
      </c>
      <c r="C7" t="n">
        <v>125</v>
      </c>
      <c r="D7" t="inlineStr">
        <is>
          <t>Latest Engepack source formula.</t>
        </is>
      </c>
    </row>
    <row r="8">
      <c r="A8" t="inlineStr">
        <is>
          <t>Freight Surcharge 8%</t>
        </is>
      </c>
      <c r="B8" t="inlineStr">
        <is>
          <t>formula</t>
        </is>
      </c>
      <c r="C8" t="n">
        <v>0.08</v>
      </c>
      <c r="D8" t="inlineStr">
        <is>
          <t>Adjusted Freight * 8%.</t>
        </is>
      </c>
    </row>
    <row r="9">
      <c r="A9" t="inlineStr">
        <is>
          <t>Total Landing Cost $</t>
        </is>
      </c>
      <c r="B9" t="inlineStr">
        <is>
          <t>calculated_output</t>
        </is>
      </c>
      <c r="D9" t="inlineStr">
        <is>
          <t>Total Landing Cost $ = ((IHS (M-1) + 100 + Adjusted Freight) * (1 + 20%)) + 125 + 8% * Adjusted Freight</t>
        </is>
      </c>
      <c r="E9" t="inlineStr">
        <is>
          <t>Final Engepack TLC output is in USD.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2026-05-15T15:19:09</t>
        </is>
      </c>
    </row>
    <row r="3">
      <c r="A3" t="inlineStr">
        <is>
          <t>pipeline</t>
        </is>
      </c>
      <c r="B3" t="inlineStr">
        <is>
          <t>04. Engepack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Engepack.xlsx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Model\PET_Data_Model\supplier_pipelines\04. Engepack\artifacts\extraction\04. Engepack_indices_final.xlsx</t>
        </is>
      </c>
    </row>
    <row r="6">
      <c r="A6" t="inlineStr">
        <is>
          <t>supplier</t>
        </is>
      </c>
      <c r="B6" t="inlineStr">
        <is>
          <t>Engepack</t>
        </is>
      </c>
    </row>
    <row r="7">
      <c r="A7" t="inlineStr">
        <is>
          <t>destination_country</t>
        </is>
      </c>
      <c r="B7" t="inlineStr">
        <is>
          <t>Brazil</t>
        </is>
      </c>
    </row>
    <row r="8">
      <c r="A8" t="inlineStr">
        <is>
          <t>source_resin_index_type</t>
        </is>
      </c>
      <c r="B8" t="inlineStr">
        <is>
          <t>IHS (M-1)</t>
        </is>
      </c>
    </row>
    <row r="9">
      <c r="A9" t="inlineStr">
        <is>
          <t>forecast_resin_index_type</t>
        </is>
      </c>
      <c r="B9" t="inlineStr">
        <is>
          <t>PET Bottle Grade FOB China Spot</t>
        </is>
      </c>
    </row>
    <row r="10">
      <c r="A10" t="inlineStr">
        <is>
          <t>tlc_formula</t>
        </is>
      </c>
      <c r="B10" t="inlineStr">
        <is>
          <t>Total Landing Cost $ = ((IHS (M-1) + 100 + Adjusted Freight) * (1 + 20%)) + 125 + 8% * Adjusted Freight</t>
        </is>
      </c>
    </row>
    <row r="11">
      <c r="A11" t="inlineStr">
        <is>
          <t>freight_adjustment_formula</t>
        </is>
      </c>
      <c r="B11" t="inlineStr">
        <is>
          <t>Adjusted Freight = IF(AVG Q-1 &gt; 108, MAX(108, (AVG Q-1 - 108) * 0.85 + 90), IF(AVG Q-1 &lt; 60, 60, AVG Q-1))</t>
        </is>
      </c>
    </row>
    <row r="12">
      <c r="A12" t="inlineStr">
        <is>
          <t>note</t>
        </is>
      </c>
      <c r="B12" t="inlineStr">
        <is>
          <t>Extracted Freight is AVG Q-1; TLC validation and forecast use adjusted freight from source row 26.</t>
        </is>
      </c>
    </row>
    <row r="13">
      <c r="A13" t="inlineStr">
        <is>
          <t>final_rows</t>
        </is>
      </c>
      <c r="B13" t="n">
        <v>243</v>
      </c>
    </row>
    <row r="14">
      <c r="A14" t="inlineStr">
        <is>
          <t>actual_standardized_rows</t>
        </is>
      </c>
      <c r="B14" t="n">
        <v>243</v>
      </c>
    </row>
    <row r="15">
      <c r="A15" t="inlineStr">
        <is>
          <t>tlc_validation_rows</t>
        </is>
      </c>
      <c r="B15" t="n">
        <v>40</v>
      </c>
    </row>
    <row r="16">
      <c r="A16" t="inlineStr">
        <is>
          <t>forecast_input_rows</t>
        </is>
      </c>
      <c r="B16" t="n">
        <v>8</v>
      </c>
    </row>
    <row r="17">
      <c r="A17" t="inlineStr">
        <is>
          <t>forecast_estimate_rows</t>
        </is>
      </c>
      <c r="B17" t="n">
        <v>8</v>
      </c>
    </row>
    <row r="18">
      <c r="A18" t="inlineStr">
        <is>
          <t>forecast_front_end_rows</t>
        </is>
      </c>
      <c r="B18" t="n">
        <v>64</v>
      </c>
    </row>
    <row r="19">
      <c r="A19" t="inlineStr">
        <is>
          <t>actual_forecast_front_end_rows</t>
        </is>
      </c>
      <c r="B19" t="n">
        <v>307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2026-05-15T09:49:10Z</dcterms:created>
  <dcterms:modified xsi:type="dcterms:W3CDTF">2026-05-15T09:49:10Z</dcterms:modified>
</cp:coreProperties>
</file>