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ture_inputs" sheetId="1" state="visible" r:id="rId1"/>
    <sheet name="field_definitions" sheetId="2" state="visible" r:id="rId2"/>
    <sheet name="latest_historical_defaults" sheetId="3" state="visible" r:id="rId3"/>
    <sheet name="formula_catalog" sheetId="4" state="visible" r:id="rId4"/>
    <sheet name="run_metadata" sheetId="5" state="visible" r:id="rId5"/>
  </sheets>
  <definedNames>
    <definedName name="_xlnm._FilterDatabase" localSheetId="0" hidden="1">'future_inputs'!$A$1:$V$13</definedName>
    <definedName name="_xlnm._FilterDatabase" localSheetId="1" hidden="1">'field_definitions'!$A$1:$C$12</definedName>
    <definedName name="_xlnm._FilterDatabase" localSheetId="2" hidden="1">'latest_historical_defaults'!$A$1:$B$18</definedName>
    <definedName name="_xlnm._FilterDatabase" localSheetId="3" hidden="1">'formula_catalog'!$A$1:$K$16</definedName>
    <definedName name="_xlnm._FilterDatabase" localSheetId="4" hidden="1">'run_metadata'!$A$1:$B$7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2" customWidth="1" min="4" max="4"/>
    <col width="19" customWidth="1" min="5" max="5"/>
    <col width="17" customWidth="1" min="6" max="6"/>
    <col width="16" customWidth="1" min="7" max="7"/>
    <col width="30" customWidth="1" min="8" max="8"/>
    <col width="21" customWidth="1" min="9" max="9"/>
    <col width="24" customWidth="1" min="10" max="10"/>
    <col width="12" customWidth="1" min="11" max="11"/>
    <col width="20" customWidth="1" min="12" max="12"/>
    <col width="23" customWidth="1" min="13" max="13"/>
    <col width="20" customWidth="1" min="14" max="14"/>
    <col width="26" customWidth="1" min="15" max="15"/>
    <col width="14" customWidth="1" min="16" max="16"/>
    <col width="23" customWidth="1" min="17" max="17"/>
    <col width="19" customWidth="1" min="18" max="18"/>
    <col width="12" customWidth="1" min="19" max="19"/>
    <col width="15" customWidth="1" min="20" max="20"/>
    <col width="29" customWidth="1" min="21" max="21"/>
    <col width="12" customWidth="1" min="22" max="22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resin_index_type</t>
        </is>
      </c>
      <c r="E1" s="1" t="inlineStr">
        <is>
          <t>resin_price_index</t>
        </is>
      </c>
      <c r="F1" s="1" t="inlineStr">
        <is>
          <t>freight_regular</t>
        </is>
      </c>
      <c r="G1" s="1" t="inlineStr">
        <is>
          <t>drewry_freight</t>
        </is>
      </c>
      <c r="H1" s="1" t="inlineStr">
        <is>
          <t>freight_incremental_override</t>
        </is>
      </c>
      <c r="I1" s="1" t="inlineStr">
        <is>
          <t>finance_factor</t>
        </is>
      </c>
      <c r="J1" s="1" t="inlineStr">
        <is>
          <t>finance_value_override</t>
        </is>
      </c>
      <c r="K1" s="1" t="inlineStr">
        <is>
          <t>duty_rate</t>
        </is>
      </c>
      <c r="L1" s="1" t="inlineStr">
        <is>
          <t>landed_factor_rate</t>
        </is>
      </c>
      <c r="M1" s="1" t="inlineStr">
        <is>
          <t>zf_legislation_change</t>
        </is>
      </c>
      <c r="N1" s="1" t="inlineStr">
        <is>
          <t>surcharge_alpek_br</t>
        </is>
      </c>
      <c r="O1" s="1" t="inlineStr">
        <is>
          <t>freight_incremental_used</t>
        </is>
      </c>
      <c r="P1" s="1" t="inlineStr">
        <is>
          <t>finance_used</t>
        </is>
      </c>
      <c r="Q1" s="1" t="inlineStr">
        <is>
          <t>sub_total_incremental</t>
        </is>
      </c>
      <c r="R1" s="1" t="inlineStr">
        <is>
          <t>sub_total_regular</t>
        </is>
      </c>
      <c r="S1" s="1" t="inlineStr">
        <is>
          <t>duty</t>
        </is>
      </c>
      <c r="T1" s="1" t="inlineStr">
        <is>
          <t>landed_factor</t>
        </is>
      </c>
      <c r="U1" s="1" t="inlineStr">
        <is>
          <t>total_landing_cost_forecast</t>
        </is>
      </c>
      <c r="V1" s="1" t="inlineStr">
        <is>
          <t>notes</t>
        </is>
      </c>
    </row>
    <row r="2">
      <c r="A2" s="2" t="inlineStr">
        <is>
          <t>April 2026</t>
        </is>
      </c>
      <c r="B2" s="2" t="n">
        <v>2026</v>
      </c>
      <c r="C2" s="2" t="n">
        <v>4</v>
      </c>
      <c r="D2" s="3" t="inlineStr">
        <is>
          <t>ICIS China MID (n-1)</t>
        </is>
      </c>
      <c r="E2" s="3" t="n"/>
      <c r="F2" s="3" t="n">
        <v>97.286177169</v>
      </c>
      <c r="G2" s="3" t="n"/>
      <c r="H2" s="3" t="n"/>
      <c r="I2" s="3" t="n">
        <v>0.03496712876712329</v>
      </c>
      <c r="J2" s="3" t="n"/>
      <c r="K2" s="3" t="n">
        <v>0.05</v>
      </c>
      <c r="L2" s="3" t="n">
        <v>0.08</v>
      </c>
      <c r="M2" s="3" t="n">
        <v>18.95837133417279</v>
      </c>
      <c r="N2" s="4">
        <f>IF(NOT(ISBLANK(G2)),G2,IF(ISBLANK(F2),"",MAX(F2-E2,0)))</f>
        <v/>
      </c>
      <c r="O2" s="4">
        <f>IF(NOT(ISBLANK(I2)),I2,IF(OR(ISBLANK(D2),ISBLANK(E2),ISBLANK(N2),ISBLANK(H2)),"",(D2+E2+N2)*H2))</f>
        <v/>
      </c>
      <c r="P2" s="4">
        <f>IF(OR(ISBLANK(D2),ISBLANK(E2),ISBLANK(N2),ISBLANK(O2)),"",D2+O2+E2+N2)</f>
        <v/>
      </c>
      <c r="Q2" s="4">
        <f>IF(OR(ISBLANK(D2),ISBLANK(E2),ISBLANK(O2)),"",D2+O2+E2)</f>
        <v/>
      </c>
      <c r="R2" s="4">
        <f>IF(OR(ISBLANK(P2),ISBLANK(J2)),"",P2*J2)</f>
        <v/>
      </c>
      <c r="S2" s="4">
        <f>IF(OR(ISBLANK(Q2),ISBLANK(K2)),"",Q2*K2)</f>
        <v/>
      </c>
      <c r="T2" s="4">
        <f>IF(OR(ISBLANK(P2),ISBLANK(R2),ISBLANK(S2),ISBLANK(L2),ISBLANK(M2)),"",P2+R2+S2+L2+M2)</f>
        <v/>
      </c>
      <c r="U2" s="2" t="n"/>
      <c r="V2" s="2" t="n"/>
    </row>
    <row r="3">
      <c r="A3" s="2" t="inlineStr">
        <is>
          <t>May 2026</t>
        </is>
      </c>
      <c r="B3" s="2" t="n">
        <v>2026</v>
      </c>
      <c r="C3" s="2" t="n">
        <v>5</v>
      </c>
      <c r="D3" s="3" t="inlineStr">
        <is>
          <t>ICIS China MID (n-1)</t>
        </is>
      </c>
      <c r="E3" s="3" t="n"/>
      <c r="F3" s="3" t="n">
        <v>97.286177169</v>
      </c>
      <c r="G3" s="3" t="n"/>
      <c r="H3" s="3" t="n"/>
      <c r="I3" s="3" t="n">
        <v>0.03496712876712329</v>
      </c>
      <c r="J3" s="3" t="n"/>
      <c r="K3" s="3" t="n">
        <v>0.05</v>
      </c>
      <c r="L3" s="3" t="n">
        <v>0.08</v>
      </c>
      <c r="M3" s="3" t="n">
        <v>18.95837133417279</v>
      </c>
      <c r="N3" s="4">
        <f>IF(NOT(ISBLANK(G3)),G3,IF(ISBLANK(F3),"",MAX(F3-E3,0)))</f>
        <v/>
      </c>
      <c r="O3" s="4">
        <f>IF(NOT(ISBLANK(I3)),I3,IF(OR(ISBLANK(D3),ISBLANK(E3),ISBLANK(N3),ISBLANK(H3)),"",(D3+E3+N3)*H3))</f>
        <v/>
      </c>
      <c r="P3" s="4">
        <f>IF(OR(ISBLANK(D3),ISBLANK(E3),ISBLANK(N3),ISBLANK(O3)),"",D3+O3+E3+N3)</f>
        <v/>
      </c>
      <c r="Q3" s="4">
        <f>IF(OR(ISBLANK(D3),ISBLANK(E3),ISBLANK(O3)),"",D3+O3+E3)</f>
        <v/>
      </c>
      <c r="R3" s="4">
        <f>IF(OR(ISBLANK(P3),ISBLANK(J3)),"",P3*J3)</f>
        <v/>
      </c>
      <c r="S3" s="4">
        <f>IF(OR(ISBLANK(Q3),ISBLANK(K3)),"",Q3*K3)</f>
        <v/>
      </c>
      <c r="T3" s="4">
        <f>IF(OR(ISBLANK(P3),ISBLANK(R3),ISBLANK(S3),ISBLANK(L3),ISBLANK(M3)),"",P3+R3+S3+L3+M3)</f>
        <v/>
      </c>
      <c r="U3" s="2" t="n"/>
      <c r="V3" s="2" t="n"/>
    </row>
    <row r="4">
      <c r="A4" s="2" t="inlineStr">
        <is>
          <t>June 2026</t>
        </is>
      </c>
      <c r="B4" s="2" t="n">
        <v>2026</v>
      </c>
      <c r="C4" s="2" t="n">
        <v>6</v>
      </c>
      <c r="D4" s="3" t="inlineStr">
        <is>
          <t>ICIS China MID (n-1)</t>
        </is>
      </c>
      <c r="E4" s="3" t="n"/>
      <c r="F4" s="3" t="n">
        <v>97.286177169</v>
      </c>
      <c r="G4" s="3" t="n"/>
      <c r="H4" s="3" t="n"/>
      <c r="I4" s="3" t="n">
        <v>0.03496712876712329</v>
      </c>
      <c r="J4" s="3" t="n"/>
      <c r="K4" s="3" t="n">
        <v>0.05</v>
      </c>
      <c r="L4" s="3" t="n">
        <v>0.08</v>
      </c>
      <c r="M4" s="3" t="n">
        <v>18.95837133417279</v>
      </c>
      <c r="N4" s="4">
        <f>IF(NOT(ISBLANK(G4)),G4,IF(ISBLANK(F4),"",MAX(F4-E4,0)))</f>
        <v/>
      </c>
      <c r="O4" s="4">
        <f>IF(NOT(ISBLANK(I4)),I4,IF(OR(ISBLANK(D4),ISBLANK(E4),ISBLANK(N4),ISBLANK(H4)),"",(D4+E4+N4)*H4))</f>
        <v/>
      </c>
      <c r="P4" s="4">
        <f>IF(OR(ISBLANK(D4),ISBLANK(E4),ISBLANK(N4),ISBLANK(O4)),"",D4+O4+E4+N4)</f>
        <v/>
      </c>
      <c r="Q4" s="4">
        <f>IF(OR(ISBLANK(D4),ISBLANK(E4),ISBLANK(O4)),"",D4+O4+E4)</f>
        <v/>
      </c>
      <c r="R4" s="4">
        <f>IF(OR(ISBLANK(P4),ISBLANK(J4)),"",P4*J4)</f>
        <v/>
      </c>
      <c r="S4" s="4">
        <f>IF(OR(ISBLANK(Q4),ISBLANK(K4)),"",Q4*K4)</f>
        <v/>
      </c>
      <c r="T4" s="4">
        <f>IF(OR(ISBLANK(P4),ISBLANK(R4),ISBLANK(S4),ISBLANK(L4),ISBLANK(M4)),"",P4+R4+S4+L4+M4)</f>
        <v/>
      </c>
      <c r="U4" s="2" t="n"/>
      <c r="V4" s="2" t="n"/>
    </row>
    <row r="5">
      <c r="A5" s="2" t="inlineStr">
        <is>
          <t>July 2026</t>
        </is>
      </c>
      <c r="B5" s="2" t="n">
        <v>2026</v>
      </c>
      <c r="C5" s="2" t="n">
        <v>7</v>
      </c>
      <c r="D5" s="3" t="inlineStr">
        <is>
          <t>ICIS China MID (n-1)</t>
        </is>
      </c>
      <c r="E5" s="3" t="n"/>
      <c r="F5" s="3" t="n">
        <v>97.286177169</v>
      </c>
      <c r="G5" s="3" t="n"/>
      <c r="H5" s="3" t="n"/>
      <c r="I5" s="3" t="n">
        <v>0.03496712876712329</v>
      </c>
      <c r="J5" s="3" t="n"/>
      <c r="K5" s="3" t="n">
        <v>0.05</v>
      </c>
      <c r="L5" s="3" t="n">
        <v>0.08</v>
      </c>
      <c r="M5" s="3" t="n">
        <v>18.95837133417279</v>
      </c>
      <c r="N5" s="4">
        <f>IF(NOT(ISBLANK(G5)),G5,IF(ISBLANK(F5),"",MAX(F5-E5,0)))</f>
        <v/>
      </c>
      <c r="O5" s="4">
        <f>IF(NOT(ISBLANK(I5)),I5,IF(OR(ISBLANK(D5),ISBLANK(E5),ISBLANK(N5),ISBLANK(H5)),"",(D5+E5+N5)*H5))</f>
        <v/>
      </c>
      <c r="P5" s="4">
        <f>IF(OR(ISBLANK(D5),ISBLANK(E5),ISBLANK(N5),ISBLANK(O5)),"",D5+O5+E5+N5)</f>
        <v/>
      </c>
      <c r="Q5" s="4">
        <f>IF(OR(ISBLANK(D5),ISBLANK(E5),ISBLANK(O5)),"",D5+O5+E5)</f>
        <v/>
      </c>
      <c r="R5" s="4">
        <f>IF(OR(ISBLANK(P5),ISBLANK(J5)),"",P5*J5)</f>
        <v/>
      </c>
      <c r="S5" s="4">
        <f>IF(OR(ISBLANK(Q5),ISBLANK(K5)),"",Q5*K5)</f>
        <v/>
      </c>
      <c r="T5" s="4">
        <f>IF(OR(ISBLANK(P5),ISBLANK(R5),ISBLANK(S5),ISBLANK(L5),ISBLANK(M5)),"",P5+R5+S5+L5+M5)</f>
        <v/>
      </c>
      <c r="U5" s="2" t="n"/>
      <c r="V5" s="2" t="n"/>
    </row>
    <row r="6">
      <c r="A6" s="2" t="inlineStr">
        <is>
          <t>August 2026</t>
        </is>
      </c>
      <c r="B6" s="2" t="n">
        <v>2026</v>
      </c>
      <c r="C6" s="2" t="n">
        <v>8</v>
      </c>
      <c r="D6" s="3" t="inlineStr">
        <is>
          <t>ICIS China MID (n-1)</t>
        </is>
      </c>
      <c r="E6" s="3" t="n"/>
      <c r="F6" s="3" t="n">
        <v>97.286177169</v>
      </c>
      <c r="G6" s="3" t="n"/>
      <c r="H6" s="3" t="n"/>
      <c r="I6" s="3" t="n">
        <v>0.03496712876712329</v>
      </c>
      <c r="J6" s="3" t="n"/>
      <c r="K6" s="3" t="n">
        <v>0.05</v>
      </c>
      <c r="L6" s="3" t="n">
        <v>0.08</v>
      </c>
      <c r="M6" s="3" t="n">
        <v>18.95837133417279</v>
      </c>
      <c r="N6" s="4">
        <f>IF(NOT(ISBLANK(G6)),G6,IF(ISBLANK(F6),"",MAX(F6-E6,0)))</f>
        <v/>
      </c>
      <c r="O6" s="4">
        <f>IF(NOT(ISBLANK(I6)),I6,IF(OR(ISBLANK(D6),ISBLANK(E6),ISBLANK(N6),ISBLANK(H6)),"",(D6+E6+N6)*H6))</f>
        <v/>
      </c>
      <c r="P6" s="4">
        <f>IF(OR(ISBLANK(D6),ISBLANK(E6),ISBLANK(N6),ISBLANK(O6)),"",D6+O6+E6+N6)</f>
        <v/>
      </c>
      <c r="Q6" s="4">
        <f>IF(OR(ISBLANK(D6),ISBLANK(E6),ISBLANK(O6)),"",D6+O6+E6)</f>
        <v/>
      </c>
      <c r="R6" s="4">
        <f>IF(OR(ISBLANK(P6),ISBLANK(J6)),"",P6*J6)</f>
        <v/>
      </c>
      <c r="S6" s="4">
        <f>IF(OR(ISBLANK(Q6),ISBLANK(K6)),"",Q6*K6)</f>
        <v/>
      </c>
      <c r="T6" s="4">
        <f>IF(OR(ISBLANK(P6),ISBLANK(R6),ISBLANK(S6),ISBLANK(L6),ISBLANK(M6)),"",P6+R6+S6+L6+M6)</f>
        <v/>
      </c>
      <c r="U6" s="2" t="n"/>
      <c r="V6" s="2" t="n"/>
    </row>
    <row r="7">
      <c r="A7" s="2" t="inlineStr">
        <is>
          <t>September 2026</t>
        </is>
      </c>
      <c r="B7" s="2" t="n">
        <v>2026</v>
      </c>
      <c r="C7" s="2" t="n">
        <v>9</v>
      </c>
      <c r="D7" s="3" t="inlineStr">
        <is>
          <t>ICIS China MID (n-1)</t>
        </is>
      </c>
      <c r="E7" s="3" t="n"/>
      <c r="F7" s="3" t="n">
        <v>97.286177169</v>
      </c>
      <c r="G7" s="3" t="n"/>
      <c r="H7" s="3" t="n"/>
      <c r="I7" s="3" t="n">
        <v>0.03496712876712329</v>
      </c>
      <c r="J7" s="3" t="n"/>
      <c r="K7" s="3" t="n">
        <v>0.05</v>
      </c>
      <c r="L7" s="3" t="n">
        <v>0.08</v>
      </c>
      <c r="M7" s="3" t="n">
        <v>18.95837133417279</v>
      </c>
      <c r="N7" s="4">
        <f>IF(NOT(ISBLANK(G7)),G7,IF(ISBLANK(F7),"",MAX(F7-E7,0)))</f>
        <v/>
      </c>
      <c r="O7" s="4">
        <f>IF(NOT(ISBLANK(I7)),I7,IF(OR(ISBLANK(D7),ISBLANK(E7),ISBLANK(N7),ISBLANK(H7)),"",(D7+E7+N7)*H7))</f>
        <v/>
      </c>
      <c r="P7" s="4">
        <f>IF(OR(ISBLANK(D7),ISBLANK(E7),ISBLANK(N7),ISBLANK(O7)),"",D7+O7+E7+N7)</f>
        <v/>
      </c>
      <c r="Q7" s="4">
        <f>IF(OR(ISBLANK(D7),ISBLANK(E7),ISBLANK(O7)),"",D7+O7+E7)</f>
        <v/>
      </c>
      <c r="R7" s="4">
        <f>IF(OR(ISBLANK(P7),ISBLANK(J7)),"",P7*J7)</f>
        <v/>
      </c>
      <c r="S7" s="4">
        <f>IF(OR(ISBLANK(Q7),ISBLANK(K7)),"",Q7*K7)</f>
        <v/>
      </c>
      <c r="T7" s="4">
        <f>IF(OR(ISBLANK(P7),ISBLANK(R7),ISBLANK(S7),ISBLANK(L7),ISBLANK(M7)),"",P7+R7+S7+L7+M7)</f>
        <v/>
      </c>
      <c r="U7" s="2" t="n"/>
      <c r="V7" s="2" t="n"/>
    </row>
    <row r="8">
      <c r="A8" s="2" t="inlineStr">
        <is>
          <t>October 2026</t>
        </is>
      </c>
      <c r="B8" s="2" t="n">
        <v>2026</v>
      </c>
      <c r="C8" s="2" t="n">
        <v>10</v>
      </c>
      <c r="D8" s="3" t="inlineStr">
        <is>
          <t>ICIS China MID (n-1)</t>
        </is>
      </c>
      <c r="E8" s="3" t="n"/>
      <c r="F8" s="3" t="n">
        <v>97.286177169</v>
      </c>
      <c r="G8" s="3" t="n"/>
      <c r="H8" s="3" t="n"/>
      <c r="I8" s="3" t="n">
        <v>0.03496712876712329</v>
      </c>
      <c r="J8" s="3" t="n"/>
      <c r="K8" s="3" t="n">
        <v>0.05</v>
      </c>
      <c r="L8" s="3" t="n">
        <v>0.08</v>
      </c>
      <c r="M8" s="3" t="n">
        <v>18.95837133417279</v>
      </c>
      <c r="N8" s="4">
        <f>IF(NOT(ISBLANK(G8)),G8,IF(ISBLANK(F8),"",MAX(F8-E8,0)))</f>
        <v/>
      </c>
      <c r="O8" s="4">
        <f>IF(NOT(ISBLANK(I8)),I8,IF(OR(ISBLANK(D8),ISBLANK(E8),ISBLANK(N8),ISBLANK(H8)),"",(D8+E8+N8)*H8))</f>
        <v/>
      </c>
      <c r="P8" s="4">
        <f>IF(OR(ISBLANK(D8),ISBLANK(E8),ISBLANK(N8),ISBLANK(O8)),"",D8+O8+E8+N8)</f>
        <v/>
      </c>
      <c r="Q8" s="4">
        <f>IF(OR(ISBLANK(D8),ISBLANK(E8),ISBLANK(O8)),"",D8+O8+E8)</f>
        <v/>
      </c>
      <c r="R8" s="4">
        <f>IF(OR(ISBLANK(P8),ISBLANK(J8)),"",P8*J8)</f>
        <v/>
      </c>
      <c r="S8" s="4">
        <f>IF(OR(ISBLANK(Q8),ISBLANK(K8)),"",Q8*K8)</f>
        <v/>
      </c>
      <c r="T8" s="4">
        <f>IF(OR(ISBLANK(P8),ISBLANK(R8),ISBLANK(S8),ISBLANK(L8),ISBLANK(M8)),"",P8+R8+S8+L8+M8)</f>
        <v/>
      </c>
      <c r="U8" s="2" t="n"/>
      <c r="V8" s="2" t="n"/>
    </row>
    <row r="9">
      <c r="A9" s="2" t="inlineStr">
        <is>
          <t>November 2026</t>
        </is>
      </c>
      <c r="B9" s="2" t="n">
        <v>2026</v>
      </c>
      <c r="C9" s="2" t="n">
        <v>11</v>
      </c>
      <c r="D9" s="3" t="inlineStr">
        <is>
          <t>ICIS China MID (n-1)</t>
        </is>
      </c>
      <c r="E9" s="3" t="n"/>
      <c r="F9" s="3" t="n">
        <v>97.286177169</v>
      </c>
      <c r="G9" s="3" t="n"/>
      <c r="H9" s="3" t="n"/>
      <c r="I9" s="3" t="n">
        <v>0.03496712876712329</v>
      </c>
      <c r="J9" s="3" t="n"/>
      <c r="K9" s="3" t="n">
        <v>0.05</v>
      </c>
      <c r="L9" s="3" t="n">
        <v>0.08</v>
      </c>
      <c r="M9" s="3" t="n">
        <v>18.95837133417279</v>
      </c>
      <c r="N9" s="4">
        <f>IF(NOT(ISBLANK(G9)),G9,IF(ISBLANK(F9),"",MAX(F9-E9,0)))</f>
        <v/>
      </c>
      <c r="O9" s="4">
        <f>IF(NOT(ISBLANK(I9)),I9,IF(OR(ISBLANK(D9),ISBLANK(E9),ISBLANK(N9),ISBLANK(H9)),"",(D9+E9+N9)*H9))</f>
        <v/>
      </c>
      <c r="P9" s="4">
        <f>IF(OR(ISBLANK(D9),ISBLANK(E9),ISBLANK(N9),ISBLANK(O9)),"",D9+O9+E9+N9)</f>
        <v/>
      </c>
      <c r="Q9" s="4">
        <f>IF(OR(ISBLANK(D9),ISBLANK(E9),ISBLANK(O9)),"",D9+O9+E9)</f>
        <v/>
      </c>
      <c r="R9" s="4">
        <f>IF(OR(ISBLANK(P9),ISBLANK(J9)),"",P9*J9)</f>
        <v/>
      </c>
      <c r="S9" s="4">
        <f>IF(OR(ISBLANK(Q9),ISBLANK(K9)),"",Q9*K9)</f>
        <v/>
      </c>
      <c r="T9" s="4">
        <f>IF(OR(ISBLANK(P9),ISBLANK(R9),ISBLANK(S9),ISBLANK(L9),ISBLANK(M9)),"",P9+R9+S9+L9+M9)</f>
        <v/>
      </c>
      <c r="U9" s="2" t="n"/>
      <c r="V9" s="2" t="n"/>
    </row>
    <row r="10">
      <c r="A10" s="2" t="inlineStr">
        <is>
          <t>December 2026</t>
        </is>
      </c>
      <c r="B10" s="2" t="n">
        <v>2026</v>
      </c>
      <c r="C10" s="2" t="n">
        <v>12</v>
      </c>
      <c r="D10" s="3" t="inlineStr">
        <is>
          <t>ICIS China MID (n-1)</t>
        </is>
      </c>
      <c r="E10" s="3" t="n"/>
      <c r="F10" s="3" t="n">
        <v>97.286177169</v>
      </c>
      <c r="G10" s="3" t="n"/>
      <c r="H10" s="3" t="n"/>
      <c r="I10" s="3" t="n">
        <v>0.03496712876712329</v>
      </c>
      <c r="J10" s="3" t="n"/>
      <c r="K10" s="3" t="n">
        <v>0.05</v>
      </c>
      <c r="L10" s="3" t="n">
        <v>0.08</v>
      </c>
      <c r="M10" s="3" t="n">
        <v>18.95837133417279</v>
      </c>
      <c r="N10" s="4">
        <f>IF(NOT(ISBLANK(G10)),G10,IF(ISBLANK(F10),"",MAX(F10-E10,0)))</f>
        <v/>
      </c>
      <c r="O10" s="4">
        <f>IF(NOT(ISBLANK(I10)),I10,IF(OR(ISBLANK(D10),ISBLANK(E10),ISBLANK(N10),ISBLANK(H10)),"",(D10+E10+N10)*H10))</f>
        <v/>
      </c>
      <c r="P10" s="4">
        <f>IF(OR(ISBLANK(D10),ISBLANK(E10),ISBLANK(N10),ISBLANK(O10)),"",D10+O10+E10+N10)</f>
        <v/>
      </c>
      <c r="Q10" s="4">
        <f>IF(OR(ISBLANK(D10),ISBLANK(E10),ISBLANK(O10)),"",D10+O10+E10)</f>
        <v/>
      </c>
      <c r="R10" s="4">
        <f>IF(OR(ISBLANK(P10),ISBLANK(J10)),"",P10*J10)</f>
        <v/>
      </c>
      <c r="S10" s="4">
        <f>IF(OR(ISBLANK(Q10),ISBLANK(K10)),"",Q10*K10)</f>
        <v/>
      </c>
      <c r="T10" s="4">
        <f>IF(OR(ISBLANK(P10),ISBLANK(R10),ISBLANK(S10),ISBLANK(L10),ISBLANK(M10)),"",P10+R10+S10+L10+M10)</f>
        <v/>
      </c>
      <c r="U10" s="2" t="n"/>
      <c r="V10" s="2" t="n"/>
    </row>
    <row r="11">
      <c r="A11" s="2" t="inlineStr">
        <is>
          <t>January 2027</t>
        </is>
      </c>
      <c r="B11" s="2" t="n">
        <v>2027</v>
      </c>
      <c r="C11" s="2" t="n">
        <v>1</v>
      </c>
      <c r="D11" s="3" t="inlineStr">
        <is>
          <t>ICIS China MID (n-1)</t>
        </is>
      </c>
      <c r="E11" s="3" t="n"/>
      <c r="F11" s="3" t="n">
        <v>97.286177169</v>
      </c>
      <c r="G11" s="3" t="n"/>
      <c r="H11" s="3" t="n"/>
      <c r="I11" s="3" t="n">
        <v>0.03496712876712329</v>
      </c>
      <c r="J11" s="3" t="n"/>
      <c r="K11" s="3" t="n">
        <v>0.05</v>
      </c>
      <c r="L11" s="3" t="n">
        <v>0.08</v>
      </c>
      <c r="M11" s="3" t="n">
        <v>18.95837133417279</v>
      </c>
      <c r="N11" s="4">
        <f>IF(NOT(ISBLANK(G11)),G11,IF(ISBLANK(F11),"",MAX(F11-E11,0)))</f>
        <v/>
      </c>
      <c r="O11" s="4">
        <f>IF(NOT(ISBLANK(I11)),I11,IF(OR(ISBLANK(D11),ISBLANK(E11),ISBLANK(N11),ISBLANK(H11)),"",(D11+E11+N11)*H11))</f>
        <v/>
      </c>
      <c r="P11" s="4">
        <f>IF(OR(ISBLANK(D11),ISBLANK(E11),ISBLANK(N11),ISBLANK(O11)),"",D11+O11+E11+N11)</f>
        <v/>
      </c>
      <c r="Q11" s="4">
        <f>IF(OR(ISBLANK(D11),ISBLANK(E11),ISBLANK(O11)),"",D11+O11+E11)</f>
        <v/>
      </c>
      <c r="R11" s="4">
        <f>IF(OR(ISBLANK(P11),ISBLANK(J11)),"",P11*J11)</f>
        <v/>
      </c>
      <c r="S11" s="4">
        <f>IF(OR(ISBLANK(Q11),ISBLANK(K11)),"",Q11*K11)</f>
        <v/>
      </c>
      <c r="T11" s="4">
        <f>IF(OR(ISBLANK(P11),ISBLANK(R11),ISBLANK(S11),ISBLANK(L11),ISBLANK(M11)),"",P11+R11+S11+L11+M11)</f>
        <v/>
      </c>
      <c r="U11" s="2" t="n"/>
      <c r="V11" s="2" t="n"/>
    </row>
    <row r="12">
      <c r="A12" s="2" t="inlineStr">
        <is>
          <t>February 2027</t>
        </is>
      </c>
      <c r="B12" s="2" t="n">
        <v>2027</v>
      </c>
      <c r="C12" s="2" t="n">
        <v>2</v>
      </c>
      <c r="D12" s="3" t="inlineStr">
        <is>
          <t>ICIS China MID (n-1)</t>
        </is>
      </c>
      <c r="E12" s="3" t="n"/>
      <c r="F12" s="3" t="n">
        <v>97.286177169</v>
      </c>
      <c r="G12" s="3" t="n"/>
      <c r="H12" s="3" t="n"/>
      <c r="I12" s="3" t="n">
        <v>0.03496712876712329</v>
      </c>
      <c r="J12" s="3" t="n"/>
      <c r="K12" s="3" t="n">
        <v>0.05</v>
      </c>
      <c r="L12" s="3" t="n">
        <v>0.08</v>
      </c>
      <c r="M12" s="3" t="n">
        <v>18.95837133417279</v>
      </c>
      <c r="N12" s="4">
        <f>IF(NOT(ISBLANK(G12)),G12,IF(ISBLANK(F12),"",MAX(F12-E12,0)))</f>
        <v/>
      </c>
      <c r="O12" s="4">
        <f>IF(NOT(ISBLANK(I12)),I12,IF(OR(ISBLANK(D12),ISBLANK(E12),ISBLANK(N12),ISBLANK(H12)),"",(D12+E12+N12)*H12))</f>
        <v/>
      </c>
      <c r="P12" s="4">
        <f>IF(OR(ISBLANK(D12),ISBLANK(E12),ISBLANK(N12),ISBLANK(O12)),"",D12+O12+E12+N12)</f>
        <v/>
      </c>
      <c r="Q12" s="4">
        <f>IF(OR(ISBLANK(D12),ISBLANK(E12),ISBLANK(O12)),"",D12+O12+E12)</f>
        <v/>
      </c>
      <c r="R12" s="4">
        <f>IF(OR(ISBLANK(P12),ISBLANK(J12)),"",P12*J12)</f>
        <v/>
      </c>
      <c r="S12" s="4">
        <f>IF(OR(ISBLANK(Q12),ISBLANK(K12)),"",Q12*K12)</f>
        <v/>
      </c>
      <c r="T12" s="4">
        <f>IF(OR(ISBLANK(P12),ISBLANK(R12),ISBLANK(S12),ISBLANK(L12),ISBLANK(M12)),"",P12+R12+S12+L12+M12)</f>
        <v/>
      </c>
      <c r="U12" s="2" t="n"/>
      <c r="V12" s="2" t="n"/>
    </row>
    <row r="13">
      <c r="A13" s="2" t="inlineStr">
        <is>
          <t>March 2027</t>
        </is>
      </c>
      <c r="B13" s="2" t="n">
        <v>2027</v>
      </c>
      <c r="C13" s="2" t="n">
        <v>3</v>
      </c>
      <c r="D13" s="3" t="inlineStr">
        <is>
          <t>ICIS China MID (n-1)</t>
        </is>
      </c>
      <c r="E13" s="3" t="n"/>
      <c r="F13" s="3" t="n">
        <v>97.286177169</v>
      </c>
      <c r="G13" s="3" t="n"/>
      <c r="H13" s="3" t="n"/>
      <c r="I13" s="3" t="n">
        <v>0.03496712876712329</v>
      </c>
      <c r="J13" s="3" t="n"/>
      <c r="K13" s="3" t="n">
        <v>0.05</v>
      </c>
      <c r="L13" s="3" t="n">
        <v>0.08</v>
      </c>
      <c r="M13" s="3" t="n">
        <v>18.95837133417279</v>
      </c>
      <c r="N13" s="4">
        <f>IF(NOT(ISBLANK(G13)),G13,IF(ISBLANK(F13),"",MAX(F13-E13,0)))</f>
        <v/>
      </c>
      <c r="O13" s="4">
        <f>IF(NOT(ISBLANK(I13)),I13,IF(OR(ISBLANK(D13),ISBLANK(E13),ISBLANK(N13),ISBLANK(H13)),"",(D13+E13+N13)*H13))</f>
        <v/>
      </c>
      <c r="P13" s="4">
        <f>IF(OR(ISBLANK(D13),ISBLANK(E13),ISBLANK(N13),ISBLANK(O13)),"",D13+O13+E13+N13)</f>
        <v/>
      </c>
      <c r="Q13" s="4">
        <f>IF(OR(ISBLANK(D13),ISBLANK(E13),ISBLANK(O13)),"",D13+O13+E13)</f>
        <v/>
      </c>
      <c r="R13" s="4">
        <f>IF(OR(ISBLANK(P13),ISBLANK(J13)),"",P13*J13)</f>
        <v/>
      </c>
      <c r="S13" s="4">
        <f>IF(OR(ISBLANK(Q13),ISBLANK(K13)),"",Q13*K13)</f>
        <v/>
      </c>
      <c r="T13" s="4">
        <f>IF(OR(ISBLANK(P13),ISBLANK(R13),ISBLANK(S13),ISBLANK(L13),ISBLANK(M13)),"",P13+R13+S13+L13+M13)</f>
        <v/>
      </c>
      <c r="U13" s="2" t="n"/>
      <c r="V13" s="2" t="n"/>
    </row>
  </sheetData>
  <autoFilter ref="A1:V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description</t>
        </is>
      </c>
    </row>
    <row r="2">
      <c r="A2" t="inlineStr">
        <is>
          <t>time_period</t>
        </is>
      </c>
      <c r="B2" t="inlineStr">
        <is>
          <t>Yes</t>
        </is>
      </c>
      <c r="C2" t="inlineStr">
        <is>
          <t>Future month label.</t>
        </is>
      </c>
    </row>
    <row r="3">
      <c r="A3" t="inlineStr">
        <is>
          <t>resin_price_index</t>
        </is>
      </c>
      <c r="B3" t="inlineStr">
        <is>
          <t>Yes</t>
        </is>
      </c>
      <c r="C3" t="inlineStr">
        <is>
          <t>Monthly resin index value.</t>
        </is>
      </c>
    </row>
    <row r="4">
      <c r="A4" t="inlineStr">
        <is>
          <t>freight_regular</t>
        </is>
      </c>
      <c r="B4" t="inlineStr">
        <is>
          <t>Yes</t>
        </is>
      </c>
      <c r="C4" t="inlineStr">
        <is>
          <t>Regular China-Buenaventura freight. Prefilled from latest historical value.</t>
        </is>
      </c>
    </row>
    <row r="5">
      <c r="A5" t="inlineStr">
        <is>
          <t>drewry_freight</t>
        </is>
      </c>
      <c r="B5" t="inlineStr">
        <is>
          <t>Conditional</t>
        </is>
      </c>
      <c r="C5" t="inlineStr">
        <is>
          <t>Drewry freight value used to calculate incremental freight.</t>
        </is>
      </c>
    </row>
    <row r="6">
      <c r="A6" t="inlineStr">
        <is>
          <t>freight_incremental_override</t>
        </is>
      </c>
      <c r="B6" t="inlineStr">
        <is>
          <t>Conditional</t>
        </is>
      </c>
      <c r="C6" t="inlineStr">
        <is>
          <t>Direct incremental freight value. If filled, this overrides Drewry-based calculation.</t>
        </is>
      </c>
    </row>
    <row r="7">
      <c r="A7" t="inlineStr">
        <is>
          <t>finance_factor</t>
        </is>
      </c>
      <c r="B7" t="inlineStr">
        <is>
          <t>Yes</t>
        </is>
      </c>
      <c r="C7" t="inlineStr">
        <is>
          <t>Finance factor. Prefilled from latest historical implied factor.</t>
        </is>
      </c>
    </row>
    <row r="8">
      <c r="A8" t="inlineStr">
        <is>
          <t>finance_value_override</t>
        </is>
      </c>
      <c r="B8" t="inlineStr">
        <is>
          <t>No</t>
        </is>
      </c>
      <c r="C8" t="inlineStr">
        <is>
          <t>Direct finance value. If filled, this overrides finance factor calculation.</t>
        </is>
      </c>
    </row>
    <row r="9">
      <c r="A9" t="inlineStr">
        <is>
          <t>duty_rate</t>
        </is>
      </c>
      <c r="B9" t="inlineStr">
        <is>
          <t>Yes</t>
        </is>
      </c>
      <c r="C9" t="inlineStr">
        <is>
          <t>Duty rate, currently 5%.</t>
        </is>
      </c>
    </row>
    <row r="10">
      <c r="A10" t="inlineStr">
        <is>
          <t>landed_factor_rate</t>
        </is>
      </c>
      <c r="B10" t="inlineStr">
        <is>
          <t>Yes</t>
        </is>
      </c>
      <c r="C10" t="inlineStr">
        <is>
          <t>Landed factor rate, currently 8%.</t>
        </is>
      </c>
    </row>
    <row r="11">
      <c r="A11" t="inlineStr">
        <is>
          <t>zf_legislation_change</t>
        </is>
      </c>
      <c r="B11" t="inlineStr">
        <is>
          <t>Yes</t>
        </is>
      </c>
      <c r="C11" t="inlineStr">
        <is>
          <t>ZF legislation value; prefilled from latest historical month.</t>
        </is>
      </c>
    </row>
    <row r="12">
      <c r="A12" t="inlineStr">
        <is>
          <t>surcharge_alpek_br</t>
        </is>
      </c>
      <c r="B12" t="inlineStr">
        <is>
          <t>Yes</t>
        </is>
      </c>
      <c r="C12" t="inlineStr">
        <is>
          <t>Surcharge value; use 0 when not applicable.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latest_period</t>
        </is>
      </c>
      <c r="B2" s="5" t="n">
        <v>46082</v>
      </c>
    </row>
    <row r="3">
      <c r="A3" t="inlineStr">
        <is>
          <t>latest_source_column</t>
        </is>
      </c>
      <c r="B3" t="inlineStr">
        <is>
          <t>CV</t>
        </is>
      </c>
    </row>
    <row r="4">
      <c r="A4" t="inlineStr">
        <is>
          <t>resin_index_type</t>
        </is>
      </c>
      <c r="B4" t="inlineStr">
        <is>
          <t>ICIS China MID (n-1)</t>
        </is>
      </c>
    </row>
    <row r="5">
      <c r="A5" t="inlineStr">
        <is>
          <t>resin_price_index</t>
        </is>
      </c>
      <c r="B5" t="n">
        <v>821.075</v>
      </c>
    </row>
    <row r="6">
      <c r="A6" t="inlineStr">
        <is>
          <t>finance</t>
        </is>
      </c>
      <c r="B6" t="n">
        <v>32.33291190975094</v>
      </c>
    </row>
    <row r="7">
      <c r="A7" t="inlineStr">
        <is>
          <t>finance_factor</t>
        </is>
      </c>
      <c r="B7" t="n">
        <v>0.03496712876712329</v>
      </c>
    </row>
    <row r="8">
      <c r="A8" t="inlineStr">
        <is>
          <t>freight_regular</t>
        </is>
      </c>
      <c r="B8" t="n">
        <v>97.286177169</v>
      </c>
    </row>
    <row r="9">
      <c r="A9" t="inlineStr">
        <is>
          <t>freight_incremental</t>
        </is>
      </c>
      <c r="B9" t="n">
        <v>6.304731921909095</v>
      </c>
    </row>
    <row r="10">
      <c r="A10" t="inlineStr">
        <is>
          <t>sub_total_incremental</t>
        </is>
      </c>
      <c r="B10" t="n">
        <v>956.9988210006601</v>
      </c>
    </row>
    <row r="11">
      <c r="A11" t="inlineStr">
        <is>
          <t>sub_total_regular</t>
        </is>
      </c>
      <c r="B11" t="n">
        <v>950.6940890787509</v>
      </c>
    </row>
    <row r="12">
      <c r="A12" t="inlineStr">
        <is>
          <t>duty</t>
        </is>
      </c>
      <c r="B12" t="n">
        <v>47.84994105003301</v>
      </c>
    </row>
    <row r="13">
      <c r="A13" t="inlineStr">
        <is>
          <t>duty_rate</t>
        </is>
      </c>
      <c r="B13" t="n">
        <v>0.05</v>
      </c>
    </row>
    <row r="14">
      <c r="A14" t="inlineStr">
        <is>
          <t>landed_factor</t>
        </is>
      </c>
      <c r="B14" t="n">
        <v>76.05552712630008</v>
      </c>
    </row>
    <row r="15">
      <c r="A15" t="inlineStr">
        <is>
          <t>landed_factor_rate</t>
        </is>
      </c>
      <c r="B15" t="n">
        <v>0.08</v>
      </c>
    </row>
    <row r="16">
      <c r="A16" t="inlineStr">
        <is>
          <t>zf_legislation_change</t>
        </is>
      </c>
      <c r="B16" t="n">
        <v>18.95837133417279</v>
      </c>
    </row>
    <row r="17">
      <c r="A17" t="inlineStr">
        <is>
          <t>surcharge_alpek_br</t>
        </is>
      </c>
      <c r="B17" t="n">
        <v>0</v>
      </c>
    </row>
    <row r="18">
      <c r="A18" t="inlineStr">
        <is>
          <t>total_landing_cost</t>
        </is>
      </c>
      <c r="B18" t="n">
        <v>1099.862660511166</v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23" customWidth="1" min="3" max="3"/>
    <col width="20" customWidth="1" min="4" max="4"/>
    <col width="42" customWidth="1" min="5" max="5"/>
    <col width="30" customWidth="1" min="6" max="6"/>
    <col width="22" customWidth="1" min="7" max="7"/>
    <col width="21" customWidth="1" min="8" max="8"/>
    <col width="23" customWidth="1" min="9" max="9"/>
    <col width="70" customWidth="1" min="10" max="10"/>
    <col width="70" customWidth="1" min="11" max="11"/>
  </cols>
  <sheetData>
    <row r="1">
      <c r="A1" s="1" t="inlineStr">
        <is>
          <t>component_order</t>
        </is>
      </c>
      <c r="B1" s="1" t="inlineStr">
        <is>
          <t>component_name</t>
        </is>
      </c>
      <c r="C1" s="1" t="inlineStr">
        <is>
          <t>component_type</t>
        </is>
      </c>
      <c r="D1" s="1" t="inlineStr">
        <is>
          <t>mapping_column</t>
        </is>
      </c>
      <c r="E1" s="1" t="inlineStr">
        <is>
          <t>source_metric_en</t>
        </is>
      </c>
      <c r="F1" s="1" t="inlineStr">
        <is>
          <t>future_input_column</t>
        </is>
      </c>
      <c r="G1" s="1" t="inlineStr">
        <is>
          <t>resin_index_type</t>
        </is>
      </c>
      <c r="H1" s="1" t="inlineStr">
        <is>
          <t>default_value</t>
        </is>
      </c>
      <c r="I1" s="1" t="inlineStr">
        <is>
          <t>required_for_forecast</t>
        </is>
      </c>
      <c r="J1" s="1" t="inlineStr">
        <is>
          <t>formula_logic</t>
        </is>
      </c>
      <c r="K1" s="1" t="inlineStr">
        <is>
          <t>notes</t>
        </is>
      </c>
    </row>
    <row r="2">
      <c r="A2" t="n">
        <v>1</v>
      </c>
      <c r="B2" t="inlineStr">
        <is>
          <t>Resin Price Index</t>
        </is>
      </c>
      <c r="C2" t="inlineStr">
        <is>
          <t>Variable Input</t>
        </is>
      </c>
      <c r="D2" t="inlineStr">
        <is>
          <t>Resin Index vPET</t>
        </is>
      </c>
      <c r="E2" t="inlineStr">
        <is>
          <t>Resin Price Index</t>
        </is>
      </c>
      <c r="F2" t="inlineStr">
        <is>
          <t>resin_price_index</t>
        </is>
      </c>
      <c r="G2" t="inlineStr">
        <is>
          <t>ICIS China MID (n-1)</t>
        </is>
      </c>
      <c r="I2" t="inlineStr">
        <is>
          <t>Yes</t>
        </is>
      </c>
      <c r="J2" t="inlineStr">
        <is>
          <t>User-provided monthly resin index.</t>
        </is>
      </c>
      <c r="K2" t="inlineStr">
        <is>
          <t>Required each future month.</t>
        </is>
      </c>
    </row>
    <row r="3">
      <c r="A3" t="n">
        <v>2</v>
      </c>
      <c r="B3" t="inlineStr">
        <is>
          <t>Freight China-Buenaventura (Regular)</t>
        </is>
      </c>
      <c r="C3" t="inlineStr">
        <is>
          <t>Variable Input</t>
        </is>
      </c>
      <c r="D3" t="inlineStr">
        <is>
          <t>Freight</t>
        </is>
      </c>
      <c r="E3" t="inlineStr">
        <is>
          <t>Freight China-Buenaventura (Regular)</t>
        </is>
      </c>
      <c r="F3" t="inlineStr">
        <is>
          <t>freight_regular</t>
        </is>
      </c>
      <c r="G3" t="inlineStr">
        <is>
          <t>ICIS China MID (n-1)</t>
        </is>
      </c>
      <c r="H3" t="n">
        <v>97.286177169</v>
      </c>
      <c r="I3" t="inlineStr">
        <is>
          <t>Yes</t>
        </is>
      </c>
      <c r="J3" t="inlineStr">
        <is>
          <t>User-provided monthly regular freight, defaulted to latest historical value.</t>
        </is>
      </c>
      <c r="K3" t="inlineStr">
        <is>
          <t>Update if regular freight changes.</t>
        </is>
      </c>
    </row>
    <row r="4">
      <c r="A4" t="n">
        <v>3</v>
      </c>
      <c r="B4" t="inlineStr">
        <is>
          <t>Drewry Freight</t>
        </is>
      </c>
      <c r="C4" t="inlineStr">
        <is>
          <t>Variable Input</t>
        </is>
      </c>
      <c r="D4" t="inlineStr">
        <is>
          <t>Freight</t>
        </is>
      </c>
      <c r="F4" t="inlineStr">
        <is>
          <t>drewry_freight</t>
        </is>
      </c>
      <c r="G4" t="inlineStr">
        <is>
          <t>ICIS China MID (n-1)</t>
        </is>
      </c>
      <c r="I4" t="inlineStr">
        <is>
          <t>Conditional</t>
        </is>
      </c>
      <c r="J4" t="inlineStr">
        <is>
          <t>Used to calculate incremental freight as MAX(Drewry Freight - Freight Regular, 0).</t>
        </is>
      </c>
      <c r="K4" t="inlineStr">
        <is>
          <t>Fill this or fill freight_incremental_override directly.</t>
        </is>
      </c>
    </row>
    <row r="5">
      <c r="A5" t="n">
        <v>4</v>
      </c>
      <c r="B5" t="inlineStr">
        <is>
          <t>Freight China-Buenaventura (Incremental)</t>
        </is>
      </c>
      <c r="C5" t="inlineStr">
        <is>
          <t>Formula / Override</t>
        </is>
      </c>
      <c r="D5" t="inlineStr">
        <is>
          <t>Freight</t>
        </is>
      </c>
      <c r="E5" t="inlineStr">
        <is>
          <t>Freight China-Buenaventura (Incremental)</t>
        </is>
      </c>
      <c r="F5" t="inlineStr">
        <is>
          <t>freight_incremental_override</t>
        </is>
      </c>
      <c r="G5" t="inlineStr">
        <is>
          <t>ICIS China MID (n-1)</t>
        </is>
      </c>
      <c r="I5" t="inlineStr">
        <is>
          <t>Conditional</t>
        </is>
      </c>
      <c r="J5" t="inlineStr">
        <is>
          <t>If override is blank, MAX(drewry_freight - freight_regular, 0).</t>
        </is>
      </c>
      <c r="K5" t="inlineStr">
        <is>
          <t>Use override when the business provides the incremental amount directly.</t>
        </is>
      </c>
    </row>
    <row r="6">
      <c r="A6" t="n">
        <v>5</v>
      </c>
      <c r="B6" t="inlineStr">
        <is>
          <t>Finance Factor</t>
        </is>
      </c>
      <c r="C6" t="inlineStr">
        <is>
          <t>Variable Assumption</t>
        </is>
      </c>
      <c r="D6" t="inlineStr">
        <is>
          <t>Insurance</t>
        </is>
      </c>
      <c r="E6" t="inlineStr">
        <is>
          <t>Finance</t>
        </is>
      </c>
      <c r="F6" t="inlineStr">
        <is>
          <t>finance_factor</t>
        </is>
      </c>
      <c r="G6" t="inlineStr">
        <is>
          <t>ICIS China MID (n-1)</t>
        </is>
      </c>
      <c r="H6" t="n">
        <v>0.03496712876712329</v>
      </c>
      <c r="I6" t="inlineStr">
        <is>
          <t>Yes</t>
        </is>
      </c>
      <c r="J6" t="inlineStr">
        <is>
          <t>Finance = (Resin Price Index + Freight Regular + Freight Incremental) x Finance Factor, unless finance_value_override is provided.</t>
        </is>
      </c>
      <c r="K6" t="inlineStr">
        <is>
          <t>Latest factor is inferred from latest historical Finance row.</t>
        </is>
      </c>
    </row>
    <row r="7">
      <c r="A7" t="n">
        <v>6</v>
      </c>
      <c r="B7" t="inlineStr">
        <is>
          <t>Finance</t>
        </is>
      </c>
      <c r="C7" t="inlineStr">
        <is>
          <t>Formula / Override</t>
        </is>
      </c>
      <c r="D7" t="inlineStr">
        <is>
          <t>Insurance</t>
        </is>
      </c>
      <c r="E7" t="inlineStr">
        <is>
          <t>Finance</t>
        </is>
      </c>
      <c r="F7" t="inlineStr">
        <is>
          <t>finance_value_override</t>
        </is>
      </c>
      <c r="G7" t="inlineStr">
        <is>
          <t>ICIS China MID (n-1)</t>
        </is>
      </c>
      <c r="I7" t="inlineStr">
        <is>
          <t>Conditional</t>
        </is>
      </c>
      <c r="J7" t="inlineStr">
        <is>
          <t>If override is blank, (resin_price_index + freight_regular + freight_incremental_used) x finance_factor.</t>
        </is>
      </c>
      <c r="K7" t="inlineStr">
        <is>
          <t>Fill override if Finance is provided as a value instead of factor.</t>
        </is>
      </c>
    </row>
    <row r="8">
      <c r="A8" t="n">
        <v>7</v>
      </c>
      <c r="B8" t="inlineStr">
        <is>
          <t>Sub Total (with Incremental Freight)</t>
        </is>
      </c>
      <c r="C8" t="inlineStr">
        <is>
          <t>Formula</t>
        </is>
      </c>
      <c r="D8" t="inlineStr">
        <is>
          <t>Sub Total (CIF)</t>
        </is>
      </c>
      <c r="E8" t="inlineStr">
        <is>
          <t>Sub Total (with Incremental Freight)</t>
        </is>
      </c>
      <c r="G8" t="inlineStr">
        <is>
          <t>ICIS China MID (n-1)</t>
        </is>
      </c>
      <c r="I8" t="inlineStr">
        <is>
          <t>Calculated</t>
        </is>
      </c>
      <c r="J8" t="inlineStr">
        <is>
          <t>resin_price_index + finance_used + freight_regular + freight_incremental_used</t>
        </is>
      </c>
      <c r="K8" t="inlineStr">
        <is>
          <t>Used as the basis for Duty and final TLC.</t>
        </is>
      </c>
    </row>
    <row r="9">
      <c r="A9" t="n">
        <v>8</v>
      </c>
      <c r="B9" t="inlineStr">
        <is>
          <t>Sub Total (with Regular Freight)</t>
        </is>
      </c>
      <c r="C9" t="inlineStr">
        <is>
          <t>Formula</t>
        </is>
      </c>
      <c r="D9" t="inlineStr">
        <is>
          <t>Sub Total (CIF)</t>
        </is>
      </c>
      <c r="E9" t="inlineStr">
        <is>
          <t>Sub Total (with Regular Freight)</t>
        </is>
      </c>
      <c r="G9" t="inlineStr">
        <is>
          <t>ICIS China MID (n-1)</t>
        </is>
      </c>
      <c r="I9" t="inlineStr">
        <is>
          <t>Calculated</t>
        </is>
      </c>
      <c r="J9" t="inlineStr">
        <is>
          <t>resin_price_index + finance_used + freight_regular</t>
        </is>
      </c>
      <c r="K9" t="inlineStr">
        <is>
          <t>Used as the basis for Landed Factor.</t>
        </is>
      </c>
    </row>
    <row r="10">
      <c r="A10" t="n">
        <v>9</v>
      </c>
      <c r="B10" t="inlineStr">
        <is>
          <t>Duty Rate</t>
        </is>
      </c>
      <c r="C10" t="inlineStr">
        <is>
          <t>Constant / Assumption</t>
        </is>
      </c>
      <c r="D10" t="inlineStr">
        <is>
          <t>Tax</t>
        </is>
      </c>
      <c r="E10" t="inlineStr">
        <is>
          <t>Duty 5% (Change According to Regulation)</t>
        </is>
      </c>
      <c r="F10" t="inlineStr">
        <is>
          <t>duty_rate</t>
        </is>
      </c>
      <c r="G10" t="inlineStr">
        <is>
          <t>ICIS China MID (n-1)</t>
        </is>
      </c>
      <c r="H10" t="n">
        <v>0.05</v>
      </c>
      <c r="I10" t="inlineStr">
        <is>
          <t>Yes</t>
        </is>
      </c>
      <c r="J10" t="inlineStr">
        <is>
          <t>Duty = Sub Total (with Incremental Freight) x Duty Rate.</t>
        </is>
      </c>
      <c r="K10" t="inlineStr">
        <is>
          <t>Currently 5% for future Bavaria forecast.</t>
        </is>
      </c>
    </row>
    <row r="11">
      <c r="A11" t="n">
        <v>10</v>
      </c>
      <c r="B11" t="inlineStr">
        <is>
          <t>Duty 5% (Change According to Regulation)</t>
        </is>
      </c>
      <c r="C11" t="inlineStr">
        <is>
          <t>Formula</t>
        </is>
      </c>
      <c r="D11" t="inlineStr">
        <is>
          <t>Tax</t>
        </is>
      </c>
      <c r="E11" t="inlineStr">
        <is>
          <t>Duty 5% (Change According to Regulation)</t>
        </is>
      </c>
      <c r="G11" t="inlineStr">
        <is>
          <t>ICIS China MID (n-1)</t>
        </is>
      </c>
      <c r="I11" t="inlineStr">
        <is>
          <t>Calculated</t>
        </is>
      </c>
      <c r="J11" t="inlineStr">
        <is>
          <t>sub_total_incremental x duty_rate</t>
        </is>
      </c>
    </row>
    <row r="12">
      <c r="A12" t="n">
        <v>11</v>
      </c>
      <c r="B12" t="inlineStr">
        <is>
          <t>Landed Factor Rate</t>
        </is>
      </c>
      <c r="C12" t="inlineStr">
        <is>
          <t>Constant / Assumption</t>
        </is>
      </c>
      <c r="D12" t="inlineStr">
        <is>
          <t>Tax</t>
        </is>
      </c>
      <c r="E12" t="inlineStr">
        <is>
          <t>Landed Factor 8%</t>
        </is>
      </c>
      <c r="F12" t="inlineStr">
        <is>
          <t>landed_factor_rate</t>
        </is>
      </c>
      <c r="G12" t="inlineStr">
        <is>
          <t>ICIS China MID (n-1)</t>
        </is>
      </c>
      <c r="H12" t="n">
        <v>0.08</v>
      </c>
      <c r="I12" t="inlineStr">
        <is>
          <t>Yes</t>
        </is>
      </c>
      <c r="J12" t="inlineStr">
        <is>
          <t>Landed Factor = Sub Total (with Regular Freight) x Landed Factor Rate.</t>
        </is>
      </c>
      <c r="K12" t="inlineStr">
        <is>
          <t>Currently 8%.</t>
        </is>
      </c>
    </row>
    <row r="13">
      <c r="A13" t="n">
        <v>12</v>
      </c>
      <c r="B13" t="inlineStr">
        <is>
          <t>Landed Factor 8%</t>
        </is>
      </c>
      <c r="C13" t="inlineStr">
        <is>
          <t>Formula</t>
        </is>
      </c>
      <c r="D13" t="inlineStr">
        <is>
          <t>Tax</t>
        </is>
      </c>
      <c r="E13" t="inlineStr">
        <is>
          <t>Landed Factor 8%</t>
        </is>
      </c>
      <c r="G13" t="inlineStr">
        <is>
          <t>ICIS China MID (n-1)</t>
        </is>
      </c>
      <c r="I13" t="inlineStr">
        <is>
          <t>Calculated</t>
        </is>
      </c>
      <c r="J13" t="inlineStr">
        <is>
          <t>sub_total_regular x landed_factor_rate</t>
        </is>
      </c>
    </row>
    <row r="14">
      <c r="A14" t="n">
        <v>13</v>
      </c>
      <c r="B14" t="inlineStr">
        <is>
          <t>ZF Legislation Change</t>
        </is>
      </c>
      <c r="C14" t="inlineStr">
        <is>
          <t>Variable Input</t>
        </is>
      </c>
      <c r="D14" t="inlineStr">
        <is>
          <t>Tax</t>
        </is>
      </c>
      <c r="E14" t="inlineStr">
        <is>
          <t>ZF Legislation Change</t>
        </is>
      </c>
      <c r="F14" t="inlineStr">
        <is>
          <t>zf_legislation_change</t>
        </is>
      </c>
      <c r="G14" t="inlineStr">
        <is>
          <t>ICIS China MID (n-1)</t>
        </is>
      </c>
      <c r="H14" t="n">
        <v>18.95837133417279</v>
      </c>
      <c r="I14" t="inlineStr">
        <is>
          <t>Yes</t>
        </is>
      </c>
      <c r="J14" t="inlineStr">
        <is>
          <t>User-provided or latest known fixed monthly value.</t>
        </is>
      </c>
      <c r="K14" t="inlineStr">
        <is>
          <t>Update if ZF legislation value changes.</t>
        </is>
      </c>
    </row>
    <row r="15">
      <c r="A15" t="n">
        <v>14</v>
      </c>
      <c r="B15" t="inlineStr">
        <is>
          <t>Sur Charge Alpek Br</t>
        </is>
      </c>
      <c r="C15" t="inlineStr">
        <is>
          <t>Variable Input</t>
        </is>
      </c>
      <c r="D15" t="inlineStr">
        <is>
          <t>Tax</t>
        </is>
      </c>
      <c r="E15" t="inlineStr">
        <is>
          <t>Sur Charge Alpek Br</t>
        </is>
      </c>
      <c r="F15" t="inlineStr">
        <is>
          <t>surcharge_alpek_br</t>
        </is>
      </c>
      <c r="G15" t="inlineStr">
        <is>
          <t>ICIS China MID (n-1)</t>
        </is>
      </c>
      <c r="H15" t="n">
        <v>0</v>
      </c>
      <c r="I15" t="inlineStr">
        <is>
          <t>Yes</t>
        </is>
      </c>
      <c r="J15" t="inlineStr">
        <is>
          <t>User-provided surcharge; use 0 when not applicable.</t>
        </is>
      </c>
      <c r="K15" t="inlineStr">
        <is>
          <t>Latest months are 0.</t>
        </is>
      </c>
    </row>
    <row r="16">
      <c r="A16" t="n">
        <v>15</v>
      </c>
      <c r="B16" t="inlineStr">
        <is>
          <t>Total Resin Price ABI VIRGIN Formula</t>
        </is>
      </c>
      <c r="C16" t="inlineStr">
        <is>
          <t>Output Formula</t>
        </is>
      </c>
      <c r="D16" t="inlineStr">
        <is>
          <t>Total Landing Cost</t>
        </is>
      </c>
      <c r="E16" t="inlineStr">
        <is>
          <t>Total Resin Price ABI VIRGIN Formula</t>
        </is>
      </c>
      <c r="F16" t="inlineStr">
        <is>
          <t>total_landing_cost_forecast</t>
        </is>
      </c>
      <c r="G16" t="inlineStr">
        <is>
          <t>ICIS China MID (n-1)</t>
        </is>
      </c>
      <c r="I16" t="inlineStr">
        <is>
          <t>Calculated</t>
        </is>
      </c>
      <c r="J16" t="inlineStr">
        <is>
          <t>sub_total_incremental + duty + landed_factor + zf_legislation_change + surcharge_alpek_br</t>
        </is>
      </c>
      <c r="K16" t="inlineStr">
        <is>
          <t>This is the forecasted TLC for future months.</t>
        </is>
      </c>
    </row>
  </sheetData>
  <autoFilter ref="A1:K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2026-05-15T07:16:27</t>
        </is>
      </c>
    </row>
    <row r="3">
      <c r="A3" t="inlineStr">
        <is>
          <t>latest_period</t>
        </is>
      </c>
      <c r="B3" t="inlineStr">
        <is>
          <t>March 2026</t>
        </is>
      </c>
    </row>
    <row r="4">
      <c r="A4" t="inlineStr">
        <is>
          <t>resin_index_type</t>
        </is>
      </c>
      <c r="B4" t="inlineStr">
        <is>
          <t>ICIS China MID (n-1)</t>
        </is>
      </c>
    </row>
    <row r="5">
      <c r="A5" t="inlineStr">
        <is>
          <t>future_months</t>
        </is>
      </c>
      <c r="B5" t="n">
        <v>12</v>
      </c>
    </row>
    <row r="6">
      <c r="A6" t="inlineStr">
        <is>
          <t>input_columns_fill</t>
        </is>
      </c>
      <c r="B6" t="inlineStr">
        <is>
          <t>Yellow cells are user-editable inputs/default assumptions.</t>
        </is>
      </c>
    </row>
    <row r="7">
      <c r="A7" t="inlineStr">
        <is>
          <t>formula_columns_fill</t>
        </is>
      </c>
      <c r="B7" t="inlineStr">
        <is>
          <t>Green cells are Excel formula outputs.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2026-05-15T01:46:27Z</dcterms:created>
  <dcterms:modified xsi:type="dcterms:W3CDTF">2026-05-15T01:46:27Z</dcterms:modified>
</cp:coreProperties>
</file>