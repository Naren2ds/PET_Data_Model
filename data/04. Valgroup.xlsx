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/Supplier Sheets/"/>
    </mc:Choice>
  </mc:AlternateContent>
  <xr:revisionPtr revIDLastSave="437" documentId="8_{08222D26-EEFE-4014-946C-CF23D347D614}" xr6:coauthVersionLast="47" xr6:coauthVersionMax="47" xr10:uidLastSave="{D2581107-B393-48B1-9C1A-26FAFADAA9F5}"/>
  <bookViews>
    <workbookView xWindow="-110" yWindow="-110" windowWidth="19420" windowHeight="11500" activeTab="3" xr2:uid="{C64910DC-29EB-49D5-82E7-9AF01A7FF08E}"/>
  </bookViews>
  <sheets>
    <sheet name="JAN.26" sheetId="2" r:id="rId1"/>
    <sheet name="FEV.26" sheetId="4" r:id="rId2"/>
    <sheet name="MAR.26" sheetId="5" r:id="rId3"/>
    <sheet name="ABR.26" sheetId="6" r:id="rId4"/>
    <sheet name="Padrão Ambev" sheetId="1" r:id="rId5"/>
    <sheet name="Reajuste Anual" sheetId="3" r:id="rId6"/>
  </sheets>
  <definedNames>
    <definedName name="_xlnm._FilterDatabase" localSheetId="4" hidden="1">'Padrão Ambev'!$A$30:$AV$219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" l="1"/>
  <c r="M12" i="1"/>
  <c r="W16" i="6"/>
  <c r="V16" i="6"/>
  <c r="S75" i="6" l="1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V25" i="6"/>
  <c r="V26" i="6" s="1"/>
  <c r="V19" i="6"/>
  <c r="V20" i="6" s="1"/>
  <c r="X16" i="6"/>
  <c r="X19" i="6" s="1"/>
  <c r="X20" i="6" s="1"/>
  <c r="W19" i="6"/>
  <c r="W20" i="6" s="1"/>
  <c r="V11" i="6"/>
  <c r="X10" i="6"/>
  <c r="W10" i="6"/>
  <c r="V10" i="6"/>
  <c r="X7" i="6"/>
  <c r="W7" i="6"/>
  <c r="V5" i="6"/>
  <c r="X4" i="6"/>
  <c r="W4" i="6"/>
  <c r="X3" i="6"/>
  <c r="W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F75" i="5"/>
  <c r="F51" i="5"/>
  <c r="F27" i="5"/>
  <c r="F3" i="5"/>
  <c r="L13" i="1"/>
  <c r="L12" i="1"/>
  <c r="V12" i="6" l="1"/>
  <c r="V13" i="6" s="1"/>
  <c r="S59" i="6"/>
  <c r="F83" i="6"/>
  <c r="E59" i="6"/>
  <c r="G35" i="6"/>
  <c r="S11" i="6"/>
  <c r="R11" i="6"/>
  <c r="Q11" i="6"/>
  <c r="P11" i="6"/>
  <c r="K11" i="6"/>
  <c r="R59" i="6"/>
  <c r="S35" i="6"/>
  <c r="G11" i="6"/>
  <c r="Q59" i="6"/>
  <c r="R35" i="6"/>
  <c r="F11" i="6"/>
  <c r="L59" i="6"/>
  <c r="N35" i="6"/>
  <c r="E11" i="6"/>
  <c r="G59" i="6"/>
  <c r="M35" i="6"/>
  <c r="D11" i="6"/>
  <c r="R83" i="6"/>
  <c r="F59" i="6"/>
  <c r="H35" i="6"/>
  <c r="W5" i="6"/>
  <c r="W12" i="6" s="1"/>
  <c r="W13" i="6" s="1"/>
  <c r="O78" i="6" s="1"/>
  <c r="O80" i="6" s="1"/>
  <c r="X5" i="6"/>
  <c r="X12" i="6" s="1"/>
  <c r="X13" i="6" s="1"/>
  <c r="S78" i="6" s="1"/>
  <c r="S80" i="6" s="1"/>
  <c r="H78" i="6"/>
  <c r="H80" i="6" s="1"/>
  <c r="I54" i="6"/>
  <c r="I56" i="6" s="1"/>
  <c r="I30" i="6"/>
  <c r="I32" i="6" s="1"/>
  <c r="H30" i="6"/>
  <c r="H32" i="6" s="1"/>
  <c r="G78" i="6"/>
  <c r="G80" i="6" s="1"/>
  <c r="F78" i="6"/>
  <c r="F80" i="6" s="1"/>
  <c r="E78" i="6"/>
  <c r="E80" i="6" s="1"/>
  <c r="D78" i="6"/>
  <c r="D80" i="6" s="1"/>
  <c r="E54" i="6"/>
  <c r="E56" i="6" s="1"/>
  <c r="F30" i="6"/>
  <c r="F32" i="6" s="1"/>
  <c r="I6" i="6"/>
  <c r="I8" i="6" s="1"/>
  <c r="C78" i="6"/>
  <c r="C80" i="6" s="1"/>
  <c r="D54" i="6"/>
  <c r="D56" i="6" s="1"/>
  <c r="E30" i="6"/>
  <c r="E32" i="6" s="1"/>
  <c r="H6" i="6"/>
  <c r="H8" i="6" s="1"/>
  <c r="C54" i="6"/>
  <c r="C56" i="6" s="1"/>
  <c r="D30" i="6"/>
  <c r="D32" i="6" s="1"/>
  <c r="G6" i="6"/>
  <c r="G8" i="6" s="1"/>
  <c r="B54" i="6"/>
  <c r="B56" i="6" s="1"/>
  <c r="C30" i="6"/>
  <c r="C32" i="6" s="1"/>
  <c r="B78" i="6"/>
  <c r="B80" i="6" s="1"/>
  <c r="I78" i="6"/>
  <c r="I80" i="6" s="1"/>
  <c r="B6" i="6"/>
  <c r="B8" i="6" s="1"/>
  <c r="H54" i="6"/>
  <c r="H56" i="6" s="1"/>
  <c r="G54" i="6"/>
  <c r="G56" i="6" s="1"/>
  <c r="F54" i="6"/>
  <c r="F56" i="6" s="1"/>
  <c r="G30" i="6"/>
  <c r="G32" i="6" s="1"/>
  <c r="E6" i="6"/>
  <c r="E8" i="6" s="1"/>
  <c r="B30" i="6"/>
  <c r="B32" i="6" s="1"/>
  <c r="D6" i="6"/>
  <c r="D8" i="6" s="1"/>
  <c r="C6" i="6"/>
  <c r="C8" i="6" s="1"/>
  <c r="V21" i="6"/>
  <c r="F6" i="6"/>
  <c r="F8" i="6" s="1"/>
  <c r="N83" i="6"/>
  <c r="B83" i="6"/>
  <c r="O59" i="6"/>
  <c r="C59" i="6"/>
  <c r="P35" i="6"/>
  <c r="D35" i="6"/>
  <c r="N11" i="6"/>
  <c r="B11" i="6"/>
  <c r="B35" i="6"/>
  <c r="L11" i="6"/>
  <c r="M83" i="6"/>
  <c r="L83" i="6"/>
  <c r="K83" i="6"/>
  <c r="J83" i="6"/>
  <c r="K59" i="6"/>
  <c r="L35" i="6"/>
  <c r="J11" i="6"/>
  <c r="I59" i="6"/>
  <c r="J35" i="6"/>
  <c r="H11" i="6"/>
  <c r="S83" i="6"/>
  <c r="G83" i="6"/>
  <c r="I83" i="6"/>
  <c r="J59" i="6"/>
  <c r="K35" i="6"/>
  <c r="I11" i="6"/>
  <c r="H59" i="6"/>
  <c r="I35" i="6"/>
  <c r="H83" i="6"/>
  <c r="Q83" i="6"/>
  <c r="E83" i="6"/>
  <c r="P83" i="6"/>
  <c r="D83" i="6"/>
  <c r="O83" i="6"/>
  <c r="C83" i="6"/>
  <c r="P59" i="6"/>
  <c r="D59" i="6"/>
  <c r="Q35" i="6"/>
  <c r="E35" i="6"/>
  <c r="O11" i="6"/>
  <c r="C11" i="6"/>
  <c r="N59" i="6"/>
  <c r="B59" i="6"/>
  <c r="O35" i="6"/>
  <c r="C35" i="6"/>
  <c r="M11" i="6"/>
  <c r="M59" i="6"/>
  <c r="F35" i="6"/>
  <c r="W16" i="5"/>
  <c r="V16" i="5"/>
  <c r="L6" i="6" l="1"/>
  <c r="L8" i="6" s="1"/>
  <c r="L12" i="6" s="1"/>
  <c r="L54" i="6"/>
  <c r="L56" i="6" s="1"/>
  <c r="K54" i="6"/>
  <c r="K56" i="6" s="1"/>
  <c r="K55" i="6" s="1"/>
  <c r="O54" i="6"/>
  <c r="O56" i="6" s="1"/>
  <c r="O60" i="6" s="1"/>
  <c r="L78" i="6"/>
  <c r="L80" i="6" s="1"/>
  <c r="M78" i="6"/>
  <c r="M80" i="6" s="1"/>
  <c r="M79" i="6" s="1"/>
  <c r="J54" i="6"/>
  <c r="J56" i="6" s="1"/>
  <c r="J55" i="6" s="1"/>
  <c r="J78" i="6"/>
  <c r="J80" i="6" s="1"/>
  <c r="J79" i="6" s="1"/>
  <c r="M30" i="6"/>
  <c r="M32" i="6" s="1"/>
  <c r="M36" i="6" s="1"/>
  <c r="K6" i="6"/>
  <c r="K8" i="6" s="1"/>
  <c r="K12" i="6" s="1"/>
  <c r="N30" i="6"/>
  <c r="N32" i="6" s="1"/>
  <c r="N31" i="6" s="1"/>
  <c r="N6" i="6"/>
  <c r="N8" i="6" s="1"/>
  <c r="N12" i="6" s="1"/>
  <c r="M6" i="6"/>
  <c r="M8" i="6" s="1"/>
  <c r="M12" i="6" s="1"/>
  <c r="W21" i="6"/>
  <c r="K30" i="6"/>
  <c r="K32" i="6" s="1"/>
  <c r="K31" i="6" s="1"/>
  <c r="J30" i="6"/>
  <c r="J32" i="6" s="1"/>
  <c r="J36" i="6" s="1"/>
  <c r="L30" i="6"/>
  <c r="L32" i="6" s="1"/>
  <c r="L31" i="6" s="1"/>
  <c r="J6" i="6"/>
  <c r="J8" i="6" s="1"/>
  <c r="J12" i="6" s="1"/>
  <c r="K78" i="6"/>
  <c r="K80" i="6" s="1"/>
  <c r="K84" i="6" s="1"/>
  <c r="N78" i="6"/>
  <c r="N80" i="6" s="1"/>
  <c r="N79" i="6" s="1"/>
  <c r="O30" i="6"/>
  <c r="O32" i="6" s="1"/>
  <c r="O36" i="6" s="1"/>
  <c r="M54" i="6"/>
  <c r="M56" i="6" s="1"/>
  <c r="M55" i="6" s="1"/>
  <c r="N54" i="6"/>
  <c r="N56" i="6" s="1"/>
  <c r="N55" i="6" s="1"/>
  <c r="O6" i="6"/>
  <c r="O8" i="6" s="1"/>
  <c r="O12" i="6" s="1"/>
  <c r="S30" i="6"/>
  <c r="S32" i="6" s="1"/>
  <c r="S36" i="6" s="1"/>
  <c r="P78" i="6"/>
  <c r="P80" i="6" s="1"/>
  <c r="P84" i="6" s="1"/>
  <c r="S54" i="6"/>
  <c r="S56" i="6" s="1"/>
  <c r="S60" i="6" s="1"/>
  <c r="Q30" i="6"/>
  <c r="Q32" i="6" s="1"/>
  <c r="Q36" i="6" s="1"/>
  <c r="P54" i="6"/>
  <c r="P56" i="6" s="1"/>
  <c r="P55" i="6" s="1"/>
  <c r="S6" i="6"/>
  <c r="S8" i="6" s="1"/>
  <c r="S12" i="6" s="1"/>
  <c r="P30" i="6"/>
  <c r="P32" i="6" s="1"/>
  <c r="P31" i="6" s="1"/>
  <c r="R30" i="6"/>
  <c r="R32" i="6" s="1"/>
  <c r="R36" i="6" s="1"/>
  <c r="Q54" i="6"/>
  <c r="Q56" i="6" s="1"/>
  <c r="X21" i="6"/>
  <c r="Q6" i="6"/>
  <c r="Q8" i="6" s="1"/>
  <c r="Q12" i="6" s="1"/>
  <c r="Q78" i="6"/>
  <c r="Q80" i="6" s="1"/>
  <c r="Q84" i="6" s="1"/>
  <c r="P6" i="6"/>
  <c r="P8" i="6" s="1"/>
  <c r="P12" i="6" s="1"/>
  <c r="R6" i="6"/>
  <c r="R8" i="6" s="1"/>
  <c r="R7" i="6" s="1"/>
  <c r="R78" i="6"/>
  <c r="R80" i="6" s="1"/>
  <c r="R84" i="6" s="1"/>
  <c r="R54" i="6"/>
  <c r="R56" i="6" s="1"/>
  <c r="R55" i="6" s="1"/>
  <c r="G84" i="6"/>
  <c r="G79" i="6"/>
  <c r="O84" i="6"/>
  <c r="O79" i="6"/>
  <c r="Q60" i="6"/>
  <c r="Q55" i="6"/>
  <c r="H55" i="6"/>
  <c r="H60" i="6"/>
  <c r="C84" i="6"/>
  <c r="C79" i="6"/>
  <c r="D84" i="6"/>
  <c r="D79" i="6"/>
  <c r="B55" i="6"/>
  <c r="B60" i="6"/>
  <c r="G12" i="6"/>
  <c r="G7" i="6"/>
  <c r="D31" i="6"/>
  <c r="D36" i="6"/>
  <c r="E12" i="6"/>
  <c r="E7" i="6"/>
  <c r="H12" i="6"/>
  <c r="H7" i="6"/>
  <c r="I60" i="6"/>
  <c r="I55" i="6"/>
  <c r="G60" i="6"/>
  <c r="G55" i="6"/>
  <c r="B12" i="6"/>
  <c r="B7" i="6"/>
  <c r="I12" i="6"/>
  <c r="I7" i="6"/>
  <c r="C36" i="6"/>
  <c r="C31" i="6"/>
  <c r="C12" i="6"/>
  <c r="C7" i="6"/>
  <c r="F84" i="6"/>
  <c r="F79" i="6"/>
  <c r="B31" i="6"/>
  <c r="B36" i="6"/>
  <c r="H36" i="6"/>
  <c r="H31" i="6"/>
  <c r="G31" i="6"/>
  <c r="G36" i="6"/>
  <c r="L55" i="6"/>
  <c r="L60" i="6"/>
  <c r="E36" i="6"/>
  <c r="E31" i="6"/>
  <c r="H84" i="6"/>
  <c r="H79" i="6"/>
  <c r="I79" i="6"/>
  <c r="I84" i="6"/>
  <c r="F36" i="6"/>
  <c r="F31" i="6"/>
  <c r="E84" i="6"/>
  <c r="E79" i="6"/>
  <c r="D7" i="6"/>
  <c r="D12" i="6"/>
  <c r="C55" i="6"/>
  <c r="C60" i="6"/>
  <c r="I36" i="6"/>
  <c r="I31" i="6"/>
  <c r="F60" i="6"/>
  <c r="F55" i="6"/>
  <c r="L79" i="6"/>
  <c r="L84" i="6"/>
  <c r="D60" i="6"/>
  <c r="D55" i="6"/>
  <c r="F12" i="6"/>
  <c r="F7" i="6"/>
  <c r="B79" i="6"/>
  <c r="B84" i="6"/>
  <c r="E60" i="6"/>
  <c r="E55" i="6"/>
  <c r="S84" i="6"/>
  <c r="S79" i="6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E75" i="5"/>
  <c r="D75" i="5"/>
  <c r="C75" i="5"/>
  <c r="B75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E51" i="5"/>
  <c r="D51" i="5"/>
  <c r="C51" i="5"/>
  <c r="B51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E27" i="5"/>
  <c r="D27" i="5"/>
  <c r="C27" i="5"/>
  <c r="B27" i="5"/>
  <c r="V25" i="5"/>
  <c r="V26" i="5" s="1"/>
  <c r="W19" i="5"/>
  <c r="W20" i="5" s="1"/>
  <c r="V19" i="5"/>
  <c r="X16" i="5"/>
  <c r="X19" i="5" s="1"/>
  <c r="X20" i="5" s="1"/>
  <c r="V11" i="5"/>
  <c r="X10" i="5"/>
  <c r="W10" i="5"/>
  <c r="V10" i="5"/>
  <c r="X7" i="5"/>
  <c r="W7" i="5"/>
  <c r="V5" i="5"/>
  <c r="X4" i="5"/>
  <c r="W4" i="5"/>
  <c r="X3" i="5"/>
  <c r="W3" i="5"/>
  <c r="S3" i="5"/>
  <c r="R3" i="5"/>
  <c r="Q3" i="5"/>
  <c r="P3" i="5"/>
  <c r="O3" i="5"/>
  <c r="N3" i="5"/>
  <c r="M3" i="5"/>
  <c r="L3" i="5"/>
  <c r="K3" i="5"/>
  <c r="J3" i="5"/>
  <c r="I3" i="5"/>
  <c r="H3" i="5"/>
  <c r="G3" i="5"/>
  <c r="E3" i="5"/>
  <c r="D3" i="5"/>
  <c r="C3" i="5"/>
  <c r="B3" i="5"/>
  <c r="C123" i="1"/>
  <c r="C119" i="1"/>
  <c r="C122" i="1"/>
  <c r="C118" i="1"/>
  <c r="C121" i="1"/>
  <c r="C117" i="1"/>
  <c r="C120" i="1"/>
  <c r="C116" i="1"/>
  <c r="M75" i="4"/>
  <c r="M51" i="4"/>
  <c r="M27" i="4"/>
  <c r="M3" i="4"/>
  <c r="W21" i="2"/>
  <c r="V21" i="2"/>
  <c r="U21" i="2"/>
  <c r="C94" i="1"/>
  <c r="C93" i="1"/>
  <c r="C92" i="1"/>
  <c r="C91" i="1"/>
  <c r="C90" i="1"/>
  <c r="C89" i="1"/>
  <c r="C88" i="1"/>
  <c r="C87" i="1"/>
  <c r="C78" i="1"/>
  <c r="C77" i="1"/>
  <c r="C76" i="1"/>
  <c r="C75" i="1"/>
  <c r="C74" i="1"/>
  <c r="C73" i="1"/>
  <c r="C72" i="1"/>
  <c r="C71" i="1"/>
  <c r="C62" i="1"/>
  <c r="C61" i="1"/>
  <c r="C60" i="1"/>
  <c r="C59" i="1"/>
  <c r="C58" i="1"/>
  <c r="C57" i="1"/>
  <c r="C56" i="1"/>
  <c r="C55" i="1"/>
  <c r="C46" i="1"/>
  <c r="C45" i="1"/>
  <c r="C44" i="1"/>
  <c r="C43" i="1"/>
  <c r="C42" i="1"/>
  <c r="C41" i="1"/>
  <c r="C40" i="1"/>
  <c r="C39" i="1"/>
  <c r="R95" i="2"/>
  <c r="Q95" i="2"/>
  <c r="P95" i="2"/>
  <c r="O95" i="2"/>
  <c r="R71" i="2"/>
  <c r="Q71" i="2"/>
  <c r="P71" i="2"/>
  <c r="O71" i="2"/>
  <c r="R47" i="2"/>
  <c r="Q47" i="2"/>
  <c r="P47" i="2"/>
  <c r="O47" i="2"/>
  <c r="R23" i="2"/>
  <c r="Q23" i="2"/>
  <c r="P23" i="2"/>
  <c r="O23" i="2"/>
  <c r="R31" i="6" l="1"/>
  <c r="M31" i="6"/>
  <c r="L7" i="6"/>
  <c r="J84" i="6"/>
  <c r="K7" i="6"/>
  <c r="O55" i="6"/>
  <c r="N60" i="6"/>
  <c r="N67" i="6" s="1"/>
  <c r="M84" i="6"/>
  <c r="J60" i="6"/>
  <c r="L36" i="6"/>
  <c r="L43" i="6" s="1"/>
  <c r="P60" i="6"/>
  <c r="P63" i="6" s="1"/>
  <c r="K79" i="6"/>
  <c r="K60" i="6"/>
  <c r="K63" i="6" s="1"/>
  <c r="N36" i="6"/>
  <c r="N39" i="6" s="1"/>
  <c r="O31" i="6"/>
  <c r="R12" i="6"/>
  <c r="R19" i="6" s="1"/>
  <c r="O7" i="6"/>
  <c r="P79" i="6"/>
  <c r="S31" i="6"/>
  <c r="N7" i="6"/>
  <c r="S55" i="6"/>
  <c r="M7" i="6"/>
  <c r="R60" i="6"/>
  <c r="R71" i="6" s="1"/>
  <c r="K36" i="6"/>
  <c r="K39" i="6" s="1"/>
  <c r="M60" i="6"/>
  <c r="M67" i="6" s="1"/>
  <c r="N84" i="6"/>
  <c r="N87" i="6" s="1"/>
  <c r="J31" i="6"/>
  <c r="J7" i="6"/>
  <c r="Q31" i="6"/>
  <c r="S7" i="6"/>
  <c r="Q79" i="6"/>
  <c r="P7" i="6"/>
  <c r="R79" i="6"/>
  <c r="Q7" i="6"/>
  <c r="P36" i="6"/>
  <c r="P39" i="6" s="1"/>
  <c r="G91" i="6"/>
  <c r="G87" i="6"/>
  <c r="G95" i="6"/>
  <c r="C63" i="6"/>
  <c r="C67" i="6"/>
  <c r="C71" i="6"/>
  <c r="H91" i="6"/>
  <c r="H95" i="6"/>
  <c r="H87" i="6"/>
  <c r="Q15" i="6"/>
  <c r="Q19" i="6"/>
  <c r="Q23" i="6"/>
  <c r="L39" i="6"/>
  <c r="F23" i="6"/>
  <c r="F19" i="6"/>
  <c r="F15" i="6"/>
  <c r="G71" i="6"/>
  <c r="G67" i="6"/>
  <c r="G63" i="6"/>
  <c r="J63" i="6"/>
  <c r="J67" i="6"/>
  <c r="B47" i="6"/>
  <c r="B39" i="6"/>
  <c r="B43" i="6"/>
  <c r="B71" i="6"/>
  <c r="B67" i="6"/>
  <c r="B63" i="6"/>
  <c r="R95" i="6"/>
  <c r="R91" i="6"/>
  <c r="R87" i="6"/>
  <c r="I67" i="6"/>
  <c r="I63" i="6"/>
  <c r="I71" i="6"/>
  <c r="L22" i="6"/>
  <c r="L15" i="6"/>
  <c r="L19" i="6"/>
  <c r="S95" i="6"/>
  <c r="S91" i="6"/>
  <c r="S87" i="6"/>
  <c r="E43" i="6"/>
  <c r="E39" i="6"/>
  <c r="E47" i="6"/>
  <c r="F91" i="6"/>
  <c r="F95" i="6"/>
  <c r="F87" i="6"/>
  <c r="I19" i="6"/>
  <c r="I15" i="6"/>
  <c r="I23" i="6"/>
  <c r="H19" i="6"/>
  <c r="H15" i="6"/>
  <c r="H23" i="6"/>
  <c r="D91" i="6"/>
  <c r="D95" i="6"/>
  <c r="D87" i="6"/>
  <c r="O91" i="6"/>
  <c r="O87" i="6"/>
  <c r="Q47" i="6"/>
  <c r="Q43" i="6"/>
  <c r="Q39" i="6"/>
  <c r="I43" i="6"/>
  <c r="I47" i="6"/>
  <c r="I39" i="6"/>
  <c r="Q95" i="6"/>
  <c r="Q91" i="6"/>
  <c r="Q87" i="6"/>
  <c r="L70" i="6"/>
  <c r="L67" i="6"/>
  <c r="L63" i="6"/>
  <c r="D67" i="6"/>
  <c r="D63" i="6"/>
  <c r="D71" i="6"/>
  <c r="F43" i="6"/>
  <c r="F47" i="6"/>
  <c r="F39" i="6"/>
  <c r="C15" i="6"/>
  <c r="C23" i="6"/>
  <c r="C19" i="6"/>
  <c r="B23" i="6"/>
  <c r="B15" i="6"/>
  <c r="B19" i="6"/>
  <c r="E15" i="6"/>
  <c r="E19" i="6"/>
  <c r="E23" i="6"/>
  <c r="P95" i="6"/>
  <c r="P91" i="6"/>
  <c r="P87" i="6"/>
  <c r="Q67" i="6"/>
  <c r="Q63" i="6"/>
  <c r="Q71" i="6"/>
  <c r="O15" i="6"/>
  <c r="O19" i="6"/>
  <c r="O63" i="6"/>
  <c r="O67" i="6"/>
  <c r="S71" i="6"/>
  <c r="S67" i="6"/>
  <c r="S63" i="6"/>
  <c r="K87" i="6"/>
  <c r="K91" i="6"/>
  <c r="R43" i="6"/>
  <c r="R39" i="6"/>
  <c r="R47" i="6"/>
  <c r="L94" i="6"/>
  <c r="L87" i="6"/>
  <c r="L91" i="6"/>
  <c r="D23" i="6"/>
  <c r="D19" i="6"/>
  <c r="D15" i="6"/>
  <c r="I95" i="6"/>
  <c r="I87" i="6"/>
  <c r="I91" i="6"/>
  <c r="G47" i="6"/>
  <c r="G39" i="6"/>
  <c r="G43" i="6"/>
  <c r="D39" i="6"/>
  <c r="D43" i="6"/>
  <c r="D47" i="6"/>
  <c r="E67" i="6"/>
  <c r="E71" i="6"/>
  <c r="E63" i="6"/>
  <c r="C47" i="6"/>
  <c r="C43" i="6"/>
  <c r="C39" i="6"/>
  <c r="M15" i="6"/>
  <c r="M19" i="6"/>
  <c r="S47" i="6"/>
  <c r="S43" i="6"/>
  <c r="S39" i="6"/>
  <c r="S15" i="6"/>
  <c r="S23" i="6"/>
  <c r="S19" i="6"/>
  <c r="B87" i="6"/>
  <c r="B91" i="6"/>
  <c r="B95" i="6"/>
  <c r="F67" i="6"/>
  <c r="F71" i="6"/>
  <c r="F63" i="6"/>
  <c r="E91" i="6"/>
  <c r="E95" i="6"/>
  <c r="E87" i="6"/>
  <c r="J43" i="6"/>
  <c r="J39" i="6"/>
  <c r="H47" i="6"/>
  <c r="H43" i="6"/>
  <c r="H39" i="6"/>
  <c r="J19" i="6"/>
  <c r="J15" i="6"/>
  <c r="N15" i="6"/>
  <c r="N19" i="6"/>
  <c r="G15" i="6"/>
  <c r="G23" i="6"/>
  <c r="G19" i="6"/>
  <c r="C91" i="6"/>
  <c r="C95" i="6"/>
  <c r="C87" i="6"/>
  <c r="M39" i="6"/>
  <c r="M43" i="6"/>
  <c r="K19" i="6"/>
  <c r="K15" i="6"/>
  <c r="H63" i="6"/>
  <c r="H71" i="6"/>
  <c r="H67" i="6"/>
  <c r="M87" i="6"/>
  <c r="M91" i="6"/>
  <c r="P19" i="6"/>
  <c r="P15" i="6"/>
  <c r="P23" i="6"/>
  <c r="J87" i="6"/>
  <c r="J91" i="6"/>
  <c r="O43" i="6"/>
  <c r="O39" i="6"/>
  <c r="F83" i="5"/>
  <c r="F11" i="5"/>
  <c r="F35" i="5"/>
  <c r="F59" i="5"/>
  <c r="N83" i="5"/>
  <c r="B83" i="5"/>
  <c r="O59" i="5"/>
  <c r="C59" i="5"/>
  <c r="P35" i="5"/>
  <c r="D35" i="5"/>
  <c r="N11" i="5"/>
  <c r="B11" i="5"/>
  <c r="M59" i="5"/>
  <c r="N35" i="5"/>
  <c r="M83" i="5"/>
  <c r="N59" i="5"/>
  <c r="B59" i="5"/>
  <c r="O35" i="5"/>
  <c r="C35" i="5"/>
  <c r="M11" i="5"/>
  <c r="B35" i="5"/>
  <c r="L11" i="5"/>
  <c r="R83" i="5"/>
  <c r="G83" i="5"/>
  <c r="S59" i="5"/>
  <c r="H35" i="5"/>
  <c r="R11" i="5"/>
  <c r="G11" i="5"/>
  <c r="Q83" i="5"/>
  <c r="E83" i="5"/>
  <c r="R59" i="5"/>
  <c r="G59" i="5"/>
  <c r="S35" i="5"/>
  <c r="P83" i="5"/>
  <c r="D83" i="5"/>
  <c r="Q59" i="5"/>
  <c r="E59" i="5"/>
  <c r="R35" i="5"/>
  <c r="G35" i="5"/>
  <c r="P11" i="5"/>
  <c r="D11" i="5"/>
  <c r="O83" i="5"/>
  <c r="C83" i="5"/>
  <c r="P59" i="5"/>
  <c r="D59" i="5"/>
  <c r="Q35" i="5"/>
  <c r="E35" i="5"/>
  <c r="O11" i="5"/>
  <c r="C11" i="5"/>
  <c r="L83" i="5"/>
  <c r="J83" i="5"/>
  <c r="Q11" i="5"/>
  <c r="S83" i="5"/>
  <c r="K35" i="5"/>
  <c r="I83" i="5"/>
  <c r="J35" i="5"/>
  <c r="H11" i="5"/>
  <c r="S11" i="5"/>
  <c r="K11" i="5"/>
  <c r="L35" i="5"/>
  <c r="J11" i="5"/>
  <c r="I11" i="5"/>
  <c r="H83" i="5"/>
  <c r="I35" i="5"/>
  <c r="E11" i="5"/>
  <c r="L59" i="5"/>
  <c r="K59" i="5"/>
  <c r="J59" i="5"/>
  <c r="I59" i="5"/>
  <c r="H59" i="5"/>
  <c r="M35" i="5"/>
  <c r="K83" i="5"/>
  <c r="W5" i="5"/>
  <c r="W12" i="5" s="1"/>
  <c r="W13" i="5" s="1"/>
  <c r="X5" i="5"/>
  <c r="X12" i="5" s="1"/>
  <c r="X13" i="5" s="1"/>
  <c r="V12" i="5"/>
  <c r="V13" i="5" s="1"/>
  <c r="V20" i="5"/>
  <c r="K13" i="1"/>
  <c r="K12" i="1"/>
  <c r="W16" i="4"/>
  <c r="W19" i="4" s="1"/>
  <c r="V16" i="4"/>
  <c r="S75" i="4"/>
  <c r="R75" i="4"/>
  <c r="Q75" i="4"/>
  <c r="P75" i="4"/>
  <c r="O75" i="4"/>
  <c r="N75" i="4"/>
  <c r="L75" i="4"/>
  <c r="K75" i="4"/>
  <c r="J75" i="4"/>
  <c r="I75" i="4"/>
  <c r="H75" i="4"/>
  <c r="G75" i="4"/>
  <c r="F75" i="4"/>
  <c r="E75" i="4"/>
  <c r="D75" i="4"/>
  <c r="C75" i="4"/>
  <c r="B75" i="4"/>
  <c r="S51" i="4"/>
  <c r="R51" i="4"/>
  <c r="Q51" i="4"/>
  <c r="P51" i="4"/>
  <c r="O51" i="4"/>
  <c r="N51" i="4"/>
  <c r="L51" i="4"/>
  <c r="K51" i="4"/>
  <c r="J51" i="4"/>
  <c r="I51" i="4"/>
  <c r="H51" i="4"/>
  <c r="G51" i="4"/>
  <c r="F51" i="4"/>
  <c r="E51" i="4"/>
  <c r="D51" i="4"/>
  <c r="C51" i="4"/>
  <c r="B51" i="4"/>
  <c r="S27" i="4"/>
  <c r="R27" i="4"/>
  <c r="Q27" i="4"/>
  <c r="P27" i="4"/>
  <c r="O27" i="4"/>
  <c r="N27" i="4"/>
  <c r="L27" i="4"/>
  <c r="K27" i="4"/>
  <c r="J27" i="4"/>
  <c r="I27" i="4"/>
  <c r="H27" i="4"/>
  <c r="G27" i="4"/>
  <c r="F27" i="4"/>
  <c r="E27" i="4"/>
  <c r="D27" i="4"/>
  <c r="C27" i="4"/>
  <c r="B27" i="4"/>
  <c r="V25" i="4"/>
  <c r="V26" i="4" s="1"/>
  <c r="V19" i="4"/>
  <c r="X16" i="4"/>
  <c r="X19" i="4" s="1"/>
  <c r="V11" i="4"/>
  <c r="X10" i="4"/>
  <c r="W10" i="4"/>
  <c r="V10" i="4"/>
  <c r="X7" i="4"/>
  <c r="W7" i="4"/>
  <c r="V5" i="4"/>
  <c r="X4" i="4"/>
  <c r="W4" i="4"/>
  <c r="X3" i="4"/>
  <c r="W3" i="4"/>
  <c r="S3" i="4"/>
  <c r="R3" i="4"/>
  <c r="Q3" i="4"/>
  <c r="P3" i="4"/>
  <c r="O3" i="4"/>
  <c r="N3" i="4"/>
  <c r="L3" i="4"/>
  <c r="K3" i="4"/>
  <c r="J3" i="4"/>
  <c r="I3" i="4"/>
  <c r="H3" i="4"/>
  <c r="G3" i="4"/>
  <c r="F3" i="4"/>
  <c r="E3" i="4"/>
  <c r="D3" i="4"/>
  <c r="C3" i="4"/>
  <c r="B3" i="4"/>
  <c r="V3" i="3"/>
  <c r="R4" i="3" s="1"/>
  <c r="R15" i="6" l="1"/>
  <c r="L46" i="6"/>
  <c r="P67" i="6"/>
  <c r="N63" i="6"/>
  <c r="P71" i="6"/>
  <c r="N43" i="6"/>
  <c r="K67" i="6"/>
  <c r="R23" i="6"/>
  <c r="K43" i="6"/>
  <c r="R63" i="6"/>
  <c r="R67" i="6"/>
  <c r="N91" i="6"/>
  <c r="M63" i="6"/>
  <c r="P47" i="6"/>
  <c r="P43" i="6"/>
  <c r="F54" i="5"/>
  <c r="F56" i="5" s="1"/>
  <c r="F78" i="5"/>
  <c r="F80" i="5" s="1"/>
  <c r="F6" i="5"/>
  <c r="F8" i="5" s="1"/>
  <c r="F30" i="5"/>
  <c r="F32" i="5" s="1"/>
  <c r="H78" i="5"/>
  <c r="H80" i="5" s="1"/>
  <c r="I54" i="5"/>
  <c r="I56" i="5" s="1"/>
  <c r="H54" i="5"/>
  <c r="H56" i="5" s="1"/>
  <c r="I30" i="5"/>
  <c r="I32" i="5" s="1"/>
  <c r="B30" i="5"/>
  <c r="B32" i="5" s="1"/>
  <c r="E6" i="5"/>
  <c r="E8" i="5" s="1"/>
  <c r="C6" i="5"/>
  <c r="C8" i="5" s="1"/>
  <c r="H30" i="5"/>
  <c r="H32" i="5" s="1"/>
  <c r="I78" i="5"/>
  <c r="I80" i="5" s="1"/>
  <c r="B6" i="5"/>
  <c r="B8" i="5" s="1"/>
  <c r="G78" i="5"/>
  <c r="G80" i="5" s="1"/>
  <c r="H6" i="5"/>
  <c r="H8" i="5" s="1"/>
  <c r="D78" i="5"/>
  <c r="D80" i="5" s="1"/>
  <c r="E30" i="5"/>
  <c r="E32" i="5" s="1"/>
  <c r="D6" i="5"/>
  <c r="D8" i="5" s="1"/>
  <c r="E54" i="5"/>
  <c r="E56" i="5" s="1"/>
  <c r="D54" i="5"/>
  <c r="D56" i="5" s="1"/>
  <c r="B54" i="5"/>
  <c r="B56" i="5" s="1"/>
  <c r="I6" i="5"/>
  <c r="I8" i="5" s="1"/>
  <c r="C78" i="5"/>
  <c r="C80" i="5" s="1"/>
  <c r="D30" i="5"/>
  <c r="D32" i="5" s="1"/>
  <c r="C30" i="5"/>
  <c r="C32" i="5" s="1"/>
  <c r="B78" i="5"/>
  <c r="B80" i="5" s="1"/>
  <c r="G54" i="5"/>
  <c r="G56" i="5" s="1"/>
  <c r="C54" i="5"/>
  <c r="C56" i="5" s="1"/>
  <c r="E78" i="5"/>
  <c r="E80" i="5" s="1"/>
  <c r="G30" i="5"/>
  <c r="G32" i="5" s="1"/>
  <c r="G6" i="5"/>
  <c r="G8" i="5" s="1"/>
  <c r="J30" i="5"/>
  <c r="J32" i="5" s="1"/>
  <c r="M6" i="5"/>
  <c r="M8" i="5" s="1"/>
  <c r="L78" i="5"/>
  <c r="L80" i="5" s="1"/>
  <c r="M54" i="5"/>
  <c r="M56" i="5" s="1"/>
  <c r="N30" i="5"/>
  <c r="N32" i="5" s="1"/>
  <c r="K78" i="5"/>
  <c r="K80" i="5" s="1"/>
  <c r="L54" i="5"/>
  <c r="L56" i="5" s="1"/>
  <c r="M30" i="5"/>
  <c r="M32" i="5" s="1"/>
  <c r="J78" i="5"/>
  <c r="J80" i="5" s="1"/>
  <c r="K54" i="5"/>
  <c r="K56" i="5" s="1"/>
  <c r="L30" i="5"/>
  <c r="L32" i="5" s="1"/>
  <c r="O6" i="5"/>
  <c r="O8" i="5" s="1"/>
  <c r="K6" i="5"/>
  <c r="K8" i="5" s="1"/>
  <c r="J54" i="5"/>
  <c r="J56" i="5" s="1"/>
  <c r="K30" i="5"/>
  <c r="K32" i="5" s="1"/>
  <c r="N6" i="5"/>
  <c r="N8" i="5" s="1"/>
  <c r="L6" i="5"/>
  <c r="L8" i="5" s="1"/>
  <c r="N78" i="5"/>
  <c r="N80" i="5" s="1"/>
  <c r="O30" i="5"/>
  <c r="O32" i="5" s="1"/>
  <c r="M78" i="5"/>
  <c r="M80" i="5" s="1"/>
  <c r="N54" i="5"/>
  <c r="N56" i="5" s="1"/>
  <c r="J6" i="5"/>
  <c r="J8" i="5" s="1"/>
  <c r="W21" i="5"/>
  <c r="O54" i="5"/>
  <c r="O56" i="5" s="1"/>
  <c r="O78" i="5"/>
  <c r="O80" i="5" s="1"/>
  <c r="S78" i="5"/>
  <c r="S80" i="5" s="1"/>
  <c r="Q6" i="5"/>
  <c r="Q8" i="5" s="1"/>
  <c r="R78" i="5"/>
  <c r="R80" i="5" s="1"/>
  <c r="S54" i="5"/>
  <c r="S56" i="5" s="1"/>
  <c r="Q54" i="5"/>
  <c r="Q56" i="5" s="1"/>
  <c r="S6" i="5"/>
  <c r="S8" i="5" s="1"/>
  <c r="S30" i="5"/>
  <c r="S32" i="5" s="1"/>
  <c r="P6" i="5"/>
  <c r="P8" i="5" s="1"/>
  <c r="Q30" i="5"/>
  <c r="Q32" i="5" s="1"/>
  <c r="P30" i="5"/>
  <c r="P32" i="5" s="1"/>
  <c r="P54" i="5"/>
  <c r="P56" i="5" s="1"/>
  <c r="Q78" i="5"/>
  <c r="Q80" i="5" s="1"/>
  <c r="R54" i="5"/>
  <c r="R56" i="5" s="1"/>
  <c r="R6" i="5"/>
  <c r="R8" i="5" s="1"/>
  <c r="R30" i="5"/>
  <c r="R32" i="5" s="1"/>
  <c r="P78" i="5"/>
  <c r="P80" i="5" s="1"/>
  <c r="X21" i="5"/>
  <c r="V21" i="5"/>
  <c r="V20" i="4"/>
  <c r="M83" i="4"/>
  <c r="M11" i="4"/>
  <c r="M59" i="4"/>
  <c r="M35" i="4"/>
  <c r="X20" i="4"/>
  <c r="V12" i="4"/>
  <c r="V13" i="4" s="1"/>
  <c r="E78" i="4" s="1"/>
  <c r="E80" i="4" s="1"/>
  <c r="W20" i="4"/>
  <c r="X5" i="4"/>
  <c r="X12" i="4" s="1"/>
  <c r="X13" i="4" s="1"/>
  <c r="X21" i="4" s="1"/>
  <c r="W5" i="4"/>
  <c r="W12" i="4" s="1"/>
  <c r="W13" i="4" s="1"/>
  <c r="W21" i="4" s="1"/>
  <c r="I54" i="4"/>
  <c r="I56" i="4" s="1"/>
  <c r="F30" i="4"/>
  <c r="F32" i="4" s="1"/>
  <c r="S83" i="4"/>
  <c r="F83" i="4"/>
  <c r="G59" i="4"/>
  <c r="H35" i="4"/>
  <c r="P11" i="4"/>
  <c r="C11" i="4"/>
  <c r="R11" i="4"/>
  <c r="D11" i="4"/>
  <c r="R83" i="4"/>
  <c r="E83" i="4"/>
  <c r="S59" i="4"/>
  <c r="F59" i="4"/>
  <c r="G35" i="4"/>
  <c r="O11" i="4"/>
  <c r="B11" i="4"/>
  <c r="J35" i="4"/>
  <c r="Q83" i="4"/>
  <c r="D83" i="4"/>
  <c r="R59" i="4"/>
  <c r="E59" i="4"/>
  <c r="S35" i="4"/>
  <c r="F35" i="4"/>
  <c r="N11" i="4"/>
  <c r="I59" i="4"/>
  <c r="G83" i="4"/>
  <c r="P83" i="4"/>
  <c r="C83" i="4"/>
  <c r="Q59" i="4"/>
  <c r="D59" i="4"/>
  <c r="R35" i="4"/>
  <c r="E35" i="4"/>
  <c r="L11" i="4"/>
  <c r="I35" i="4"/>
  <c r="Q11" i="4"/>
  <c r="O83" i="4"/>
  <c r="B83" i="4"/>
  <c r="P59" i="4"/>
  <c r="C59" i="4"/>
  <c r="Q35" i="4"/>
  <c r="D35" i="4"/>
  <c r="K11" i="4"/>
  <c r="N83" i="4"/>
  <c r="O59" i="4"/>
  <c r="B59" i="4"/>
  <c r="P35" i="4"/>
  <c r="C35" i="4"/>
  <c r="J11" i="4"/>
  <c r="L83" i="4"/>
  <c r="N59" i="4"/>
  <c r="O35" i="4"/>
  <c r="B35" i="4"/>
  <c r="I11" i="4"/>
  <c r="H59" i="4"/>
  <c r="K83" i="4"/>
  <c r="L59" i="4"/>
  <c r="N35" i="4"/>
  <c r="H11" i="4"/>
  <c r="J83" i="4"/>
  <c r="K59" i="4"/>
  <c r="L35" i="4"/>
  <c r="G11" i="4"/>
  <c r="H83" i="4"/>
  <c r="I83" i="4"/>
  <c r="J59" i="4"/>
  <c r="K35" i="4"/>
  <c r="S11" i="4"/>
  <c r="F11" i="4"/>
  <c r="E11" i="4"/>
  <c r="S4" i="3"/>
  <c r="M4" i="3"/>
  <c r="N4" i="3"/>
  <c r="B4" i="3"/>
  <c r="C4" i="3"/>
  <c r="O4" i="3"/>
  <c r="P4" i="3"/>
  <c r="G4" i="3"/>
  <c r="Q4" i="3"/>
  <c r="H4" i="3"/>
  <c r="I4" i="3"/>
  <c r="J4" i="3"/>
  <c r="K4" i="3"/>
  <c r="L4" i="3"/>
  <c r="D4" i="3"/>
  <c r="E4" i="3"/>
  <c r="F4" i="3"/>
  <c r="J13" i="1"/>
  <c r="J12" i="1"/>
  <c r="V16" i="2"/>
  <c r="U16" i="2"/>
  <c r="F31" i="5" l="1"/>
  <c r="F36" i="5"/>
  <c r="F12" i="5"/>
  <c r="F7" i="5"/>
  <c r="F84" i="5"/>
  <c r="F79" i="5"/>
  <c r="F55" i="5"/>
  <c r="F60" i="5"/>
  <c r="Q31" i="5"/>
  <c r="Q36" i="5"/>
  <c r="E79" i="5"/>
  <c r="E84" i="5"/>
  <c r="N55" i="5"/>
  <c r="N60" i="5"/>
  <c r="I36" i="5"/>
  <c r="I31" i="5"/>
  <c r="M79" i="5"/>
  <c r="M84" i="5"/>
  <c r="H12" i="5"/>
  <c r="H7" i="5"/>
  <c r="O31" i="5"/>
  <c r="O36" i="5"/>
  <c r="Q55" i="5"/>
  <c r="Q60" i="5"/>
  <c r="S55" i="5"/>
  <c r="S60" i="5"/>
  <c r="H84" i="5"/>
  <c r="H79" i="5"/>
  <c r="R79" i="5"/>
  <c r="R84" i="5"/>
  <c r="B7" i="5"/>
  <c r="B12" i="5"/>
  <c r="Q12" i="5"/>
  <c r="Q7" i="5"/>
  <c r="L84" i="5"/>
  <c r="L79" i="5"/>
  <c r="I12" i="5"/>
  <c r="I7" i="5"/>
  <c r="R55" i="5"/>
  <c r="R60" i="5"/>
  <c r="M12" i="5"/>
  <c r="M7" i="5"/>
  <c r="Q79" i="5"/>
  <c r="Q84" i="5"/>
  <c r="K12" i="5"/>
  <c r="K7" i="5"/>
  <c r="D55" i="5"/>
  <c r="D60" i="5"/>
  <c r="J7" i="5"/>
  <c r="J12" i="5"/>
  <c r="B31" i="5"/>
  <c r="B36" i="5"/>
  <c r="P7" i="5"/>
  <c r="P12" i="5"/>
  <c r="C55" i="5"/>
  <c r="C60" i="5"/>
  <c r="S31" i="5"/>
  <c r="S36" i="5"/>
  <c r="G55" i="5"/>
  <c r="G60" i="5"/>
  <c r="L60" i="5"/>
  <c r="L55" i="5"/>
  <c r="B79" i="5"/>
  <c r="B84" i="5"/>
  <c r="K84" i="5"/>
  <c r="K79" i="5"/>
  <c r="I60" i="5"/>
  <c r="I55" i="5"/>
  <c r="L7" i="5"/>
  <c r="L12" i="5"/>
  <c r="D31" i="5"/>
  <c r="D36" i="5"/>
  <c r="R31" i="5"/>
  <c r="R36" i="5"/>
  <c r="N12" i="5"/>
  <c r="N7" i="5"/>
  <c r="C79" i="5"/>
  <c r="C84" i="5"/>
  <c r="R12" i="5"/>
  <c r="R7" i="5"/>
  <c r="K36" i="5"/>
  <c r="K31" i="5"/>
  <c r="I84" i="5"/>
  <c r="I79" i="5"/>
  <c r="S84" i="5"/>
  <c r="S79" i="5"/>
  <c r="J60" i="5"/>
  <c r="J55" i="5"/>
  <c r="B55" i="5"/>
  <c r="B60" i="5"/>
  <c r="H31" i="5"/>
  <c r="H36" i="5"/>
  <c r="O79" i="5"/>
  <c r="O84" i="5"/>
  <c r="J36" i="5"/>
  <c r="J31" i="5"/>
  <c r="P55" i="5"/>
  <c r="P60" i="5"/>
  <c r="O55" i="5"/>
  <c r="O60" i="5"/>
  <c r="O12" i="5"/>
  <c r="O7" i="5"/>
  <c r="G12" i="5"/>
  <c r="G7" i="5"/>
  <c r="E55" i="5"/>
  <c r="E60" i="5"/>
  <c r="C7" i="5"/>
  <c r="C12" i="5"/>
  <c r="K60" i="5"/>
  <c r="K55" i="5"/>
  <c r="E31" i="5"/>
  <c r="E36" i="5"/>
  <c r="J84" i="5"/>
  <c r="J79" i="5"/>
  <c r="D79" i="5"/>
  <c r="D84" i="5"/>
  <c r="M36" i="5"/>
  <c r="M31" i="5"/>
  <c r="H60" i="5"/>
  <c r="H55" i="5"/>
  <c r="S12" i="5"/>
  <c r="S7" i="5"/>
  <c r="N79" i="5"/>
  <c r="N84" i="5"/>
  <c r="C31" i="5"/>
  <c r="C36" i="5"/>
  <c r="P79" i="5"/>
  <c r="P84" i="5"/>
  <c r="N36" i="5"/>
  <c r="N31" i="5"/>
  <c r="G79" i="5"/>
  <c r="G84" i="5"/>
  <c r="M60" i="5"/>
  <c r="M55" i="5"/>
  <c r="P31" i="5"/>
  <c r="P36" i="5"/>
  <c r="L36" i="5"/>
  <c r="L31" i="5"/>
  <c r="G31" i="5"/>
  <c r="G36" i="5"/>
  <c r="D12" i="5"/>
  <c r="D7" i="5"/>
  <c r="E12" i="5"/>
  <c r="E7" i="5"/>
  <c r="C78" i="4"/>
  <c r="C80" i="4" s="1"/>
  <c r="G54" i="4"/>
  <c r="G56" i="4" s="1"/>
  <c r="D6" i="4"/>
  <c r="D8" i="4" s="1"/>
  <c r="F78" i="4"/>
  <c r="F80" i="4" s="1"/>
  <c r="E54" i="4"/>
  <c r="E56" i="4" s="1"/>
  <c r="E55" i="4" s="1"/>
  <c r="D78" i="4"/>
  <c r="D80" i="4" s="1"/>
  <c r="D79" i="4" s="1"/>
  <c r="B6" i="4"/>
  <c r="B8" i="4" s="1"/>
  <c r="B7" i="4" s="1"/>
  <c r="H6" i="4"/>
  <c r="H8" i="4" s="1"/>
  <c r="B54" i="4"/>
  <c r="B56" i="4" s="1"/>
  <c r="E6" i="4"/>
  <c r="E8" i="4" s="1"/>
  <c r="I30" i="4"/>
  <c r="I32" i="4" s="1"/>
  <c r="I36" i="4" s="1"/>
  <c r="C30" i="4"/>
  <c r="C32" i="4" s="1"/>
  <c r="C31" i="4" s="1"/>
  <c r="E30" i="4"/>
  <c r="E32" i="4" s="1"/>
  <c r="E31" i="4" s="1"/>
  <c r="H54" i="4"/>
  <c r="H56" i="4" s="1"/>
  <c r="G6" i="4"/>
  <c r="G8" i="4" s="1"/>
  <c r="C6" i="4"/>
  <c r="C8" i="4" s="1"/>
  <c r="H30" i="4"/>
  <c r="H32" i="4" s="1"/>
  <c r="H31" i="4" s="1"/>
  <c r="D54" i="4"/>
  <c r="D56" i="4" s="1"/>
  <c r="D60" i="4" s="1"/>
  <c r="G78" i="4"/>
  <c r="G80" i="4" s="1"/>
  <c r="G84" i="4" s="1"/>
  <c r="B30" i="4"/>
  <c r="B32" i="4" s="1"/>
  <c r="B36" i="4" s="1"/>
  <c r="F6" i="4"/>
  <c r="F8" i="4" s="1"/>
  <c r="F7" i="4" s="1"/>
  <c r="I6" i="4"/>
  <c r="I8" i="4" s="1"/>
  <c r="I12" i="4" s="1"/>
  <c r="H78" i="4"/>
  <c r="H80" i="4" s="1"/>
  <c r="H84" i="4" s="1"/>
  <c r="D30" i="4"/>
  <c r="D32" i="4" s="1"/>
  <c r="D31" i="4" s="1"/>
  <c r="C54" i="4"/>
  <c r="C56" i="4" s="1"/>
  <c r="C55" i="4" s="1"/>
  <c r="F54" i="4"/>
  <c r="F56" i="4" s="1"/>
  <c r="I78" i="4"/>
  <c r="I80" i="4" s="1"/>
  <c r="V21" i="4"/>
  <c r="G30" i="4"/>
  <c r="G32" i="4" s="1"/>
  <c r="G31" i="4" s="1"/>
  <c r="B78" i="4"/>
  <c r="B80" i="4" s="1"/>
  <c r="B84" i="4" s="1"/>
  <c r="M30" i="4"/>
  <c r="M32" i="4" s="1"/>
  <c r="M54" i="4"/>
  <c r="M56" i="4" s="1"/>
  <c r="M78" i="4"/>
  <c r="M80" i="4" s="1"/>
  <c r="M6" i="4"/>
  <c r="M8" i="4" s="1"/>
  <c r="J30" i="4"/>
  <c r="J32" i="4" s="1"/>
  <c r="J36" i="4" s="1"/>
  <c r="J78" i="4"/>
  <c r="J80" i="4" s="1"/>
  <c r="J84" i="4" s="1"/>
  <c r="L30" i="4"/>
  <c r="L32" i="4" s="1"/>
  <c r="L36" i="4" s="1"/>
  <c r="O78" i="4"/>
  <c r="O80" i="4" s="1"/>
  <c r="O84" i="4" s="1"/>
  <c r="J54" i="4"/>
  <c r="J56" i="4" s="1"/>
  <c r="J60" i="4" s="1"/>
  <c r="O54" i="4"/>
  <c r="O56" i="4" s="1"/>
  <c r="O60" i="4" s="1"/>
  <c r="N78" i="4"/>
  <c r="N80" i="4" s="1"/>
  <c r="N79" i="4" s="1"/>
  <c r="K54" i="4"/>
  <c r="K56" i="4" s="1"/>
  <c r="K60" i="4" s="1"/>
  <c r="K6" i="4"/>
  <c r="K8" i="4" s="1"/>
  <c r="K7" i="4" s="1"/>
  <c r="K30" i="4"/>
  <c r="K32" i="4" s="1"/>
  <c r="K36" i="4" s="1"/>
  <c r="P78" i="4"/>
  <c r="P80" i="4" s="1"/>
  <c r="P84" i="4" s="1"/>
  <c r="P95" i="4" s="1"/>
  <c r="S78" i="4"/>
  <c r="S80" i="4" s="1"/>
  <c r="S84" i="4" s="1"/>
  <c r="S95" i="4" s="1"/>
  <c r="Q6" i="4"/>
  <c r="Q8" i="4" s="1"/>
  <c r="Q7" i="4" s="1"/>
  <c r="P30" i="4"/>
  <c r="P32" i="4" s="1"/>
  <c r="P36" i="4" s="1"/>
  <c r="P47" i="4" s="1"/>
  <c r="Q54" i="4"/>
  <c r="Q56" i="4" s="1"/>
  <c r="Q55" i="4" s="1"/>
  <c r="S54" i="4"/>
  <c r="S56" i="4" s="1"/>
  <c r="S55" i="4" s="1"/>
  <c r="R30" i="4"/>
  <c r="R32" i="4" s="1"/>
  <c r="R31" i="4" s="1"/>
  <c r="R6" i="4"/>
  <c r="R8" i="4" s="1"/>
  <c r="R7" i="4" s="1"/>
  <c r="R78" i="4"/>
  <c r="R80" i="4" s="1"/>
  <c r="R79" i="4" s="1"/>
  <c r="P54" i="4"/>
  <c r="P56" i="4" s="1"/>
  <c r="P55" i="4" s="1"/>
  <c r="Q30" i="4"/>
  <c r="Q32" i="4" s="1"/>
  <c r="Q31" i="4" s="1"/>
  <c r="Q78" i="4"/>
  <c r="Q80" i="4" s="1"/>
  <c r="Q79" i="4" s="1"/>
  <c r="P6" i="4"/>
  <c r="P8" i="4" s="1"/>
  <c r="P7" i="4" s="1"/>
  <c r="S30" i="4"/>
  <c r="S32" i="4" s="1"/>
  <c r="S31" i="4" s="1"/>
  <c r="R54" i="4"/>
  <c r="R56" i="4" s="1"/>
  <c r="R60" i="4" s="1"/>
  <c r="R71" i="4" s="1"/>
  <c r="S6" i="4"/>
  <c r="S8" i="4" s="1"/>
  <c r="S7" i="4" s="1"/>
  <c r="N54" i="4"/>
  <c r="N56" i="4" s="1"/>
  <c r="N60" i="4" s="1"/>
  <c r="K78" i="4"/>
  <c r="K80" i="4" s="1"/>
  <c r="K79" i="4" s="1"/>
  <c r="N30" i="4"/>
  <c r="N32" i="4" s="1"/>
  <c r="N31" i="4" s="1"/>
  <c r="L6" i="4"/>
  <c r="L8" i="4" s="1"/>
  <c r="L12" i="4" s="1"/>
  <c r="O6" i="4"/>
  <c r="O8" i="4" s="1"/>
  <c r="O7" i="4" s="1"/>
  <c r="N6" i="4"/>
  <c r="N8" i="4" s="1"/>
  <c r="N7" i="4" s="1"/>
  <c r="O30" i="4"/>
  <c r="O32" i="4" s="1"/>
  <c r="O36" i="4" s="1"/>
  <c r="L54" i="4"/>
  <c r="L56" i="4" s="1"/>
  <c r="L60" i="4" s="1"/>
  <c r="J6" i="4"/>
  <c r="J8" i="4" s="1"/>
  <c r="J7" i="4" s="1"/>
  <c r="L78" i="4"/>
  <c r="L80" i="4" s="1"/>
  <c r="L84" i="4" s="1"/>
  <c r="E7" i="4"/>
  <c r="E12" i="4"/>
  <c r="G55" i="4"/>
  <c r="G60" i="4"/>
  <c r="H36" i="4"/>
  <c r="B12" i="4"/>
  <c r="C79" i="4"/>
  <c r="C84" i="4"/>
  <c r="F79" i="4"/>
  <c r="F84" i="4"/>
  <c r="E79" i="4"/>
  <c r="E84" i="4"/>
  <c r="C7" i="4"/>
  <c r="C12" i="4"/>
  <c r="F31" i="4"/>
  <c r="F36" i="4"/>
  <c r="H12" i="4"/>
  <c r="H7" i="4"/>
  <c r="E36" i="4"/>
  <c r="O79" i="4"/>
  <c r="K84" i="4"/>
  <c r="H60" i="4"/>
  <c r="H55" i="4"/>
  <c r="B60" i="4"/>
  <c r="B55" i="4"/>
  <c r="D7" i="4"/>
  <c r="D12" i="4"/>
  <c r="G12" i="4"/>
  <c r="G7" i="4"/>
  <c r="I60" i="4"/>
  <c r="I55" i="4"/>
  <c r="G36" i="4"/>
  <c r="F55" i="4"/>
  <c r="F60" i="4"/>
  <c r="I84" i="4"/>
  <c r="I79" i="4"/>
  <c r="W10" i="2"/>
  <c r="V10" i="2"/>
  <c r="U11" i="2"/>
  <c r="U10" i="2"/>
  <c r="U11" i="1"/>
  <c r="T11" i="1"/>
  <c r="S11" i="1"/>
  <c r="R11" i="1"/>
  <c r="Q11" i="1"/>
  <c r="P11" i="1"/>
  <c r="O11" i="1"/>
  <c r="N11" i="1"/>
  <c r="M11" i="1"/>
  <c r="L11" i="1"/>
  <c r="K11" i="1"/>
  <c r="J11" i="1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U25" i="2"/>
  <c r="U26" i="2" s="1"/>
  <c r="V19" i="2"/>
  <c r="V20" i="2" s="1"/>
  <c r="U19" i="2"/>
  <c r="U20" i="2" s="1"/>
  <c r="W7" i="2"/>
  <c r="V7" i="2"/>
  <c r="U5" i="2"/>
  <c r="U12" i="2" s="1"/>
  <c r="W4" i="2"/>
  <c r="V4" i="2"/>
  <c r="W3" i="2"/>
  <c r="V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C34" i="1"/>
  <c r="C38" i="1"/>
  <c r="C33" i="1"/>
  <c r="C37" i="1"/>
  <c r="C32" i="1"/>
  <c r="C36" i="1"/>
  <c r="C31" i="1"/>
  <c r="C35" i="1"/>
  <c r="C82" i="1"/>
  <c r="C86" i="1"/>
  <c r="C81" i="1"/>
  <c r="C85" i="1"/>
  <c r="C80" i="1"/>
  <c r="C84" i="1"/>
  <c r="C79" i="1"/>
  <c r="C83" i="1"/>
  <c r="C66" i="1"/>
  <c r="C70" i="1"/>
  <c r="C65" i="1"/>
  <c r="C69" i="1"/>
  <c r="C64" i="1"/>
  <c r="C68" i="1"/>
  <c r="C63" i="1"/>
  <c r="C67" i="1"/>
  <c r="C50" i="1"/>
  <c r="C54" i="1"/>
  <c r="C49" i="1"/>
  <c r="C53" i="1"/>
  <c r="C48" i="1"/>
  <c r="C52" i="1"/>
  <c r="C47" i="1"/>
  <c r="C51" i="1"/>
  <c r="C135" i="1"/>
  <c r="C134" i="1"/>
  <c r="C133" i="1"/>
  <c r="C132" i="1"/>
  <c r="C127" i="1"/>
  <c r="C131" i="1"/>
  <c r="C126" i="1"/>
  <c r="C130" i="1"/>
  <c r="C125" i="1"/>
  <c r="C129" i="1"/>
  <c r="C124" i="1"/>
  <c r="C128" i="1"/>
  <c r="C107" i="1"/>
  <c r="C111" i="1"/>
  <c r="C115" i="1"/>
  <c r="C106" i="1"/>
  <c r="C110" i="1"/>
  <c r="C114" i="1"/>
  <c r="C105" i="1"/>
  <c r="C109" i="1"/>
  <c r="C113" i="1"/>
  <c r="C104" i="1"/>
  <c r="C108" i="1"/>
  <c r="C112" i="1"/>
  <c r="C99" i="1"/>
  <c r="C103" i="1"/>
  <c r="C98" i="1"/>
  <c r="C102" i="1"/>
  <c r="C97" i="1"/>
  <c r="C101" i="1"/>
  <c r="C96" i="1"/>
  <c r="C100" i="1"/>
  <c r="C95" i="1"/>
  <c r="C215" i="1"/>
  <c r="C219" i="1"/>
  <c r="C214" i="1"/>
  <c r="C218" i="1"/>
  <c r="C213" i="1"/>
  <c r="C217" i="1"/>
  <c r="C212" i="1"/>
  <c r="C216" i="1"/>
  <c r="C203" i="1"/>
  <c r="C207" i="1"/>
  <c r="C211" i="1"/>
  <c r="C202" i="1"/>
  <c r="C206" i="1"/>
  <c r="C210" i="1"/>
  <c r="C201" i="1"/>
  <c r="C205" i="1"/>
  <c r="C209" i="1"/>
  <c r="C200" i="1"/>
  <c r="C204" i="1"/>
  <c r="C208" i="1"/>
  <c r="C199" i="1"/>
  <c r="C198" i="1"/>
  <c r="C197" i="1"/>
  <c r="C196" i="1"/>
  <c r="C187" i="1"/>
  <c r="C191" i="1"/>
  <c r="C195" i="1"/>
  <c r="C186" i="1"/>
  <c r="C190" i="1"/>
  <c r="C194" i="1"/>
  <c r="C185" i="1"/>
  <c r="C189" i="1"/>
  <c r="C193" i="1"/>
  <c r="C184" i="1"/>
  <c r="C188" i="1"/>
  <c r="C192" i="1"/>
  <c r="C175" i="1"/>
  <c r="C179" i="1"/>
  <c r="C183" i="1"/>
  <c r="C174" i="1"/>
  <c r="C178" i="1"/>
  <c r="C182" i="1"/>
  <c r="C173" i="1"/>
  <c r="C177" i="1"/>
  <c r="C181" i="1"/>
  <c r="C172" i="1"/>
  <c r="C176" i="1"/>
  <c r="C180" i="1"/>
  <c r="C163" i="1"/>
  <c r="C167" i="1"/>
  <c r="C171" i="1"/>
  <c r="C162" i="1"/>
  <c r="C166" i="1"/>
  <c r="C170" i="1"/>
  <c r="C161" i="1"/>
  <c r="C165" i="1"/>
  <c r="C169" i="1"/>
  <c r="C160" i="1"/>
  <c r="C164" i="1"/>
  <c r="C168" i="1"/>
  <c r="C151" i="1"/>
  <c r="C155" i="1"/>
  <c r="C159" i="1"/>
  <c r="C150" i="1"/>
  <c r="C154" i="1"/>
  <c r="C158" i="1"/>
  <c r="C149" i="1"/>
  <c r="C153" i="1"/>
  <c r="C157" i="1"/>
  <c r="C148" i="1"/>
  <c r="C152" i="1"/>
  <c r="C156" i="1"/>
  <c r="C139" i="1"/>
  <c r="C143" i="1"/>
  <c r="C147" i="1"/>
  <c r="C138" i="1"/>
  <c r="C142" i="1"/>
  <c r="C146" i="1"/>
  <c r="C137" i="1"/>
  <c r="C141" i="1"/>
  <c r="C145" i="1"/>
  <c r="C136" i="1"/>
  <c r="C140" i="1"/>
  <c r="C144" i="1"/>
  <c r="U27" i="1"/>
  <c r="T27" i="1"/>
  <c r="S27" i="1"/>
  <c r="R27" i="1"/>
  <c r="Q27" i="1"/>
  <c r="P27" i="1"/>
  <c r="O27" i="1"/>
  <c r="N27" i="1"/>
  <c r="M27" i="1"/>
  <c r="L27" i="1"/>
  <c r="K27" i="1"/>
  <c r="J27" i="1"/>
  <c r="Q23" i="1"/>
  <c r="O23" i="1"/>
  <c r="N23" i="1"/>
  <c r="M23" i="1"/>
  <c r="L23" i="1"/>
  <c r="T21" i="1"/>
  <c r="O21" i="1"/>
  <c r="N21" i="1"/>
  <c r="O19" i="1"/>
  <c r="N19" i="1"/>
  <c r="M19" i="1"/>
  <c r="L19" i="1"/>
  <c r="U21" i="1"/>
  <c r="S21" i="1"/>
  <c r="R21" i="1"/>
  <c r="Q21" i="1"/>
  <c r="P21" i="1"/>
  <c r="M21" i="1"/>
  <c r="L21" i="1"/>
  <c r="K21" i="1"/>
  <c r="J21" i="1"/>
  <c r="U23" i="1"/>
  <c r="Q19" i="1"/>
  <c r="K23" i="1"/>
  <c r="J23" i="1"/>
  <c r="U4" i="1"/>
  <c r="T4" i="1"/>
  <c r="S4" i="1"/>
  <c r="R4" i="1"/>
  <c r="Q4" i="1"/>
  <c r="P4" i="1"/>
  <c r="O4" i="1"/>
  <c r="N4" i="1"/>
  <c r="M4" i="1"/>
  <c r="L4" i="1"/>
  <c r="K4" i="1"/>
  <c r="J4" i="1"/>
  <c r="AV3" i="1"/>
  <c r="AU3" i="1"/>
  <c r="AT3" i="1"/>
  <c r="AS3" i="1"/>
  <c r="AS6" i="1" s="1"/>
  <c r="T9" i="1" s="1"/>
  <c r="AR3" i="1"/>
  <c r="AQ3" i="1"/>
  <c r="AP3" i="1"/>
  <c r="AP6" i="1" s="1"/>
  <c r="Q9" i="1" s="1"/>
  <c r="AO3" i="1"/>
  <c r="AO6" i="1" s="1"/>
  <c r="P9" i="1" s="1"/>
  <c r="AN3" i="1"/>
  <c r="AN6" i="1" s="1"/>
  <c r="O9" i="1" s="1"/>
  <c r="AM3" i="1"/>
  <c r="AL3" i="1"/>
  <c r="AK3" i="1"/>
  <c r="AJ3" i="1"/>
  <c r="AI3" i="1"/>
  <c r="F71" i="5" l="1"/>
  <c r="F67" i="5"/>
  <c r="F63" i="5"/>
  <c r="F95" i="5"/>
  <c r="F91" i="5"/>
  <c r="F87" i="5"/>
  <c r="F23" i="5"/>
  <c r="F19" i="5"/>
  <c r="F15" i="5"/>
  <c r="F47" i="5"/>
  <c r="F43" i="5"/>
  <c r="F39" i="5"/>
  <c r="C47" i="5"/>
  <c r="C39" i="5"/>
  <c r="C43" i="5"/>
  <c r="I67" i="5"/>
  <c r="I63" i="5"/>
  <c r="I71" i="5"/>
  <c r="J19" i="5"/>
  <c r="J15" i="5"/>
  <c r="L70" i="5"/>
  <c r="L67" i="5"/>
  <c r="L63" i="5"/>
  <c r="D39" i="5"/>
  <c r="D47" i="5"/>
  <c r="D43" i="5"/>
  <c r="K91" i="5"/>
  <c r="K87" i="5"/>
  <c r="O63" i="5"/>
  <c r="O67" i="5"/>
  <c r="N19" i="5"/>
  <c r="N15" i="5"/>
  <c r="M19" i="5"/>
  <c r="M15" i="5"/>
  <c r="P63" i="5"/>
  <c r="P71" i="5"/>
  <c r="P67" i="5"/>
  <c r="R63" i="5"/>
  <c r="R71" i="5"/>
  <c r="R67" i="5"/>
  <c r="E15" i="5"/>
  <c r="E23" i="5"/>
  <c r="E19" i="5"/>
  <c r="K67" i="5"/>
  <c r="K63" i="5"/>
  <c r="C15" i="5"/>
  <c r="C19" i="5"/>
  <c r="C23" i="5"/>
  <c r="G71" i="5"/>
  <c r="G63" i="5"/>
  <c r="G67" i="5"/>
  <c r="M87" i="5"/>
  <c r="M91" i="5"/>
  <c r="D23" i="5"/>
  <c r="D19" i="5"/>
  <c r="D15" i="5"/>
  <c r="N43" i="5"/>
  <c r="N39" i="5"/>
  <c r="H67" i="5"/>
  <c r="H71" i="5"/>
  <c r="H63" i="5"/>
  <c r="J43" i="5"/>
  <c r="J39" i="5"/>
  <c r="I91" i="5"/>
  <c r="I95" i="5"/>
  <c r="I87" i="5"/>
  <c r="I19" i="5"/>
  <c r="I23" i="5"/>
  <c r="I15" i="5"/>
  <c r="D95" i="5"/>
  <c r="D87" i="5"/>
  <c r="D91" i="5"/>
  <c r="Q63" i="5"/>
  <c r="Q67" i="5"/>
  <c r="Q71" i="5"/>
  <c r="M67" i="5"/>
  <c r="M63" i="5"/>
  <c r="R39" i="5"/>
  <c r="R43" i="5"/>
  <c r="R47" i="5"/>
  <c r="S95" i="5"/>
  <c r="S91" i="5"/>
  <c r="S87" i="5"/>
  <c r="H91" i="5"/>
  <c r="H87" i="5"/>
  <c r="H95" i="5"/>
  <c r="S71" i="5"/>
  <c r="S63" i="5"/>
  <c r="S67" i="5"/>
  <c r="G47" i="5"/>
  <c r="G39" i="5"/>
  <c r="G43" i="5"/>
  <c r="P95" i="5"/>
  <c r="P87" i="5"/>
  <c r="P91" i="5"/>
  <c r="E71" i="5"/>
  <c r="E63" i="5"/>
  <c r="E67" i="5"/>
  <c r="O87" i="5"/>
  <c r="O91" i="5"/>
  <c r="L19" i="5"/>
  <c r="L15" i="5"/>
  <c r="L22" i="5"/>
  <c r="S47" i="5"/>
  <c r="S39" i="5"/>
  <c r="S43" i="5"/>
  <c r="D71" i="5"/>
  <c r="D63" i="5"/>
  <c r="D67" i="5"/>
  <c r="C63" i="5"/>
  <c r="C71" i="5"/>
  <c r="C67" i="5"/>
  <c r="K15" i="5"/>
  <c r="K19" i="5"/>
  <c r="O19" i="5"/>
  <c r="O15" i="5"/>
  <c r="G91" i="5"/>
  <c r="G87" i="5"/>
  <c r="G95" i="5"/>
  <c r="S15" i="5"/>
  <c r="S19" i="5"/>
  <c r="S23" i="5"/>
  <c r="H23" i="5"/>
  <c r="H19" i="5"/>
  <c r="H15" i="5"/>
  <c r="M43" i="5"/>
  <c r="M39" i="5"/>
  <c r="K43" i="5"/>
  <c r="K39" i="5"/>
  <c r="L94" i="5"/>
  <c r="L87" i="5"/>
  <c r="L91" i="5"/>
  <c r="I43" i="5"/>
  <c r="I39" i="5"/>
  <c r="I47" i="5"/>
  <c r="L46" i="5"/>
  <c r="L43" i="5"/>
  <c r="L39" i="5"/>
  <c r="R15" i="5"/>
  <c r="R23" i="5"/>
  <c r="R19" i="5"/>
  <c r="Q15" i="5"/>
  <c r="Q19" i="5"/>
  <c r="Q23" i="5"/>
  <c r="P39" i="5"/>
  <c r="P47" i="5"/>
  <c r="P43" i="5"/>
  <c r="N87" i="5"/>
  <c r="N91" i="5"/>
  <c r="B71" i="5"/>
  <c r="B63" i="5"/>
  <c r="B67" i="5"/>
  <c r="C95" i="5"/>
  <c r="C87" i="5"/>
  <c r="C91" i="5"/>
  <c r="P23" i="5"/>
  <c r="P19" i="5"/>
  <c r="P15" i="5"/>
  <c r="Q87" i="5"/>
  <c r="Q95" i="5"/>
  <c r="Q91" i="5"/>
  <c r="B19" i="5"/>
  <c r="B23" i="5"/>
  <c r="B15" i="5"/>
  <c r="E95" i="5"/>
  <c r="E87" i="5"/>
  <c r="E91" i="5"/>
  <c r="N63" i="5"/>
  <c r="N67" i="5"/>
  <c r="J91" i="5"/>
  <c r="J87" i="5"/>
  <c r="E47" i="5"/>
  <c r="E39" i="5"/>
  <c r="E43" i="5"/>
  <c r="B87" i="5"/>
  <c r="B95" i="5"/>
  <c r="B91" i="5"/>
  <c r="B47" i="5"/>
  <c r="B43" i="5"/>
  <c r="B39" i="5"/>
  <c r="R95" i="5"/>
  <c r="R87" i="5"/>
  <c r="R91" i="5"/>
  <c r="O39" i="5"/>
  <c r="O43" i="5"/>
  <c r="Q39" i="5"/>
  <c r="Q47" i="5"/>
  <c r="Q43" i="5"/>
  <c r="H39" i="5"/>
  <c r="H43" i="5"/>
  <c r="H47" i="5"/>
  <c r="G23" i="5"/>
  <c r="G15" i="5"/>
  <c r="G19" i="5"/>
  <c r="J67" i="5"/>
  <c r="J63" i="5"/>
  <c r="S36" i="4"/>
  <c r="S47" i="4" s="1"/>
  <c r="D36" i="4"/>
  <c r="E60" i="4"/>
  <c r="B31" i="4"/>
  <c r="D55" i="4"/>
  <c r="L31" i="4"/>
  <c r="I31" i="4"/>
  <c r="J31" i="4"/>
  <c r="I7" i="4"/>
  <c r="H79" i="4"/>
  <c r="G79" i="4"/>
  <c r="B79" i="4"/>
  <c r="F12" i="4"/>
  <c r="F15" i="4" s="1"/>
  <c r="K55" i="4"/>
  <c r="C60" i="4"/>
  <c r="C67" i="4" s="1"/>
  <c r="C36" i="4"/>
  <c r="C43" i="4" s="1"/>
  <c r="D84" i="4"/>
  <c r="D91" i="4" s="1"/>
  <c r="J79" i="4"/>
  <c r="AK6" i="1"/>
  <c r="L9" i="1" s="1"/>
  <c r="AQ6" i="1"/>
  <c r="R9" i="1" s="1"/>
  <c r="AR6" i="1"/>
  <c r="S9" i="1" s="1"/>
  <c r="M31" i="4"/>
  <c r="M36" i="4"/>
  <c r="M12" i="4"/>
  <c r="M7" i="4"/>
  <c r="K12" i="4"/>
  <c r="K19" i="4" s="1"/>
  <c r="M84" i="4"/>
  <c r="M79" i="4"/>
  <c r="M55" i="4"/>
  <c r="M60" i="4"/>
  <c r="R12" i="4"/>
  <c r="R23" i="4" s="1"/>
  <c r="N84" i="4"/>
  <c r="R84" i="4"/>
  <c r="R95" i="4" s="1"/>
  <c r="L7" i="4"/>
  <c r="O55" i="4"/>
  <c r="J55" i="4"/>
  <c r="L79" i="4"/>
  <c r="Q36" i="4"/>
  <c r="Q47" i="4" s="1"/>
  <c r="P79" i="4"/>
  <c r="P12" i="4"/>
  <c r="J12" i="4"/>
  <c r="J19" i="4" s="1"/>
  <c r="P31" i="4"/>
  <c r="K31" i="4"/>
  <c r="R55" i="4"/>
  <c r="S79" i="4"/>
  <c r="Q12" i="4"/>
  <c r="Q23" i="4" s="1"/>
  <c r="S12" i="4"/>
  <c r="P60" i="4"/>
  <c r="R36" i="4"/>
  <c r="Q60" i="4"/>
  <c r="Q84" i="4"/>
  <c r="Q95" i="4" s="1"/>
  <c r="N55" i="4"/>
  <c r="L55" i="4"/>
  <c r="S60" i="4"/>
  <c r="N36" i="4"/>
  <c r="N43" i="4" s="1"/>
  <c r="N12" i="4"/>
  <c r="N15" i="4" s="1"/>
  <c r="O12" i="4"/>
  <c r="O19" i="4" s="1"/>
  <c r="O31" i="4"/>
  <c r="L43" i="4"/>
  <c r="L39" i="4"/>
  <c r="L46" i="4"/>
  <c r="F43" i="4"/>
  <c r="F39" i="4"/>
  <c r="F47" i="4"/>
  <c r="D15" i="4"/>
  <c r="D19" i="4"/>
  <c r="D23" i="4"/>
  <c r="E43" i="4"/>
  <c r="E39" i="4"/>
  <c r="E47" i="4"/>
  <c r="C19" i="4"/>
  <c r="C15" i="4"/>
  <c r="C23" i="4"/>
  <c r="E87" i="4"/>
  <c r="E95" i="4"/>
  <c r="E91" i="4"/>
  <c r="G63" i="4"/>
  <c r="G71" i="4"/>
  <c r="G67" i="4"/>
  <c r="P43" i="4"/>
  <c r="P39" i="4"/>
  <c r="P91" i="4"/>
  <c r="P87" i="4"/>
  <c r="B91" i="4"/>
  <c r="B87" i="4"/>
  <c r="B95" i="4"/>
  <c r="N67" i="4"/>
  <c r="N63" i="4"/>
  <c r="L67" i="4"/>
  <c r="L70" i="4"/>
  <c r="L63" i="4"/>
  <c r="C39" i="4"/>
  <c r="C47" i="4"/>
  <c r="N91" i="4"/>
  <c r="N87" i="4"/>
  <c r="G43" i="4"/>
  <c r="G39" i="4"/>
  <c r="G47" i="4"/>
  <c r="H39" i="4"/>
  <c r="H47" i="4"/>
  <c r="H43" i="4"/>
  <c r="I39" i="4"/>
  <c r="I47" i="4"/>
  <c r="I43" i="4"/>
  <c r="N19" i="4"/>
  <c r="F87" i="4"/>
  <c r="F95" i="4"/>
  <c r="F91" i="4"/>
  <c r="D67" i="4"/>
  <c r="D63" i="4"/>
  <c r="D71" i="4"/>
  <c r="L22" i="4"/>
  <c r="L19" i="4"/>
  <c r="L15" i="4"/>
  <c r="K63" i="4"/>
  <c r="K67" i="4"/>
  <c r="E63" i="4"/>
  <c r="E71" i="4"/>
  <c r="E67" i="4"/>
  <c r="G15" i="4"/>
  <c r="G23" i="4"/>
  <c r="G19" i="4"/>
  <c r="S87" i="4"/>
  <c r="S91" i="4"/>
  <c r="O43" i="4"/>
  <c r="O39" i="4"/>
  <c r="G87" i="4"/>
  <c r="G95" i="4"/>
  <c r="G91" i="4"/>
  <c r="K91" i="4"/>
  <c r="K87" i="4"/>
  <c r="H15" i="4"/>
  <c r="H23" i="4"/>
  <c r="H19" i="4"/>
  <c r="J87" i="4"/>
  <c r="J91" i="4"/>
  <c r="O67" i="4"/>
  <c r="O63" i="4"/>
  <c r="O91" i="4"/>
  <c r="O87" i="4"/>
  <c r="H63" i="4"/>
  <c r="H71" i="4"/>
  <c r="H67" i="4"/>
  <c r="D43" i="4"/>
  <c r="D39" i="4"/>
  <c r="D47" i="4"/>
  <c r="R91" i="4"/>
  <c r="R67" i="4"/>
  <c r="R63" i="4"/>
  <c r="S43" i="4"/>
  <c r="S39" i="4"/>
  <c r="C91" i="4"/>
  <c r="C87" i="4"/>
  <c r="C95" i="4"/>
  <c r="I63" i="4"/>
  <c r="I71" i="4"/>
  <c r="I67" i="4"/>
  <c r="I95" i="4"/>
  <c r="I91" i="4"/>
  <c r="I87" i="4"/>
  <c r="K39" i="4"/>
  <c r="K43" i="4"/>
  <c r="J39" i="4"/>
  <c r="J43" i="4"/>
  <c r="J63" i="4"/>
  <c r="J67" i="4"/>
  <c r="F67" i="4"/>
  <c r="F63" i="4"/>
  <c r="F71" i="4"/>
  <c r="B23" i="4"/>
  <c r="B19" i="4"/>
  <c r="B15" i="4"/>
  <c r="E15" i="4"/>
  <c r="E23" i="4"/>
  <c r="E19" i="4"/>
  <c r="H87" i="4"/>
  <c r="H95" i="4"/>
  <c r="H91" i="4"/>
  <c r="B67" i="4"/>
  <c r="B63" i="4"/>
  <c r="B71" i="4"/>
  <c r="L91" i="4"/>
  <c r="L94" i="4"/>
  <c r="L87" i="4"/>
  <c r="B43" i="4"/>
  <c r="B39" i="4"/>
  <c r="B47" i="4"/>
  <c r="I15" i="4"/>
  <c r="I23" i="4"/>
  <c r="I19" i="4"/>
  <c r="P114" i="1"/>
  <c r="P115" i="1"/>
  <c r="S115" i="1"/>
  <c r="R115" i="1"/>
  <c r="S112" i="1"/>
  <c r="P112" i="1"/>
  <c r="R113" i="1"/>
  <c r="P113" i="1"/>
  <c r="O82" i="1"/>
  <c r="O51" i="1"/>
  <c r="P54" i="1"/>
  <c r="J54" i="1"/>
  <c r="S68" i="1"/>
  <c r="U80" i="1"/>
  <c r="Q34" i="1"/>
  <c r="J34" i="1"/>
  <c r="J69" i="1"/>
  <c r="O69" i="1"/>
  <c r="O67" i="1"/>
  <c r="O85" i="1"/>
  <c r="J81" i="1"/>
  <c r="J31" i="1"/>
  <c r="U52" i="1"/>
  <c r="U48" i="1"/>
  <c r="Q48" i="1"/>
  <c r="Q64" i="1"/>
  <c r="T64" i="1"/>
  <c r="O64" i="1"/>
  <c r="J83" i="1"/>
  <c r="O37" i="1"/>
  <c r="U49" i="1"/>
  <c r="J49" i="1"/>
  <c r="P131" i="1"/>
  <c r="P127" i="1"/>
  <c r="R127" i="1"/>
  <c r="P132" i="1"/>
  <c r="R132" i="1"/>
  <c r="P98" i="1"/>
  <c r="R133" i="1"/>
  <c r="R110" i="1"/>
  <c r="P110" i="1"/>
  <c r="R102" i="1"/>
  <c r="P102" i="1"/>
  <c r="R103" i="1"/>
  <c r="R111" i="1"/>
  <c r="R134" i="1"/>
  <c r="S134" i="1"/>
  <c r="P128" i="1"/>
  <c r="P101" i="1"/>
  <c r="R101" i="1"/>
  <c r="Q101" i="1"/>
  <c r="P97" i="1"/>
  <c r="R106" i="1"/>
  <c r="P106" i="1"/>
  <c r="R99" i="1"/>
  <c r="R107" i="1"/>
  <c r="R135" i="1"/>
  <c r="P135" i="1"/>
  <c r="R124" i="1"/>
  <c r="P124" i="1"/>
  <c r="R129" i="1"/>
  <c r="P129" i="1"/>
  <c r="R100" i="1"/>
  <c r="P100" i="1"/>
  <c r="R109" i="1"/>
  <c r="P109" i="1"/>
  <c r="P130" i="1"/>
  <c r="R130" i="1"/>
  <c r="P108" i="1"/>
  <c r="R104" i="1"/>
  <c r="P104" i="1"/>
  <c r="R95" i="1"/>
  <c r="R125" i="1"/>
  <c r="P125" i="1"/>
  <c r="R96" i="1"/>
  <c r="P96" i="1"/>
  <c r="AB96" i="1" s="1"/>
  <c r="R105" i="1"/>
  <c r="Q105" i="1"/>
  <c r="R126" i="1"/>
  <c r="P126" i="1"/>
  <c r="Q193" i="1"/>
  <c r="Q216" i="1"/>
  <c r="Q212" i="1"/>
  <c r="T146" i="1"/>
  <c r="Q170" i="1"/>
  <c r="Q200" i="1"/>
  <c r="R145" i="1"/>
  <c r="Q145" i="1"/>
  <c r="Q141" i="1"/>
  <c r="Q165" i="1"/>
  <c r="Q177" i="1"/>
  <c r="Q149" i="1"/>
  <c r="Q204" i="1"/>
  <c r="T194" i="1"/>
  <c r="Q194" i="1"/>
  <c r="Q142" i="1"/>
  <c r="Q154" i="1"/>
  <c r="Q190" i="1"/>
  <c r="Q209" i="1"/>
  <c r="Q157" i="1"/>
  <c r="T138" i="1"/>
  <c r="Q138" i="1"/>
  <c r="R186" i="1"/>
  <c r="Q147" i="1"/>
  <c r="Q183" i="1"/>
  <c r="Q151" i="1"/>
  <c r="T175" i="1"/>
  <c r="Q215" i="1"/>
  <c r="T191" i="1"/>
  <c r="R191" i="1"/>
  <c r="R156" i="1"/>
  <c r="R180" i="1"/>
  <c r="Q196" i="1"/>
  <c r="Q202" i="1"/>
  <c r="Q203" i="1"/>
  <c r="R174" i="1"/>
  <c r="T159" i="1"/>
  <c r="T201" i="1"/>
  <c r="Q201" i="1"/>
  <c r="T219" i="1"/>
  <c r="Q164" i="1"/>
  <c r="Q176" i="1"/>
  <c r="Q188" i="1"/>
  <c r="R197" i="1"/>
  <c r="Q211" i="1"/>
  <c r="Q169" i="1"/>
  <c r="Q218" i="1"/>
  <c r="T179" i="1"/>
  <c r="Q179" i="1"/>
  <c r="Q210" i="1"/>
  <c r="Q136" i="1"/>
  <c r="Q160" i="1"/>
  <c r="Q184" i="1"/>
  <c r="R198" i="1"/>
  <c r="Q198" i="1"/>
  <c r="Q144" i="1"/>
  <c r="U13" i="2"/>
  <c r="H78" i="2" s="1"/>
  <c r="H80" i="2" s="1"/>
  <c r="W5" i="2"/>
  <c r="W12" i="2" s="1"/>
  <c r="W16" i="2"/>
  <c r="W19" i="2" s="1"/>
  <c r="W20" i="2" s="1"/>
  <c r="V5" i="2"/>
  <c r="V12" i="2" s="1"/>
  <c r="V13" i="2" s="1"/>
  <c r="L78" i="2" s="1"/>
  <c r="L80" i="2" s="1"/>
  <c r="R83" i="2"/>
  <c r="F83" i="2"/>
  <c r="B11" i="2"/>
  <c r="Q83" i="2"/>
  <c r="E83" i="2"/>
  <c r="G35" i="2"/>
  <c r="P83" i="2"/>
  <c r="D83" i="2"/>
  <c r="Q59" i="2"/>
  <c r="E59" i="2"/>
  <c r="R35" i="2"/>
  <c r="F35" i="2"/>
  <c r="O83" i="2"/>
  <c r="C83" i="2"/>
  <c r="P59" i="2"/>
  <c r="D59" i="2"/>
  <c r="Q35" i="2"/>
  <c r="E35" i="2"/>
  <c r="K11" i="2"/>
  <c r="N83" i="2"/>
  <c r="B83" i="2"/>
  <c r="O59" i="2"/>
  <c r="C59" i="2"/>
  <c r="P35" i="2"/>
  <c r="D35" i="2"/>
  <c r="J11" i="2"/>
  <c r="L11" i="2"/>
  <c r="M83" i="2"/>
  <c r="N59" i="2"/>
  <c r="B59" i="2"/>
  <c r="O35" i="2"/>
  <c r="C35" i="2"/>
  <c r="I11" i="2"/>
  <c r="L83" i="2"/>
  <c r="M59" i="2"/>
  <c r="N35" i="2"/>
  <c r="B35" i="2"/>
  <c r="H11" i="2"/>
  <c r="H83" i="2"/>
  <c r="D11" i="2"/>
  <c r="F59" i="2"/>
  <c r="M11" i="2"/>
  <c r="K83" i="2"/>
  <c r="L59" i="2"/>
  <c r="M35" i="2"/>
  <c r="G11" i="2"/>
  <c r="I59" i="2"/>
  <c r="J35" i="2"/>
  <c r="J83" i="2"/>
  <c r="K59" i="2"/>
  <c r="L35" i="2"/>
  <c r="R11" i="2"/>
  <c r="F11" i="2"/>
  <c r="P11" i="2"/>
  <c r="R59" i="2"/>
  <c r="I83" i="2"/>
  <c r="J59" i="2"/>
  <c r="K35" i="2"/>
  <c r="Q11" i="2"/>
  <c r="E11" i="2"/>
  <c r="G83" i="2"/>
  <c r="H59" i="2"/>
  <c r="I35" i="2"/>
  <c r="O11" i="2"/>
  <c r="C11" i="2"/>
  <c r="G59" i="2"/>
  <c r="H35" i="2"/>
  <c r="N11" i="2"/>
  <c r="P20" i="1"/>
  <c r="P107" i="1" s="1"/>
  <c r="Q20" i="1"/>
  <c r="Q104" i="1" s="1"/>
  <c r="AL6" i="1"/>
  <c r="M9" i="1" s="1"/>
  <c r="M22" i="1" s="1"/>
  <c r="AM6" i="1"/>
  <c r="N9" i="1" s="1"/>
  <c r="L18" i="1"/>
  <c r="L216" i="1" s="1"/>
  <c r="L22" i="1"/>
  <c r="L32" i="1" s="1"/>
  <c r="O20" i="1"/>
  <c r="O134" i="1" s="1"/>
  <c r="S22" i="1"/>
  <c r="S18" i="1"/>
  <c r="S20" i="1"/>
  <c r="S124" i="1" s="1"/>
  <c r="R18" i="1"/>
  <c r="R140" i="1" s="1"/>
  <c r="R20" i="1"/>
  <c r="R114" i="1" s="1"/>
  <c r="R22" i="1"/>
  <c r="T22" i="1"/>
  <c r="T20" i="1"/>
  <c r="T104" i="1" s="1"/>
  <c r="P23" i="1"/>
  <c r="P34" i="1" s="1"/>
  <c r="P19" i="1"/>
  <c r="P22" i="1"/>
  <c r="P18" i="1"/>
  <c r="Q22" i="1"/>
  <c r="Q84" i="1" s="1"/>
  <c r="Q18" i="1"/>
  <c r="Q153" i="1" s="1"/>
  <c r="T18" i="1"/>
  <c r="R23" i="1"/>
  <c r="R19" i="1"/>
  <c r="R146" i="1" s="1"/>
  <c r="L20" i="1"/>
  <c r="S23" i="1"/>
  <c r="S51" i="1" s="1"/>
  <c r="S19" i="1"/>
  <c r="S193" i="1" s="1"/>
  <c r="T23" i="1"/>
  <c r="T19" i="1"/>
  <c r="O22" i="1"/>
  <c r="O31" i="1" s="1"/>
  <c r="O18" i="1"/>
  <c r="O152" i="1" s="1"/>
  <c r="AT6" i="1"/>
  <c r="U9" i="1" s="1"/>
  <c r="U22" i="1" s="1"/>
  <c r="U83" i="1" s="1"/>
  <c r="AI6" i="1"/>
  <c r="J9" i="1" s="1"/>
  <c r="J22" i="1" s="1"/>
  <c r="J65" i="1" s="1"/>
  <c r="AJ6" i="1"/>
  <c r="K9" i="1" s="1"/>
  <c r="K20" i="1" s="1"/>
  <c r="U19" i="1"/>
  <c r="J19" i="1"/>
  <c r="K19" i="1"/>
  <c r="O66" i="1" l="1"/>
  <c r="O48" i="1"/>
  <c r="O33" i="1"/>
  <c r="O50" i="1"/>
  <c r="O79" i="1"/>
  <c r="O54" i="1"/>
  <c r="L35" i="1"/>
  <c r="X35" i="1" s="1"/>
  <c r="L37" i="1"/>
  <c r="L68" i="1"/>
  <c r="X68" i="1" s="1"/>
  <c r="L38" i="1"/>
  <c r="R19" i="4"/>
  <c r="Q15" i="4"/>
  <c r="Q19" i="4"/>
  <c r="F19" i="4"/>
  <c r="J15" i="4"/>
  <c r="F23" i="4"/>
  <c r="D95" i="4"/>
  <c r="D87" i="4"/>
  <c r="K15" i="4"/>
  <c r="C71" i="4"/>
  <c r="Q39" i="4"/>
  <c r="C63" i="4"/>
  <c r="Q43" i="4"/>
  <c r="P161" i="1"/>
  <c r="P141" i="1"/>
  <c r="AB141" i="1" s="1"/>
  <c r="P187" i="1"/>
  <c r="P168" i="1"/>
  <c r="AB168" i="1" s="1"/>
  <c r="P172" i="1"/>
  <c r="AB172" i="1" s="1"/>
  <c r="P193" i="1"/>
  <c r="AB193" i="1" s="1"/>
  <c r="P182" i="1"/>
  <c r="AB182" i="1" s="1"/>
  <c r="P158" i="1"/>
  <c r="AB158" i="1" s="1"/>
  <c r="P176" i="1"/>
  <c r="AB176" i="1" s="1"/>
  <c r="P197" i="1"/>
  <c r="P171" i="1"/>
  <c r="AB171" i="1" s="1"/>
  <c r="P184" i="1"/>
  <c r="AB184" i="1" s="1"/>
  <c r="P163" i="1"/>
  <c r="P215" i="1"/>
  <c r="P195" i="1"/>
  <c r="AB195" i="1" s="1"/>
  <c r="P202" i="1"/>
  <c r="AB202" i="1" s="1"/>
  <c r="P147" i="1"/>
  <c r="AB147" i="1" s="1"/>
  <c r="P212" i="1"/>
  <c r="AB212" i="1" s="1"/>
  <c r="P146" i="1"/>
  <c r="AB146" i="1" s="1"/>
  <c r="P138" i="1"/>
  <c r="P151" i="1"/>
  <c r="P150" i="1"/>
  <c r="AB150" i="1" s="1"/>
  <c r="P148" i="1"/>
  <c r="AB148" i="1" s="1"/>
  <c r="O109" i="1"/>
  <c r="AA109" i="1" s="1"/>
  <c r="Q103" i="1"/>
  <c r="S49" i="1"/>
  <c r="S198" i="1"/>
  <c r="AE198" i="1" s="1"/>
  <c r="S162" i="1"/>
  <c r="O176" i="1"/>
  <c r="AA176" i="1" s="1"/>
  <c r="O219" i="1"/>
  <c r="AA219" i="1" s="1"/>
  <c r="O175" i="1"/>
  <c r="AA175" i="1" s="1"/>
  <c r="O149" i="1"/>
  <c r="O200" i="1"/>
  <c r="S216" i="1"/>
  <c r="AE216" i="1" s="1"/>
  <c r="Q110" i="1"/>
  <c r="AC110" i="1" s="1"/>
  <c r="T127" i="1"/>
  <c r="AF127" i="1" s="1"/>
  <c r="S32" i="1"/>
  <c r="Q113" i="1"/>
  <c r="T82" i="1"/>
  <c r="AF82" i="1" s="1"/>
  <c r="N20" i="1"/>
  <c r="N22" i="1"/>
  <c r="P210" i="1"/>
  <c r="AB210" i="1" s="1"/>
  <c r="P177" i="1"/>
  <c r="AB177" i="1" s="1"/>
  <c r="O170" i="1"/>
  <c r="O99" i="1"/>
  <c r="AA99" i="1" s="1"/>
  <c r="Q65" i="1"/>
  <c r="AC65" i="1" s="1"/>
  <c r="Q69" i="1"/>
  <c r="AC69" i="1" s="1"/>
  <c r="J84" i="1"/>
  <c r="V84" i="1" s="1"/>
  <c r="S113" i="1"/>
  <c r="O196" i="1"/>
  <c r="O205" i="1"/>
  <c r="AA205" i="1" s="1"/>
  <c r="S151" i="1"/>
  <c r="AE151" i="1" s="1"/>
  <c r="S186" i="1"/>
  <c r="AE186" i="1" s="1"/>
  <c r="P170" i="1"/>
  <c r="AB170" i="1" s="1"/>
  <c r="S96" i="1"/>
  <c r="AE96" i="1" s="1"/>
  <c r="O133" i="1"/>
  <c r="AA133" i="1" s="1"/>
  <c r="U35" i="1"/>
  <c r="J66" i="1"/>
  <c r="U86" i="1"/>
  <c r="AG86" i="1" s="1"/>
  <c r="S164" i="1"/>
  <c r="AE164" i="1" s="1"/>
  <c r="O160" i="1"/>
  <c r="AA160" i="1" s="1"/>
  <c r="P194" i="1"/>
  <c r="P190" i="1"/>
  <c r="AB190" i="1" s="1"/>
  <c r="P218" i="1"/>
  <c r="AB218" i="1" s="1"/>
  <c r="T73" i="1"/>
  <c r="AF73" i="1" s="1"/>
  <c r="T88" i="1"/>
  <c r="AF88" i="1" s="1"/>
  <c r="T42" i="1"/>
  <c r="AF42" i="1" s="1"/>
  <c r="T41" i="1"/>
  <c r="AF41" i="1" s="1"/>
  <c r="T55" i="1"/>
  <c r="AF55" i="1" s="1"/>
  <c r="T43" i="1"/>
  <c r="AF43" i="1" s="1"/>
  <c r="T39" i="1"/>
  <c r="AF39" i="1" s="1"/>
  <c r="T40" i="1"/>
  <c r="AF40" i="1" s="1"/>
  <c r="T56" i="1"/>
  <c r="AF56" i="1" s="1"/>
  <c r="T46" i="1"/>
  <c r="AF46" i="1" s="1"/>
  <c r="T44" i="1"/>
  <c r="AF44" i="1" s="1"/>
  <c r="T77" i="1"/>
  <c r="AF77" i="1" s="1"/>
  <c r="T78" i="1"/>
  <c r="AF78" i="1" s="1"/>
  <c r="T57" i="1"/>
  <c r="AF57" i="1" s="1"/>
  <c r="T58" i="1"/>
  <c r="AF58" i="1" s="1"/>
  <c r="T74" i="1"/>
  <c r="AF74" i="1" s="1"/>
  <c r="T90" i="1"/>
  <c r="AF90" i="1" s="1"/>
  <c r="T94" i="1"/>
  <c r="AF94" i="1" s="1"/>
  <c r="T76" i="1"/>
  <c r="AF76" i="1" s="1"/>
  <c r="T92" i="1"/>
  <c r="AF92" i="1" s="1"/>
  <c r="T93" i="1"/>
  <c r="AF93" i="1" s="1"/>
  <c r="T75" i="1"/>
  <c r="AF75" i="1" s="1"/>
  <c r="T59" i="1"/>
  <c r="AF59" i="1" s="1"/>
  <c r="T72" i="1"/>
  <c r="AF72" i="1" s="1"/>
  <c r="T87" i="1"/>
  <c r="AF87" i="1" s="1"/>
  <c r="T91" i="1"/>
  <c r="AF91" i="1" s="1"/>
  <c r="T45" i="1"/>
  <c r="AF45" i="1" s="1"/>
  <c r="T62" i="1"/>
  <c r="AF62" i="1" s="1"/>
  <c r="T71" i="1"/>
  <c r="AF71" i="1" s="1"/>
  <c r="T60" i="1"/>
  <c r="AF60" i="1" s="1"/>
  <c r="T89" i="1"/>
  <c r="AF89" i="1" s="1"/>
  <c r="T61" i="1"/>
  <c r="AF61" i="1" s="1"/>
  <c r="T80" i="1"/>
  <c r="AF80" i="1" s="1"/>
  <c r="T66" i="1"/>
  <c r="T48" i="1"/>
  <c r="AF48" i="1" s="1"/>
  <c r="T51" i="1"/>
  <c r="AF51" i="1" s="1"/>
  <c r="T63" i="1"/>
  <c r="AF63" i="1" s="1"/>
  <c r="T79" i="1"/>
  <c r="AF79" i="1" s="1"/>
  <c r="T53" i="1"/>
  <c r="AF53" i="1" s="1"/>
  <c r="T50" i="1"/>
  <c r="S180" i="1"/>
  <c r="O189" i="1"/>
  <c r="AA189" i="1" s="1"/>
  <c r="O177" i="1"/>
  <c r="AA177" i="1" s="1"/>
  <c r="O173" i="1"/>
  <c r="AA173" i="1" s="1"/>
  <c r="O194" i="1"/>
  <c r="AA194" i="1" s="1"/>
  <c r="O213" i="1"/>
  <c r="O138" i="1"/>
  <c r="AA138" i="1" s="1"/>
  <c r="O167" i="1"/>
  <c r="AA167" i="1" s="1"/>
  <c r="O203" i="1"/>
  <c r="AA203" i="1" s="1"/>
  <c r="O188" i="1"/>
  <c r="AA188" i="1" s="1"/>
  <c r="O136" i="1"/>
  <c r="AA136" i="1" s="1"/>
  <c r="O198" i="1"/>
  <c r="O216" i="1"/>
  <c r="AA216" i="1" s="1"/>
  <c r="O217" i="1"/>
  <c r="AA217" i="1" s="1"/>
  <c r="O141" i="1"/>
  <c r="AA141" i="1" s="1"/>
  <c r="O187" i="1"/>
  <c r="AA187" i="1" s="1"/>
  <c r="O199" i="1"/>
  <c r="AA199" i="1" s="1"/>
  <c r="O201" i="1"/>
  <c r="O164" i="1"/>
  <c r="O169" i="1"/>
  <c r="O168" i="1"/>
  <c r="AA168" i="1" s="1"/>
  <c r="O153" i="1"/>
  <c r="AA153" i="1" s="1"/>
  <c r="O137" i="1"/>
  <c r="AA137" i="1" s="1"/>
  <c r="O212" i="1"/>
  <c r="AA212" i="1" s="1"/>
  <c r="O165" i="1"/>
  <c r="AA165" i="1" s="1"/>
  <c r="O154" i="1"/>
  <c r="AA154" i="1" s="1"/>
  <c r="O190" i="1"/>
  <c r="AA190" i="1" s="1"/>
  <c r="O186" i="1"/>
  <c r="AA186" i="1" s="1"/>
  <c r="O214" i="1"/>
  <c r="AA214" i="1" s="1"/>
  <c r="O180" i="1"/>
  <c r="O155" i="1"/>
  <c r="AA155" i="1" s="1"/>
  <c r="O210" i="1"/>
  <c r="AA210" i="1" s="1"/>
  <c r="O185" i="1"/>
  <c r="AA185" i="1" s="1"/>
  <c r="O208" i="1"/>
  <c r="AA208" i="1" s="1"/>
  <c r="O182" i="1"/>
  <c r="AA182" i="1" s="1"/>
  <c r="O181" i="1"/>
  <c r="O159" i="1"/>
  <c r="AA159" i="1" s="1"/>
  <c r="O158" i="1"/>
  <c r="AA158" i="1" s="1"/>
  <c r="O166" i="1"/>
  <c r="AA166" i="1" s="1"/>
  <c r="O163" i="1"/>
  <c r="AA163" i="1" s="1"/>
  <c r="O215" i="1"/>
  <c r="AA215" i="1" s="1"/>
  <c r="O195" i="1"/>
  <c r="AA195" i="1" s="1"/>
  <c r="O202" i="1"/>
  <c r="O207" i="1"/>
  <c r="AA207" i="1" s="1"/>
  <c r="O178" i="1"/>
  <c r="AA178" i="1" s="1"/>
  <c r="O157" i="1"/>
  <c r="AA157" i="1" s="1"/>
  <c r="O147" i="1"/>
  <c r="AA147" i="1" s="1"/>
  <c r="O172" i="1"/>
  <c r="AA172" i="1" s="1"/>
  <c r="O193" i="1"/>
  <c r="AA193" i="1" s="1"/>
  <c r="O142" i="1"/>
  <c r="AA142" i="1" s="1"/>
  <c r="O209" i="1"/>
  <c r="AA209" i="1" s="1"/>
  <c r="O183" i="1"/>
  <c r="AA183" i="1" s="1"/>
  <c r="O191" i="1"/>
  <c r="AA191" i="1" s="1"/>
  <c r="O192" i="1"/>
  <c r="AA192" i="1" s="1"/>
  <c r="O162" i="1"/>
  <c r="O143" i="1"/>
  <c r="AA143" i="1" s="1"/>
  <c r="O184" i="1"/>
  <c r="AA184" i="1" s="1"/>
  <c r="O144" i="1"/>
  <c r="AA144" i="1" s="1"/>
  <c r="O197" i="1"/>
  <c r="AA197" i="1" s="1"/>
  <c r="O146" i="1"/>
  <c r="O145" i="1"/>
  <c r="O151" i="1"/>
  <c r="AA151" i="1" s="1"/>
  <c r="O156" i="1"/>
  <c r="AA156" i="1" s="1"/>
  <c r="O120" i="1"/>
  <c r="AA120" i="1" s="1"/>
  <c r="O116" i="1"/>
  <c r="AA116" i="1" s="1"/>
  <c r="O119" i="1"/>
  <c r="AA119" i="1" s="1"/>
  <c r="O122" i="1"/>
  <c r="AA122" i="1" s="1"/>
  <c r="O118" i="1"/>
  <c r="AA118" i="1" s="1"/>
  <c r="O117" i="1"/>
  <c r="AA117" i="1" s="1"/>
  <c r="O123" i="1"/>
  <c r="AA123" i="1" s="1"/>
  <c r="O121" i="1"/>
  <c r="AA121" i="1" s="1"/>
  <c r="O115" i="1"/>
  <c r="O131" i="1"/>
  <c r="O132" i="1"/>
  <c r="AA132" i="1" s="1"/>
  <c r="O102" i="1"/>
  <c r="AA102" i="1" s="1"/>
  <c r="O97" i="1"/>
  <c r="AA97" i="1" s="1"/>
  <c r="O135" i="1"/>
  <c r="AA135" i="1" s="1"/>
  <c r="O129" i="1"/>
  <c r="AA129" i="1" s="1"/>
  <c r="O126" i="1"/>
  <c r="O103" i="1"/>
  <c r="O101" i="1"/>
  <c r="AA101" i="1" s="1"/>
  <c r="O113" i="1"/>
  <c r="AA113" i="1" s="1"/>
  <c r="O127" i="1"/>
  <c r="AA127" i="1" s="1"/>
  <c r="O128" i="1"/>
  <c r="AA128" i="1" s="1"/>
  <c r="O124" i="1"/>
  <c r="AA124" i="1" s="1"/>
  <c r="O108" i="1"/>
  <c r="AA108" i="1" s="1"/>
  <c r="O95" i="1"/>
  <c r="AA95" i="1" s="1"/>
  <c r="O96" i="1"/>
  <c r="AA96" i="1" s="1"/>
  <c r="O114" i="1"/>
  <c r="AA114" i="1" s="1"/>
  <c r="O112" i="1"/>
  <c r="O125" i="1"/>
  <c r="AA125" i="1" s="1"/>
  <c r="O106" i="1"/>
  <c r="O104" i="1"/>
  <c r="AA104" i="1" s="1"/>
  <c r="P136" i="1"/>
  <c r="AB136" i="1" s="1"/>
  <c r="O218" i="1"/>
  <c r="AA218" i="1" s="1"/>
  <c r="P188" i="1"/>
  <c r="P203" i="1"/>
  <c r="P183" i="1"/>
  <c r="AB183" i="1" s="1"/>
  <c r="O107" i="1"/>
  <c r="AA107" i="1" s="1"/>
  <c r="T122" i="1"/>
  <c r="AF122" i="1" s="1"/>
  <c r="T118" i="1"/>
  <c r="AF118" i="1" s="1"/>
  <c r="T123" i="1"/>
  <c r="AF123" i="1" s="1"/>
  <c r="T119" i="1"/>
  <c r="AF119" i="1" s="1"/>
  <c r="T121" i="1"/>
  <c r="AF121" i="1" s="1"/>
  <c r="T117" i="1"/>
  <c r="AF117" i="1" s="1"/>
  <c r="T120" i="1"/>
  <c r="AF120" i="1" s="1"/>
  <c r="T116" i="1"/>
  <c r="AF116" i="1" s="1"/>
  <c r="T114" i="1"/>
  <c r="T99" i="1"/>
  <c r="T108" i="1"/>
  <c r="AF108" i="1" s="1"/>
  <c r="T96" i="1"/>
  <c r="AF96" i="1" s="1"/>
  <c r="T132" i="1"/>
  <c r="AF132" i="1" s="1"/>
  <c r="T102" i="1"/>
  <c r="T129" i="1"/>
  <c r="AF129" i="1" s="1"/>
  <c r="T133" i="1"/>
  <c r="AF133" i="1" s="1"/>
  <c r="T135" i="1"/>
  <c r="AF135" i="1" s="1"/>
  <c r="T109" i="1"/>
  <c r="AF109" i="1" s="1"/>
  <c r="T126" i="1"/>
  <c r="AF126" i="1" s="1"/>
  <c r="T112" i="1"/>
  <c r="AF112" i="1" s="1"/>
  <c r="T111" i="1"/>
  <c r="T128" i="1"/>
  <c r="AF128" i="1" s="1"/>
  <c r="T97" i="1"/>
  <c r="AF97" i="1" s="1"/>
  <c r="T95" i="1"/>
  <c r="AF95" i="1" s="1"/>
  <c r="T113" i="1"/>
  <c r="AF113" i="1" s="1"/>
  <c r="T110" i="1"/>
  <c r="T101" i="1"/>
  <c r="T107" i="1"/>
  <c r="AF107" i="1" s="1"/>
  <c r="T124" i="1"/>
  <c r="AF124" i="1" s="1"/>
  <c r="T125" i="1"/>
  <c r="AF125" i="1" s="1"/>
  <c r="T106" i="1"/>
  <c r="AF106" i="1" s="1"/>
  <c r="T105" i="1"/>
  <c r="AF105" i="1" s="1"/>
  <c r="M51" i="1"/>
  <c r="Y51" i="1" s="1"/>
  <c r="M59" i="1"/>
  <c r="Y59" i="1" s="1"/>
  <c r="M44" i="1"/>
  <c r="Y44" i="1" s="1"/>
  <c r="M76" i="1"/>
  <c r="Y76" i="1" s="1"/>
  <c r="M40" i="1"/>
  <c r="Y40" i="1" s="1"/>
  <c r="M91" i="1"/>
  <c r="Y91" i="1" s="1"/>
  <c r="M75" i="1"/>
  <c r="Y75" i="1" s="1"/>
  <c r="M74" i="1"/>
  <c r="Y74" i="1" s="1"/>
  <c r="M45" i="1"/>
  <c r="Y45" i="1" s="1"/>
  <c r="M73" i="1"/>
  <c r="Y73" i="1" s="1"/>
  <c r="M77" i="1"/>
  <c r="Y77" i="1" s="1"/>
  <c r="M92" i="1"/>
  <c r="Y92" i="1" s="1"/>
  <c r="M90" i="1"/>
  <c r="Y90" i="1" s="1"/>
  <c r="M72" i="1"/>
  <c r="Y72" i="1" s="1"/>
  <c r="M93" i="1"/>
  <c r="Y93" i="1" s="1"/>
  <c r="M42" i="1"/>
  <c r="Y42" i="1" s="1"/>
  <c r="M61" i="1"/>
  <c r="Y61" i="1" s="1"/>
  <c r="M89" i="1"/>
  <c r="Y89" i="1" s="1"/>
  <c r="M43" i="1"/>
  <c r="Y43" i="1" s="1"/>
  <c r="M41" i="1"/>
  <c r="Y41" i="1" s="1"/>
  <c r="M56" i="1"/>
  <c r="Y56" i="1" s="1"/>
  <c r="M39" i="1"/>
  <c r="Y39" i="1" s="1"/>
  <c r="M58" i="1"/>
  <c r="Y58" i="1" s="1"/>
  <c r="M60" i="1"/>
  <c r="Y60" i="1" s="1"/>
  <c r="M55" i="1"/>
  <c r="Y55" i="1" s="1"/>
  <c r="M88" i="1"/>
  <c r="Y88" i="1" s="1"/>
  <c r="M78" i="1"/>
  <c r="Y78" i="1" s="1"/>
  <c r="M71" i="1"/>
  <c r="Y71" i="1" s="1"/>
  <c r="M94" i="1"/>
  <c r="Y94" i="1" s="1"/>
  <c r="M62" i="1"/>
  <c r="Y62" i="1" s="1"/>
  <c r="M46" i="1"/>
  <c r="Y46" i="1" s="1"/>
  <c r="M57" i="1"/>
  <c r="Y57" i="1" s="1"/>
  <c r="M87" i="1"/>
  <c r="Y87" i="1" s="1"/>
  <c r="S184" i="1"/>
  <c r="AE184" i="1" s="1"/>
  <c r="O179" i="1"/>
  <c r="AA179" i="1" s="1"/>
  <c r="Q119" i="1"/>
  <c r="AC119" i="1" s="1"/>
  <c r="Q122" i="1"/>
  <c r="AC122" i="1" s="1"/>
  <c r="Q118" i="1"/>
  <c r="AC118" i="1" s="1"/>
  <c r="Q121" i="1"/>
  <c r="AC121" i="1" s="1"/>
  <c r="Q123" i="1"/>
  <c r="AC123" i="1" s="1"/>
  <c r="Q117" i="1"/>
  <c r="AC117" i="1" s="1"/>
  <c r="Q116" i="1"/>
  <c r="AC116" i="1" s="1"/>
  <c r="Q120" i="1"/>
  <c r="AC120" i="1" s="1"/>
  <c r="Q132" i="1"/>
  <c r="AC132" i="1" s="1"/>
  <c r="Q99" i="1"/>
  <c r="AC99" i="1" s="1"/>
  <c r="Q96" i="1"/>
  <c r="AC96" i="1" s="1"/>
  <c r="Q126" i="1"/>
  <c r="AC126" i="1" s="1"/>
  <c r="Q127" i="1"/>
  <c r="AC127" i="1" s="1"/>
  <c r="Q112" i="1"/>
  <c r="AC112" i="1" s="1"/>
  <c r="Q111" i="1"/>
  <c r="Q135" i="1"/>
  <c r="AC135" i="1" s="1"/>
  <c r="Q109" i="1"/>
  <c r="AC109" i="1" s="1"/>
  <c r="Q114" i="1"/>
  <c r="AC114" i="1" s="1"/>
  <c r="Q128" i="1"/>
  <c r="Q97" i="1"/>
  <c r="AC97" i="1" s="1"/>
  <c r="Q129" i="1"/>
  <c r="AC129" i="1" s="1"/>
  <c r="Q108" i="1"/>
  <c r="AC108" i="1" s="1"/>
  <c r="Q133" i="1"/>
  <c r="AC133" i="1" s="1"/>
  <c r="Q130" i="1"/>
  <c r="AC130" i="1" s="1"/>
  <c r="Q115" i="1"/>
  <c r="AC115" i="1" s="1"/>
  <c r="Q98" i="1"/>
  <c r="Q134" i="1"/>
  <c r="Q107" i="1"/>
  <c r="S169" i="1"/>
  <c r="AE169" i="1" s="1"/>
  <c r="P196" i="1"/>
  <c r="AB196" i="1" s="1"/>
  <c r="O150" i="1"/>
  <c r="AA150" i="1" s="1"/>
  <c r="Q100" i="1"/>
  <c r="T103" i="1"/>
  <c r="AF103" i="1" s="1"/>
  <c r="L128" i="1"/>
  <c r="X128" i="1" s="1"/>
  <c r="L118" i="1"/>
  <c r="X118" i="1" s="1"/>
  <c r="L121" i="1"/>
  <c r="X121" i="1" s="1"/>
  <c r="L117" i="1"/>
  <c r="X117" i="1" s="1"/>
  <c r="L116" i="1"/>
  <c r="X116" i="1" s="1"/>
  <c r="L120" i="1"/>
  <c r="X120" i="1" s="1"/>
  <c r="L122" i="1"/>
  <c r="X122" i="1" s="1"/>
  <c r="L123" i="1"/>
  <c r="X123" i="1" s="1"/>
  <c r="L119" i="1"/>
  <c r="X119" i="1" s="1"/>
  <c r="L112" i="1"/>
  <c r="X112" i="1" s="1"/>
  <c r="P159" i="1"/>
  <c r="AB159" i="1" s="1"/>
  <c r="S139" i="1"/>
  <c r="AE139" i="1" s="1"/>
  <c r="Q102" i="1"/>
  <c r="AC102" i="1" s="1"/>
  <c r="Q131" i="1"/>
  <c r="AC131" i="1" s="1"/>
  <c r="S199" i="1"/>
  <c r="AE199" i="1" s="1"/>
  <c r="O100" i="1"/>
  <c r="AA100" i="1" s="1"/>
  <c r="Q106" i="1"/>
  <c r="T131" i="1"/>
  <c r="P143" i="1"/>
  <c r="AB143" i="1" s="1"/>
  <c r="O211" i="1"/>
  <c r="AA211" i="1" s="1"/>
  <c r="S157" i="1"/>
  <c r="AE157" i="1" s="1"/>
  <c r="S141" i="1"/>
  <c r="Q125" i="1"/>
  <c r="O98" i="1"/>
  <c r="AA98" i="1" s="1"/>
  <c r="K114" i="1"/>
  <c r="W114" i="1" s="1"/>
  <c r="K122" i="1"/>
  <c r="W122" i="1" s="1"/>
  <c r="K120" i="1"/>
  <c r="W120" i="1" s="1"/>
  <c r="K118" i="1"/>
  <c r="W118" i="1" s="1"/>
  <c r="K121" i="1"/>
  <c r="W121" i="1" s="1"/>
  <c r="K119" i="1"/>
  <c r="W119" i="1" s="1"/>
  <c r="K116" i="1"/>
  <c r="W116" i="1" s="1"/>
  <c r="K123" i="1"/>
  <c r="W123" i="1" s="1"/>
  <c r="K117" i="1"/>
  <c r="W117" i="1" s="1"/>
  <c r="T169" i="1"/>
  <c r="T183" i="1"/>
  <c r="T167" i="1"/>
  <c r="T149" i="1"/>
  <c r="AF149" i="1" s="1"/>
  <c r="T196" i="1"/>
  <c r="AF196" i="1" s="1"/>
  <c r="T189" i="1"/>
  <c r="AF189" i="1" s="1"/>
  <c r="T213" i="1"/>
  <c r="AF213" i="1" s="1"/>
  <c r="T157" i="1"/>
  <c r="AF157" i="1" s="1"/>
  <c r="T171" i="1"/>
  <c r="T210" i="1"/>
  <c r="S123" i="1"/>
  <c r="AE123" i="1" s="1"/>
  <c r="S117" i="1"/>
  <c r="AE117" i="1" s="1"/>
  <c r="S119" i="1"/>
  <c r="AE119" i="1" s="1"/>
  <c r="S120" i="1"/>
  <c r="AE120" i="1" s="1"/>
  <c r="S116" i="1"/>
  <c r="AE116" i="1" s="1"/>
  <c r="S121" i="1"/>
  <c r="AE121" i="1" s="1"/>
  <c r="S122" i="1"/>
  <c r="AE122" i="1" s="1"/>
  <c r="S118" i="1"/>
  <c r="AE118" i="1" s="1"/>
  <c r="S114" i="1"/>
  <c r="AE114" i="1" s="1"/>
  <c r="S98" i="1"/>
  <c r="S128" i="1"/>
  <c r="S107" i="1"/>
  <c r="AE107" i="1" s="1"/>
  <c r="S104" i="1"/>
  <c r="AE104" i="1" s="1"/>
  <c r="S131" i="1"/>
  <c r="AE131" i="1" s="1"/>
  <c r="S110" i="1"/>
  <c r="S106" i="1"/>
  <c r="AE106" i="1" s="1"/>
  <c r="S130" i="1"/>
  <c r="AE130" i="1" s="1"/>
  <c r="S135" i="1"/>
  <c r="AE135" i="1" s="1"/>
  <c r="S95" i="1"/>
  <c r="AE95" i="1" s="1"/>
  <c r="S127" i="1"/>
  <c r="AE127" i="1" s="1"/>
  <c r="S133" i="1"/>
  <c r="AE133" i="1" s="1"/>
  <c r="S97" i="1"/>
  <c r="S102" i="1"/>
  <c r="AE102" i="1" s="1"/>
  <c r="S99" i="1"/>
  <c r="AE99" i="1" s="1"/>
  <c r="S111" i="1"/>
  <c r="AE111" i="1" s="1"/>
  <c r="S109" i="1"/>
  <c r="AE109" i="1" s="1"/>
  <c r="S108" i="1"/>
  <c r="S126" i="1"/>
  <c r="AE126" i="1" s="1"/>
  <c r="S103" i="1"/>
  <c r="AE103" i="1" s="1"/>
  <c r="S101" i="1"/>
  <c r="AE101" i="1" s="1"/>
  <c r="S100" i="1"/>
  <c r="AE100" i="1" s="1"/>
  <c r="S125" i="1"/>
  <c r="AE125" i="1" s="1"/>
  <c r="S148" i="1"/>
  <c r="AE148" i="1" s="1"/>
  <c r="O171" i="1"/>
  <c r="AA171" i="1" s="1"/>
  <c r="P211" i="1"/>
  <c r="AB211" i="1" s="1"/>
  <c r="P152" i="1"/>
  <c r="O174" i="1"/>
  <c r="AA174" i="1" s="1"/>
  <c r="O206" i="1"/>
  <c r="AA206" i="1" s="1"/>
  <c r="T214" i="1"/>
  <c r="AF214" i="1" s="1"/>
  <c r="O161" i="1"/>
  <c r="O130" i="1"/>
  <c r="AA130" i="1" s="1"/>
  <c r="T100" i="1"/>
  <c r="AF100" i="1" s="1"/>
  <c r="T134" i="1"/>
  <c r="AF134" i="1" s="1"/>
  <c r="T98" i="1"/>
  <c r="AF98" i="1" s="1"/>
  <c r="U63" i="1"/>
  <c r="AG63" i="1" s="1"/>
  <c r="T115" i="1"/>
  <c r="J87" i="1"/>
  <c r="V87" i="1" s="1"/>
  <c r="J93" i="1"/>
  <c r="V93" i="1" s="1"/>
  <c r="J78" i="1"/>
  <c r="V78" i="1" s="1"/>
  <c r="J90" i="1"/>
  <c r="V90" i="1" s="1"/>
  <c r="J71" i="1"/>
  <c r="V71" i="1" s="1"/>
  <c r="J45" i="1"/>
  <c r="V45" i="1" s="1"/>
  <c r="J58" i="1"/>
  <c r="V58" i="1" s="1"/>
  <c r="J73" i="1"/>
  <c r="V73" i="1" s="1"/>
  <c r="J39" i="1"/>
  <c r="V39" i="1" s="1"/>
  <c r="J89" i="1"/>
  <c r="V89" i="1" s="1"/>
  <c r="J59" i="1"/>
  <c r="V59" i="1" s="1"/>
  <c r="J43" i="1"/>
  <c r="V43" i="1" s="1"/>
  <c r="J41" i="1"/>
  <c r="V41" i="1" s="1"/>
  <c r="J77" i="1"/>
  <c r="V77" i="1" s="1"/>
  <c r="J55" i="1"/>
  <c r="V55" i="1" s="1"/>
  <c r="J94" i="1"/>
  <c r="V94" i="1" s="1"/>
  <c r="J91" i="1"/>
  <c r="V91" i="1" s="1"/>
  <c r="J44" i="1"/>
  <c r="V44" i="1" s="1"/>
  <c r="J61" i="1"/>
  <c r="V61" i="1" s="1"/>
  <c r="J46" i="1"/>
  <c r="V46" i="1" s="1"/>
  <c r="J88" i="1"/>
  <c r="V88" i="1" s="1"/>
  <c r="J92" i="1"/>
  <c r="V92" i="1" s="1"/>
  <c r="J76" i="1"/>
  <c r="V76" i="1" s="1"/>
  <c r="J40" i="1"/>
  <c r="V40" i="1" s="1"/>
  <c r="J62" i="1"/>
  <c r="V62" i="1" s="1"/>
  <c r="J74" i="1"/>
  <c r="V74" i="1" s="1"/>
  <c r="J57" i="1"/>
  <c r="V57" i="1" s="1"/>
  <c r="J42" i="1"/>
  <c r="V42" i="1" s="1"/>
  <c r="J56" i="1"/>
  <c r="V56" i="1" s="1"/>
  <c r="J60" i="1"/>
  <c r="V60" i="1" s="1"/>
  <c r="J75" i="1"/>
  <c r="V75" i="1" s="1"/>
  <c r="J72" i="1"/>
  <c r="V72" i="1" s="1"/>
  <c r="J68" i="1"/>
  <c r="V68" i="1" s="1"/>
  <c r="J32" i="1"/>
  <c r="V32" i="1" s="1"/>
  <c r="J37" i="1"/>
  <c r="V37" i="1" s="1"/>
  <c r="J86" i="1"/>
  <c r="V86" i="1" s="1"/>
  <c r="J50" i="1"/>
  <c r="J35" i="1"/>
  <c r="V35" i="1" s="1"/>
  <c r="J52" i="1"/>
  <c r="V52" i="1" s="1"/>
  <c r="J48" i="1"/>
  <c r="V48" i="1" s="1"/>
  <c r="J64" i="1"/>
  <c r="J51" i="1"/>
  <c r="J38" i="1"/>
  <c r="V38" i="1" s="1"/>
  <c r="J80" i="1"/>
  <c r="V80" i="1" s="1"/>
  <c r="J67" i="1"/>
  <c r="V67" i="1" s="1"/>
  <c r="J33" i="1"/>
  <c r="V33" i="1" s="1"/>
  <c r="J85" i="1"/>
  <c r="V85" i="1" s="1"/>
  <c r="J47" i="1"/>
  <c r="J53" i="1"/>
  <c r="J63" i="1"/>
  <c r="V63" i="1" s="1"/>
  <c r="J36" i="1"/>
  <c r="V36" i="1" s="1"/>
  <c r="Q199" i="1"/>
  <c r="AC199" i="1" s="1"/>
  <c r="Q192" i="1"/>
  <c r="Q159" i="1"/>
  <c r="Q172" i="1"/>
  <c r="AC172" i="1" s="1"/>
  <c r="Q146" i="1"/>
  <c r="AC146" i="1" s="1"/>
  <c r="Q178" i="1"/>
  <c r="AC178" i="1" s="1"/>
  <c r="Q195" i="1"/>
  <c r="AC195" i="1" s="1"/>
  <c r="Q219" i="1"/>
  <c r="AC219" i="1" s="1"/>
  <c r="Q139" i="1"/>
  <c r="Q175" i="1"/>
  <c r="AC175" i="1" s="1"/>
  <c r="Q206" i="1"/>
  <c r="Q150" i="1"/>
  <c r="AC150" i="1" s="1"/>
  <c r="Q191" i="1"/>
  <c r="AC191" i="1" s="1"/>
  <c r="Q174" i="1"/>
  <c r="Q162" i="1"/>
  <c r="Q148" i="1"/>
  <c r="AC148" i="1" s="1"/>
  <c r="Q207" i="1"/>
  <c r="AC207" i="1" s="1"/>
  <c r="Q213" i="1"/>
  <c r="AC213" i="1" s="1"/>
  <c r="Q186" i="1"/>
  <c r="AC186" i="1" s="1"/>
  <c r="Q205" i="1"/>
  <c r="AC205" i="1" s="1"/>
  <c r="Q185" i="1"/>
  <c r="AC185" i="1" s="1"/>
  <c r="Q166" i="1"/>
  <c r="Q214" i="1"/>
  <c r="AC214" i="1" s="1"/>
  <c r="Q163" i="1"/>
  <c r="AC163" i="1" s="1"/>
  <c r="Q168" i="1"/>
  <c r="AC168" i="1" s="1"/>
  <c r="Q189" i="1"/>
  <c r="AC189" i="1" s="1"/>
  <c r="Q181" i="1"/>
  <c r="Q208" i="1"/>
  <c r="AC208" i="1" s="1"/>
  <c r="Q167" i="1"/>
  <c r="AC167" i="1" s="1"/>
  <c r="Q182" i="1"/>
  <c r="AC182" i="1" s="1"/>
  <c r="Q158" i="1"/>
  <c r="AC158" i="1" s="1"/>
  <c r="Q180" i="1"/>
  <c r="AC180" i="1" s="1"/>
  <c r="Q140" i="1"/>
  <c r="Q171" i="1"/>
  <c r="Q217" i="1"/>
  <c r="AC217" i="1" s="1"/>
  <c r="Q197" i="1"/>
  <c r="AC197" i="1" s="1"/>
  <c r="Q155" i="1"/>
  <c r="AC155" i="1" s="1"/>
  <c r="Q143" i="1"/>
  <c r="AC143" i="1" s="1"/>
  <c r="Q137" i="1"/>
  <c r="AC137" i="1" s="1"/>
  <c r="Q173" i="1"/>
  <c r="AC173" i="1" s="1"/>
  <c r="Q187" i="1"/>
  <c r="AC187" i="1" s="1"/>
  <c r="Q152" i="1"/>
  <c r="AC152" i="1" s="1"/>
  <c r="S147" i="1"/>
  <c r="AE147" i="1" s="1"/>
  <c r="S163" i="1"/>
  <c r="AE163" i="1" s="1"/>
  <c r="S219" i="1"/>
  <c r="AE219" i="1" s="1"/>
  <c r="S179" i="1"/>
  <c r="AE179" i="1" s="1"/>
  <c r="S144" i="1"/>
  <c r="AE144" i="1" s="1"/>
  <c r="S196" i="1"/>
  <c r="AE196" i="1" s="1"/>
  <c r="S197" i="1"/>
  <c r="AE197" i="1" s="1"/>
  <c r="S218" i="1"/>
  <c r="S185" i="1"/>
  <c r="S138" i="1"/>
  <c r="AE138" i="1" s="1"/>
  <c r="S145" i="1"/>
  <c r="AE145" i="1" s="1"/>
  <c r="S153" i="1"/>
  <c r="AE153" i="1" s="1"/>
  <c r="S214" i="1"/>
  <c r="AE214" i="1" s="1"/>
  <c r="S168" i="1"/>
  <c r="AE168" i="1" s="1"/>
  <c r="S140" i="1"/>
  <c r="S188" i="1"/>
  <c r="S160" i="1"/>
  <c r="S208" i="1"/>
  <c r="AE208" i="1" s="1"/>
  <c r="S191" i="1"/>
  <c r="AE191" i="1" s="1"/>
  <c r="S210" i="1"/>
  <c r="S137" i="1"/>
  <c r="S173" i="1"/>
  <c r="AE173" i="1" s="1"/>
  <c r="S187" i="1"/>
  <c r="AE187" i="1" s="1"/>
  <c r="S174" i="1"/>
  <c r="AE174" i="1" s="1"/>
  <c r="S155" i="1"/>
  <c r="AE155" i="1" s="1"/>
  <c r="S152" i="1"/>
  <c r="AE152" i="1" s="1"/>
  <c r="S165" i="1"/>
  <c r="P207" i="1"/>
  <c r="O148" i="1"/>
  <c r="AA148" i="1" s="1"/>
  <c r="O140" i="1"/>
  <c r="AA140" i="1" s="1"/>
  <c r="Q156" i="1"/>
  <c r="AC156" i="1" s="1"/>
  <c r="P206" i="1"/>
  <c r="T209" i="1"/>
  <c r="O204" i="1"/>
  <c r="AA204" i="1" s="1"/>
  <c r="Q161" i="1"/>
  <c r="AC161" i="1" s="1"/>
  <c r="O105" i="1"/>
  <c r="AA105" i="1" s="1"/>
  <c r="O111" i="1"/>
  <c r="AA111" i="1" s="1"/>
  <c r="O110" i="1"/>
  <c r="AA110" i="1" s="1"/>
  <c r="J79" i="1"/>
  <c r="J70" i="1"/>
  <c r="J82" i="1"/>
  <c r="V82" i="1" s="1"/>
  <c r="R41" i="1"/>
  <c r="AD41" i="1" s="1"/>
  <c r="R74" i="1"/>
  <c r="AD74" i="1" s="1"/>
  <c r="R57" i="1"/>
  <c r="AD57" i="1" s="1"/>
  <c r="R60" i="1"/>
  <c r="AD60" i="1" s="1"/>
  <c r="R44" i="1"/>
  <c r="AD44" i="1" s="1"/>
  <c r="R92" i="1"/>
  <c r="AD92" i="1" s="1"/>
  <c r="R73" i="1"/>
  <c r="AD73" i="1" s="1"/>
  <c r="R78" i="1"/>
  <c r="AD78" i="1" s="1"/>
  <c r="R90" i="1"/>
  <c r="AD90" i="1" s="1"/>
  <c r="R58" i="1"/>
  <c r="AD58" i="1" s="1"/>
  <c r="R56" i="1"/>
  <c r="AD56" i="1" s="1"/>
  <c r="R62" i="1"/>
  <c r="AD62" i="1" s="1"/>
  <c r="R72" i="1"/>
  <c r="AD72" i="1" s="1"/>
  <c r="R42" i="1"/>
  <c r="AD42" i="1" s="1"/>
  <c r="R39" i="1"/>
  <c r="AD39" i="1" s="1"/>
  <c r="R75" i="1"/>
  <c r="AD75" i="1" s="1"/>
  <c r="R61" i="1"/>
  <c r="AD61" i="1" s="1"/>
  <c r="R88" i="1"/>
  <c r="AD88" i="1" s="1"/>
  <c r="R40" i="1"/>
  <c r="AD40" i="1" s="1"/>
  <c r="R76" i="1"/>
  <c r="AD76" i="1" s="1"/>
  <c r="R59" i="1"/>
  <c r="AD59" i="1" s="1"/>
  <c r="R77" i="1"/>
  <c r="AD77" i="1" s="1"/>
  <c r="R91" i="1"/>
  <c r="AD91" i="1" s="1"/>
  <c r="R45" i="1"/>
  <c r="AD45" i="1" s="1"/>
  <c r="R94" i="1"/>
  <c r="AD94" i="1" s="1"/>
  <c r="R71" i="1"/>
  <c r="AD71" i="1" s="1"/>
  <c r="R55" i="1"/>
  <c r="AD55" i="1" s="1"/>
  <c r="R89" i="1"/>
  <c r="AD89" i="1" s="1"/>
  <c r="R46" i="1"/>
  <c r="AD46" i="1" s="1"/>
  <c r="R93" i="1"/>
  <c r="AD93" i="1" s="1"/>
  <c r="R87" i="1"/>
  <c r="AD87" i="1" s="1"/>
  <c r="R43" i="1"/>
  <c r="AD43" i="1" s="1"/>
  <c r="R49" i="1"/>
  <c r="AD49" i="1" s="1"/>
  <c r="R35" i="1"/>
  <c r="AD35" i="1" s="1"/>
  <c r="Q124" i="1"/>
  <c r="AC124" i="1" s="1"/>
  <c r="S207" i="1"/>
  <c r="AE207" i="1" s="1"/>
  <c r="O139" i="1"/>
  <c r="AA139" i="1" s="1"/>
  <c r="U73" i="1"/>
  <c r="AG73" i="1" s="1"/>
  <c r="U41" i="1"/>
  <c r="AG41" i="1" s="1"/>
  <c r="U39" i="1"/>
  <c r="AG39" i="1" s="1"/>
  <c r="U44" i="1"/>
  <c r="AG44" i="1" s="1"/>
  <c r="U89" i="1"/>
  <c r="AG89" i="1" s="1"/>
  <c r="U43" i="1"/>
  <c r="AG43" i="1" s="1"/>
  <c r="U93" i="1"/>
  <c r="AG93" i="1" s="1"/>
  <c r="U94" i="1"/>
  <c r="AG94" i="1" s="1"/>
  <c r="U61" i="1"/>
  <c r="AG61" i="1" s="1"/>
  <c r="U77" i="1"/>
  <c r="AG77" i="1" s="1"/>
  <c r="U72" i="1"/>
  <c r="AG72" i="1" s="1"/>
  <c r="U76" i="1"/>
  <c r="AG76" i="1" s="1"/>
  <c r="U78" i="1"/>
  <c r="AG78" i="1" s="1"/>
  <c r="U45" i="1"/>
  <c r="AG45" i="1" s="1"/>
  <c r="U42" i="1"/>
  <c r="AG42" i="1" s="1"/>
  <c r="U58" i="1"/>
  <c r="AG58" i="1" s="1"/>
  <c r="U55" i="1"/>
  <c r="AG55" i="1" s="1"/>
  <c r="U46" i="1"/>
  <c r="AG46" i="1" s="1"/>
  <c r="U62" i="1"/>
  <c r="AG62" i="1" s="1"/>
  <c r="U60" i="1"/>
  <c r="AG60" i="1" s="1"/>
  <c r="U91" i="1"/>
  <c r="AG91" i="1" s="1"/>
  <c r="U40" i="1"/>
  <c r="AG40" i="1" s="1"/>
  <c r="U92" i="1"/>
  <c r="AG92" i="1" s="1"/>
  <c r="U90" i="1"/>
  <c r="AG90" i="1" s="1"/>
  <c r="U71" i="1"/>
  <c r="AG71" i="1" s="1"/>
  <c r="U75" i="1"/>
  <c r="AG75" i="1" s="1"/>
  <c r="U87" i="1"/>
  <c r="AG87" i="1" s="1"/>
  <c r="U74" i="1"/>
  <c r="AG74" i="1" s="1"/>
  <c r="U57" i="1"/>
  <c r="AG57" i="1" s="1"/>
  <c r="U88" i="1"/>
  <c r="AG88" i="1" s="1"/>
  <c r="U56" i="1"/>
  <c r="AG56" i="1" s="1"/>
  <c r="U59" i="1"/>
  <c r="AG59" i="1" s="1"/>
  <c r="U82" i="1"/>
  <c r="U81" i="1"/>
  <c r="U65" i="1"/>
  <c r="AG65" i="1" s="1"/>
  <c r="U36" i="1"/>
  <c r="AG36" i="1" s="1"/>
  <c r="U66" i="1"/>
  <c r="AG66" i="1" s="1"/>
  <c r="U54" i="1"/>
  <c r="U38" i="1"/>
  <c r="U85" i="1"/>
  <c r="U64" i="1"/>
  <c r="AG64" i="1" s="1"/>
  <c r="U84" i="1"/>
  <c r="AG84" i="1" s="1"/>
  <c r="U32" i="1"/>
  <c r="AG32" i="1" s="1"/>
  <c r="U68" i="1"/>
  <c r="AG68" i="1" s="1"/>
  <c r="U67" i="1"/>
  <c r="AG67" i="1" s="1"/>
  <c r="U53" i="1"/>
  <c r="U37" i="1"/>
  <c r="U51" i="1"/>
  <c r="AG51" i="1" s="1"/>
  <c r="U47" i="1"/>
  <c r="AG47" i="1" s="1"/>
  <c r="U33" i="1"/>
  <c r="U34" i="1"/>
  <c r="AG34" i="1" s="1"/>
  <c r="U70" i="1"/>
  <c r="AG70" i="1" s="1"/>
  <c r="U50" i="1"/>
  <c r="U69" i="1"/>
  <c r="AG69" i="1" s="1"/>
  <c r="U31" i="1"/>
  <c r="AG31" i="1" s="1"/>
  <c r="U79" i="1"/>
  <c r="AG79" i="1" s="1"/>
  <c r="Q61" i="1"/>
  <c r="AC61" i="1" s="1"/>
  <c r="Q45" i="1"/>
  <c r="AC45" i="1" s="1"/>
  <c r="Q74" i="1"/>
  <c r="AC74" i="1" s="1"/>
  <c r="Q87" i="1"/>
  <c r="AC87" i="1" s="1"/>
  <c r="Q42" i="1"/>
  <c r="AC42" i="1" s="1"/>
  <c r="Q39" i="1"/>
  <c r="AC39" i="1" s="1"/>
  <c r="Q72" i="1"/>
  <c r="AC72" i="1" s="1"/>
  <c r="Q78" i="1"/>
  <c r="AC78" i="1" s="1"/>
  <c r="Q75" i="1"/>
  <c r="AC75" i="1" s="1"/>
  <c r="Q93" i="1"/>
  <c r="AC93" i="1" s="1"/>
  <c r="Q60" i="1"/>
  <c r="AC60" i="1" s="1"/>
  <c r="Q57" i="1"/>
  <c r="AC57" i="1" s="1"/>
  <c r="Q88" i="1"/>
  <c r="AC88" i="1" s="1"/>
  <c r="Q59" i="1"/>
  <c r="AC59" i="1" s="1"/>
  <c r="Q89" i="1"/>
  <c r="AC89" i="1" s="1"/>
  <c r="Q90" i="1"/>
  <c r="AC90" i="1" s="1"/>
  <c r="Q44" i="1"/>
  <c r="AC44" i="1" s="1"/>
  <c r="Q94" i="1"/>
  <c r="AC94" i="1" s="1"/>
  <c r="Q77" i="1"/>
  <c r="AC77" i="1" s="1"/>
  <c r="Q62" i="1"/>
  <c r="AC62" i="1" s="1"/>
  <c r="Q58" i="1"/>
  <c r="AC58" i="1" s="1"/>
  <c r="Q56" i="1"/>
  <c r="AC56" i="1" s="1"/>
  <c r="Q71" i="1"/>
  <c r="AC71" i="1" s="1"/>
  <c r="Q73" i="1"/>
  <c r="AC73" i="1" s="1"/>
  <c r="Q92" i="1"/>
  <c r="AC92" i="1" s="1"/>
  <c r="Q41" i="1"/>
  <c r="AC41" i="1" s="1"/>
  <c r="Q76" i="1"/>
  <c r="AC76" i="1" s="1"/>
  <c r="Q46" i="1"/>
  <c r="AC46" i="1" s="1"/>
  <c r="Q91" i="1"/>
  <c r="AC91" i="1" s="1"/>
  <c r="Q55" i="1"/>
  <c r="AC55" i="1" s="1"/>
  <c r="Q40" i="1"/>
  <c r="AC40" i="1" s="1"/>
  <c r="Q43" i="1"/>
  <c r="AC43" i="1" s="1"/>
  <c r="Q53" i="1"/>
  <c r="AC53" i="1" s="1"/>
  <c r="Q82" i="1"/>
  <c r="AC82" i="1" s="1"/>
  <c r="Q68" i="1"/>
  <c r="AC68" i="1" s="1"/>
  <c r="Q86" i="1"/>
  <c r="AC86" i="1" s="1"/>
  <c r="Q66" i="1"/>
  <c r="AC66" i="1" s="1"/>
  <c r="Q49" i="1"/>
  <c r="Q54" i="1"/>
  <c r="AC54" i="1" s="1"/>
  <c r="Q38" i="1"/>
  <c r="AC38" i="1" s="1"/>
  <c r="Q81" i="1"/>
  <c r="AC81" i="1" s="1"/>
  <c r="Q37" i="1"/>
  <c r="Q33" i="1"/>
  <c r="Q47" i="1"/>
  <c r="AC47" i="1" s="1"/>
  <c r="Q79" i="1"/>
  <c r="AC79" i="1" s="1"/>
  <c r="Q50" i="1"/>
  <c r="AC50" i="1" s="1"/>
  <c r="Q31" i="1"/>
  <c r="AC31" i="1" s="1"/>
  <c r="Q70" i="1"/>
  <c r="AC70" i="1" s="1"/>
  <c r="Q80" i="1"/>
  <c r="Q67" i="1"/>
  <c r="AC67" i="1" s="1"/>
  <c r="Q52" i="1"/>
  <c r="Q51" i="1"/>
  <c r="AC51" i="1" s="1"/>
  <c r="Q35" i="1"/>
  <c r="AC35" i="1" s="1"/>
  <c r="Q63" i="1"/>
  <c r="Q36" i="1"/>
  <c r="AC36" i="1" s="1"/>
  <c r="Q83" i="1"/>
  <c r="AC83" i="1" s="1"/>
  <c r="Q32" i="1"/>
  <c r="S57" i="1"/>
  <c r="AE57" i="1" s="1"/>
  <c r="S87" i="1"/>
  <c r="AE87" i="1" s="1"/>
  <c r="S77" i="1"/>
  <c r="AE77" i="1" s="1"/>
  <c r="S91" i="1"/>
  <c r="AE91" i="1" s="1"/>
  <c r="S72" i="1"/>
  <c r="AE72" i="1" s="1"/>
  <c r="S93" i="1"/>
  <c r="AE93" i="1" s="1"/>
  <c r="S62" i="1"/>
  <c r="AE62" i="1" s="1"/>
  <c r="S89" i="1"/>
  <c r="AE89" i="1" s="1"/>
  <c r="S46" i="1"/>
  <c r="AE46" i="1" s="1"/>
  <c r="S40" i="1"/>
  <c r="AE40" i="1" s="1"/>
  <c r="S59" i="1"/>
  <c r="AE59" i="1" s="1"/>
  <c r="S76" i="1"/>
  <c r="AE76" i="1" s="1"/>
  <c r="S71" i="1"/>
  <c r="AE71" i="1" s="1"/>
  <c r="S41" i="1"/>
  <c r="AE41" i="1" s="1"/>
  <c r="S90" i="1"/>
  <c r="AE90" i="1" s="1"/>
  <c r="S78" i="1"/>
  <c r="AE78" i="1" s="1"/>
  <c r="S94" i="1"/>
  <c r="AE94" i="1" s="1"/>
  <c r="S44" i="1"/>
  <c r="AE44" i="1" s="1"/>
  <c r="S39" i="1"/>
  <c r="AE39" i="1" s="1"/>
  <c r="S42" i="1"/>
  <c r="AE42" i="1" s="1"/>
  <c r="S55" i="1"/>
  <c r="AE55" i="1" s="1"/>
  <c r="S43" i="1"/>
  <c r="AE43" i="1" s="1"/>
  <c r="S74" i="1"/>
  <c r="AE74" i="1" s="1"/>
  <c r="S75" i="1"/>
  <c r="AE75" i="1" s="1"/>
  <c r="S60" i="1"/>
  <c r="AE60" i="1" s="1"/>
  <c r="S73" i="1"/>
  <c r="AE73" i="1" s="1"/>
  <c r="S61" i="1"/>
  <c r="AE61" i="1" s="1"/>
  <c r="S45" i="1"/>
  <c r="AE45" i="1" s="1"/>
  <c r="S58" i="1"/>
  <c r="AE58" i="1" s="1"/>
  <c r="S56" i="1"/>
  <c r="AE56" i="1" s="1"/>
  <c r="S92" i="1"/>
  <c r="AE92" i="1" s="1"/>
  <c r="S88" i="1"/>
  <c r="AE88" i="1" s="1"/>
  <c r="S37" i="1"/>
  <c r="S82" i="1"/>
  <c r="S80" i="1"/>
  <c r="AE80" i="1" s="1"/>
  <c r="S48" i="1"/>
  <c r="AE48" i="1" s="1"/>
  <c r="S38" i="1"/>
  <c r="AE38" i="1" s="1"/>
  <c r="S47" i="1"/>
  <c r="AE47" i="1" s="1"/>
  <c r="S66" i="1"/>
  <c r="AE66" i="1" s="1"/>
  <c r="S84" i="1"/>
  <c r="P198" i="1"/>
  <c r="P204" i="1"/>
  <c r="AB204" i="1" s="1"/>
  <c r="S105" i="1"/>
  <c r="AE105" i="1" s="1"/>
  <c r="Q95" i="1"/>
  <c r="AC95" i="1" s="1"/>
  <c r="T130" i="1"/>
  <c r="AF130" i="1" s="1"/>
  <c r="S129" i="1"/>
  <c r="S132" i="1"/>
  <c r="S70" i="1"/>
  <c r="AE70" i="1" s="1"/>
  <c r="Q85" i="1"/>
  <c r="AC85" i="1" s="1"/>
  <c r="P68" i="1"/>
  <c r="AB68" i="1" s="1"/>
  <c r="O74" i="1"/>
  <c r="AA74" i="1" s="1"/>
  <c r="O78" i="1"/>
  <c r="AA78" i="1" s="1"/>
  <c r="O75" i="1"/>
  <c r="AA75" i="1" s="1"/>
  <c r="O72" i="1"/>
  <c r="AA72" i="1" s="1"/>
  <c r="O89" i="1"/>
  <c r="AA89" i="1" s="1"/>
  <c r="O87" i="1"/>
  <c r="AA87" i="1" s="1"/>
  <c r="O39" i="1"/>
  <c r="AA39" i="1" s="1"/>
  <c r="O71" i="1"/>
  <c r="AA71" i="1" s="1"/>
  <c r="O45" i="1"/>
  <c r="AA45" i="1" s="1"/>
  <c r="O94" i="1"/>
  <c r="AA94" i="1" s="1"/>
  <c r="O40" i="1"/>
  <c r="AA40" i="1" s="1"/>
  <c r="O55" i="1"/>
  <c r="AA55" i="1" s="1"/>
  <c r="O60" i="1"/>
  <c r="AA60" i="1" s="1"/>
  <c r="O46" i="1"/>
  <c r="AA46" i="1" s="1"/>
  <c r="O57" i="1"/>
  <c r="AA57" i="1" s="1"/>
  <c r="O90" i="1"/>
  <c r="AA90" i="1" s="1"/>
  <c r="O62" i="1"/>
  <c r="AA62" i="1" s="1"/>
  <c r="O41" i="1"/>
  <c r="AA41" i="1" s="1"/>
  <c r="O88" i="1"/>
  <c r="AA88" i="1" s="1"/>
  <c r="O59" i="1"/>
  <c r="AA59" i="1" s="1"/>
  <c r="O61" i="1"/>
  <c r="AA61" i="1" s="1"/>
  <c r="O56" i="1"/>
  <c r="AA56" i="1" s="1"/>
  <c r="O92" i="1"/>
  <c r="AA92" i="1" s="1"/>
  <c r="O73" i="1"/>
  <c r="AA73" i="1" s="1"/>
  <c r="O43" i="1"/>
  <c r="AA43" i="1" s="1"/>
  <c r="O76" i="1"/>
  <c r="AA76" i="1" s="1"/>
  <c r="O42" i="1"/>
  <c r="AA42" i="1" s="1"/>
  <c r="O44" i="1"/>
  <c r="AA44" i="1" s="1"/>
  <c r="O77" i="1"/>
  <c r="AA77" i="1" s="1"/>
  <c r="O91" i="1"/>
  <c r="AA91" i="1" s="1"/>
  <c r="O58" i="1"/>
  <c r="AA58" i="1" s="1"/>
  <c r="O93" i="1"/>
  <c r="AA93" i="1" s="1"/>
  <c r="O86" i="1"/>
  <c r="AA86" i="1" s="1"/>
  <c r="O32" i="1"/>
  <c r="O81" i="1"/>
  <c r="AA81" i="1" s="1"/>
  <c r="O36" i="1"/>
  <c r="AA36" i="1" s="1"/>
  <c r="O53" i="1"/>
  <c r="AA53" i="1" s="1"/>
  <c r="O68" i="1"/>
  <c r="AA68" i="1" s="1"/>
  <c r="O65" i="1"/>
  <c r="O52" i="1"/>
  <c r="AA52" i="1" s="1"/>
  <c r="O49" i="1"/>
  <c r="AA49" i="1" s="1"/>
  <c r="O34" i="1"/>
  <c r="AA34" i="1" s="1"/>
  <c r="O63" i="1"/>
  <c r="AA63" i="1" s="1"/>
  <c r="O70" i="1"/>
  <c r="AA70" i="1" s="1"/>
  <c r="O83" i="1"/>
  <c r="AA83" i="1" s="1"/>
  <c r="O84" i="1"/>
  <c r="P76" i="1"/>
  <c r="AB76" i="1" s="1"/>
  <c r="P78" i="1"/>
  <c r="AB78" i="1" s="1"/>
  <c r="P89" i="1"/>
  <c r="AB89" i="1" s="1"/>
  <c r="P46" i="1"/>
  <c r="AB46" i="1" s="1"/>
  <c r="P56" i="1"/>
  <c r="AB56" i="1" s="1"/>
  <c r="P42" i="1"/>
  <c r="AB42" i="1" s="1"/>
  <c r="P88" i="1"/>
  <c r="AB88" i="1" s="1"/>
  <c r="P45" i="1"/>
  <c r="AB45" i="1" s="1"/>
  <c r="P87" i="1"/>
  <c r="AB87" i="1" s="1"/>
  <c r="P44" i="1"/>
  <c r="AB44" i="1" s="1"/>
  <c r="P40" i="1"/>
  <c r="AB40" i="1" s="1"/>
  <c r="P92" i="1"/>
  <c r="AB92" i="1" s="1"/>
  <c r="P58" i="1"/>
  <c r="AB58" i="1" s="1"/>
  <c r="P59" i="1"/>
  <c r="AB59" i="1" s="1"/>
  <c r="P41" i="1"/>
  <c r="AB41" i="1" s="1"/>
  <c r="P43" i="1"/>
  <c r="AB43" i="1" s="1"/>
  <c r="P61" i="1"/>
  <c r="AB61" i="1" s="1"/>
  <c r="P62" i="1"/>
  <c r="AB62" i="1" s="1"/>
  <c r="P75" i="1"/>
  <c r="AB75" i="1" s="1"/>
  <c r="P73" i="1"/>
  <c r="AB73" i="1" s="1"/>
  <c r="P91" i="1"/>
  <c r="AB91" i="1" s="1"/>
  <c r="P72" i="1"/>
  <c r="AB72" i="1" s="1"/>
  <c r="P39" i="1"/>
  <c r="AB39" i="1" s="1"/>
  <c r="P94" i="1"/>
  <c r="AB94" i="1" s="1"/>
  <c r="P90" i="1"/>
  <c r="AB90" i="1" s="1"/>
  <c r="P71" i="1"/>
  <c r="AB71" i="1" s="1"/>
  <c r="P74" i="1"/>
  <c r="AB74" i="1" s="1"/>
  <c r="P60" i="1"/>
  <c r="AB60" i="1" s="1"/>
  <c r="P77" i="1"/>
  <c r="AB77" i="1" s="1"/>
  <c r="P57" i="1"/>
  <c r="AB57" i="1" s="1"/>
  <c r="P93" i="1"/>
  <c r="AB93" i="1" s="1"/>
  <c r="P55" i="1"/>
  <c r="AB55" i="1" s="1"/>
  <c r="P52" i="1"/>
  <c r="AB52" i="1" s="1"/>
  <c r="P47" i="1"/>
  <c r="AB47" i="1" s="1"/>
  <c r="L81" i="1"/>
  <c r="L89" i="1"/>
  <c r="X89" i="1" s="1"/>
  <c r="L74" i="1"/>
  <c r="X74" i="1" s="1"/>
  <c r="L72" i="1"/>
  <c r="X72" i="1" s="1"/>
  <c r="L43" i="1"/>
  <c r="X43" i="1" s="1"/>
  <c r="L56" i="1"/>
  <c r="X56" i="1" s="1"/>
  <c r="L90" i="1"/>
  <c r="X90" i="1" s="1"/>
  <c r="L88" i="1"/>
  <c r="X88" i="1" s="1"/>
  <c r="L77" i="1"/>
  <c r="X77" i="1" s="1"/>
  <c r="L91" i="1"/>
  <c r="X91" i="1" s="1"/>
  <c r="L75" i="1"/>
  <c r="X75" i="1" s="1"/>
  <c r="L87" i="1"/>
  <c r="X87" i="1" s="1"/>
  <c r="L94" i="1"/>
  <c r="X94" i="1" s="1"/>
  <c r="L76" i="1"/>
  <c r="X76" i="1" s="1"/>
  <c r="L71" i="1"/>
  <c r="X71" i="1" s="1"/>
  <c r="L59" i="1"/>
  <c r="X59" i="1" s="1"/>
  <c r="L41" i="1"/>
  <c r="X41" i="1" s="1"/>
  <c r="L44" i="1"/>
  <c r="X44" i="1" s="1"/>
  <c r="L46" i="1"/>
  <c r="X46" i="1" s="1"/>
  <c r="L93" i="1"/>
  <c r="X93" i="1" s="1"/>
  <c r="L45" i="1"/>
  <c r="X45" i="1" s="1"/>
  <c r="L57" i="1"/>
  <c r="X57" i="1" s="1"/>
  <c r="L40" i="1"/>
  <c r="X40" i="1" s="1"/>
  <c r="L73" i="1"/>
  <c r="X73" i="1" s="1"/>
  <c r="L60" i="1"/>
  <c r="X60" i="1" s="1"/>
  <c r="L55" i="1"/>
  <c r="X55" i="1" s="1"/>
  <c r="L92" i="1"/>
  <c r="X92" i="1" s="1"/>
  <c r="L42" i="1"/>
  <c r="X42" i="1" s="1"/>
  <c r="L61" i="1"/>
  <c r="X61" i="1" s="1"/>
  <c r="L58" i="1"/>
  <c r="X58" i="1" s="1"/>
  <c r="L62" i="1"/>
  <c r="X62" i="1" s="1"/>
  <c r="L78" i="1"/>
  <c r="X78" i="1" s="1"/>
  <c r="L39" i="1"/>
  <c r="X39" i="1" s="1"/>
  <c r="L52" i="1"/>
  <c r="X52" i="1" s="1"/>
  <c r="L33" i="1"/>
  <c r="X33" i="1" s="1"/>
  <c r="L65" i="1"/>
  <c r="X65" i="1" s="1"/>
  <c r="L51" i="1"/>
  <c r="X51" i="1" s="1"/>
  <c r="P53" i="1"/>
  <c r="AB53" i="1" s="1"/>
  <c r="O47" i="1"/>
  <c r="AA47" i="1" s="1"/>
  <c r="O38" i="1"/>
  <c r="AA38" i="1" s="1"/>
  <c r="O80" i="1"/>
  <c r="AA80" i="1" s="1"/>
  <c r="O35" i="1"/>
  <c r="R131" i="1"/>
  <c r="AD131" i="1" s="1"/>
  <c r="T153" i="1"/>
  <c r="AF153" i="1" s="1"/>
  <c r="P185" i="1"/>
  <c r="AB185" i="1" s="1"/>
  <c r="P99" i="1"/>
  <c r="AB99" i="1" s="1"/>
  <c r="R97" i="1"/>
  <c r="AD97" i="1" s="1"/>
  <c r="P134" i="1"/>
  <c r="AB134" i="1" s="1"/>
  <c r="P111" i="1"/>
  <c r="AB111" i="1" s="1"/>
  <c r="R112" i="1"/>
  <c r="AD112" i="1" s="1"/>
  <c r="P105" i="1"/>
  <c r="AB105" i="1" s="1"/>
  <c r="R108" i="1"/>
  <c r="AD108" i="1" s="1"/>
  <c r="R128" i="1"/>
  <c r="AD128" i="1" s="1"/>
  <c r="R119" i="1"/>
  <c r="AD119" i="1" s="1"/>
  <c r="R122" i="1"/>
  <c r="AD122" i="1" s="1"/>
  <c r="R121" i="1"/>
  <c r="AD121" i="1" s="1"/>
  <c r="R117" i="1"/>
  <c r="AD117" i="1" s="1"/>
  <c r="R120" i="1"/>
  <c r="AD120" i="1" s="1"/>
  <c r="R116" i="1"/>
  <c r="AD116" i="1" s="1"/>
  <c r="R123" i="1"/>
  <c r="AD123" i="1" s="1"/>
  <c r="R118" i="1"/>
  <c r="AD118" i="1" s="1"/>
  <c r="P116" i="1"/>
  <c r="AB116" i="1" s="1"/>
  <c r="P122" i="1"/>
  <c r="AB122" i="1" s="1"/>
  <c r="P118" i="1"/>
  <c r="AB118" i="1" s="1"/>
  <c r="P120" i="1"/>
  <c r="AB120" i="1" s="1"/>
  <c r="P123" i="1"/>
  <c r="AB123" i="1" s="1"/>
  <c r="P121" i="1"/>
  <c r="AB121" i="1" s="1"/>
  <c r="P117" i="1"/>
  <c r="AB117" i="1" s="1"/>
  <c r="P119" i="1"/>
  <c r="AB119" i="1" s="1"/>
  <c r="R50" i="1"/>
  <c r="AD50" i="1" s="1"/>
  <c r="P95" i="1"/>
  <c r="AB95" i="1" s="1"/>
  <c r="P103" i="1"/>
  <c r="AB103" i="1" s="1"/>
  <c r="P133" i="1"/>
  <c r="R98" i="1"/>
  <c r="AD98" i="1" s="1"/>
  <c r="S63" i="4"/>
  <c r="S71" i="4"/>
  <c r="M63" i="4"/>
  <c r="M67" i="4"/>
  <c r="O15" i="4"/>
  <c r="P19" i="4"/>
  <c r="P23" i="4"/>
  <c r="M91" i="4"/>
  <c r="M87" i="4"/>
  <c r="Q67" i="4"/>
  <c r="Q71" i="4"/>
  <c r="R43" i="4"/>
  <c r="R47" i="4"/>
  <c r="Q91" i="4"/>
  <c r="P67" i="4"/>
  <c r="P71" i="4"/>
  <c r="M19" i="4"/>
  <c r="M15" i="4"/>
  <c r="R87" i="4"/>
  <c r="R15" i="4"/>
  <c r="Q87" i="4"/>
  <c r="S19" i="4"/>
  <c r="S23" i="4"/>
  <c r="M43" i="4"/>
  <c r="M39" i="4"/>
  <c r="P15" i="4"/>
  <c r="S15" i="4"/>
  <c r="P63" i="4"/>
  <c r="R39" i="4"/>
  <c r="Q63" i="4"/>
  <c r="S67" i="4"/>
  <c r="N39" i="4"/>
  <c r="L184" i="1"/>
  <c r="X184" i="1" s="1"/>
  <c r="L210" i="1"/>
  <c r="X210" i="1" s="1"/>
  <c r="L143" i="1"/>
  <c r="X143" i="1" s="1"/>
  <c r="L219" i="1"/>
  <c r="X219" i="1" s="1"/>
  <c r="L201" i="1"/>
  <c r="X201" i="1" s="1"/>
  <c r="L191" i="1"/>
  <c r="X191" i="1" s="1"/>
  <c r="L138" i="1"/>
  <c r="X138" i="1" s="1"/>
  <c r="L149" i="1"/>
  <c r="X149" i="1" s="1"/>
  <c r="L208" i="1"/>
  <c r="X208" i="1" s="1"/>
  <c r="K99" i="1"/>
  <c r="W99" i="1" s="1"/>
  <c r="K97" i="1"/>
  <c r="W97" i="1" s="1"/>
  <c r="L103" i="1"/>
  <c r="X103" i="1" s="1"/>
  <c r="K132" i="1"/>
  <c r="W132" i="1" s="1"/>
  <c r="K127" i="1"/>
  <c r="W127" i="1" s="1"/>
  <c r="L131" i="1"/>
  <c r="X131" i="1" s="1"/>
  <c r="M35" i="1"/>
  <c r="Y35" i="1" s="1"/>
  <c r="L83" i="1"/>
  <c r="X83" i="1" s="1"/>
  <c r="M64" i="1"/>
  <c r="Y64" i="1" s="1"/>
  <c r="M65" i="1"/>
  <c r="Y65" i="1" s="1"/>
  <c r="L34" i="1"/>
  <c r="X34" i="1" s="1"/>
  <c r="L84" i="1"/>
  <c r="X84" i="1" s="1"/>
  <c r="K102" i="1"/>
  <c r="W102" i="1" s="1"/>
  <c r="K133" i="1"/>
  <c r="W133" i="1" s="1"/>
  <c r="K131" i="1"/>
  <c r="W131" i="1" s="1"/>
  <c r="L66" i="1"/>
  <c r="X66" i="1" s="1"/>
  <c r="L67" i="1"/>
  <c r="X67" i="1" s="1"/>
  <c r="M50" i="1"/>
  <c r="Y50" i="1" s="1"/>
  <c r="L188" i="1"/>
  <c r="X188" i="1" s="1"/>
  <c r="K96" i="1"/>
  <c r="W96" i="1" s="1"/>
  <c r="K108" i="1"/>
  <c r="W108" i="1" s="1"/>
  <c r="L136" i="1"/>
  <c r="X136" i="1" s="1"/>
  <c r="L174" i="1"/>
  <c r="X174" i="1" s="1"/>
  <c r="L150" i="1"/>
  <c r="X150" i="1" s="1"/>
  <c r="L175" i="1"/>
  <c r="X175" i="1" s="1"/>
  <c r="L154" i="1"/>
  <c r="X154" i="1" s="1"/>
  <c r="L217" i="1"/>
  <c r="X217" i="1" s="1"/>
  <c r="L182" i="1"/>
  <c r="X182" i="1" s="1"/>
  <c r="K125" i="1"/>
  <c r="W125" i="1" s="1"/>
  <c r="K95" i="1"/>
  <c r="W95" i="1" s="1"/>
  <c r="K128" i="1"/>
  <c r="W128" i="1" s="1"/>
  <c r="M49" i="1"/>
  <c r="Y49" i="1" s="1"/>
  <c r="M53" i="1"/>
  <c r="Y53" i="1" s="1"/>
  <c r="M36" i="1"/>
  <c r="Y36" i="1" s="1"/>
  <c r="M63" i="1"/>
  <c r="Y63" i="1" s="1"/>
  <c r="M54" i="1"/>
  <c r="Y54" i="1" s="1"/>
  <c r="L82" i="1"/>
  <c r="X82" i="1" s="1"/>
  <c r="M80" i="1"/>
  <c r="Y80" i="1" s="1"/>
  <c r="L171" i="1"/>
  <c r="X171" i="1" s="1"/>
  <c r="L164" i="1"/>
  <c r="X164" i="1" s="1"/>
  <c r="K105" i="1"/>
  <c r="W105" i="1" s="1"/>
  <c r="K104" i="1"/>
  <c r="W104" i="1" s="1"/>
  <c r="K130" i="1"/>
  <c r="W130" i="1" s="1"/>
  <c r="M18" i="1"/>
  <c r="L168" i="1"/>
  <c r="X168" i="1" s="1"/>
  <c r="L204" i="1"/>
  <c r="X204" i="1" s="1"/>
  <c r="L181" i="1"/>
  <c r="X181" i="1" s="1"/>
  <c r="M69" i="1"/>
  <c r="Y69" i="1" s="1"/>
  <c r="L162" i="1"/>
  <c r="X162" i="1" s="1"/>
  <c r="L155" i="1"/>
  <c r="X155" i="1" s="1"/>
  <c r="L215" i="1"/>
  <c r="X215" i="1" s="1"/>
  <c r="L209" i="1"/>
  <c r="X209" i="1" s="1"/>
  <c r="L178" i="1"/>
  <c r="X178" i="1" s="1"/>
  <c r="L194" i="1"/>
  <c r="X194" i="1" s="1"/>
  <c r="L141" i="1"/>
  <c r="X141" i="1" s="1"/>
  <c r="L185" i="1"/>
  <c r="X185" i="1" s="1"/>
  <c r="L70" i="1"/>
  <c r="X70" i="1" s="1"/>
  <c r="M31" i="1"/>
  <c r="Y31" i="1" s="1"/>
  <c r="L47" i="1"/>
  <c r="X47" i="1" s="1"/>
  <c r="L86" i="1"/>
  <c r="X86" i="1" s="1"/>
  <c r="L140" i="1"/>
  <c r="X140" i="1" s="1"/>
  <c r="L198" i="1"/>
  <c r="X198" i="1" s="1"/>
  <c r="L197" i="1"/>
  <c r="X197" i="1" s="1"/>
  <c r="L159" i="1"/>
  <c r="X159" i="1" s="1"/>
  <c r="L192" i="1"/>
  <c r="X192" i="1" s="1"/>
  <c r="L167" i="1"/>
  <c r="X167" i="1" s="1"/>
  <c r="L145" i="1"/>
  <c r="X145" i="1" s="1"/>
  <c r="M79" i="1"/>
  <c r="Y79" i="1" s="1"/>
  <c r="M48" i="1"/>
  <c r="Y48" i="1" s="1"/>
  <c r="L85" i="1"/>
  <c r="X85" i="1" s="1"/>
  <c r="M84" i="1"/>
  <c r="Y84" i="1" s="1"/>
  <c r="L114" i="1"/>
  <c r="X114" i="1" s="1"/>
  <c r="L207" i="1"/>
  <c r="X207" i="1" s="1"/>
  <c r="L211" i="1"/>
  <c r="X211" i="1" s="1"/>
  <c r="L203" i="1"/>
  <c r="X203" i="1" s="1"/>
  <c r="L187" i="1"/>
  <c r="X187" i="1" s="1"/>
  <c r="L139" i="1"/>
  <c r="X139" i="1" s="1"/>
  <c r="L183" i="1"/>
  <c r="X183" i="1" s="1"/>
  <c r="L142" i="1"/>
  <c r="X142" i="1" s="1"/>
  <c r="L193" i="1"/>
  <c r="X193" i="1" s="1"/>
  <c r="L64" i="1"/>
  <c r="X64" i="1" s="1"/>
  <c r="M52" i="1"/>
  <c r="Y52" i="1" s="1"/>
  <c r="M34" i="1"/>
  <c r="Y34" i="1" s="1"/>
  <c r="L113" i="1"/>
  <c r="X113" i="1" s="1"/>
  <c r="L115" i="1"/>
  <c r="X115" i="1" s="1"/>
  <c r="L218" i="1"/>
  <c r="X218" i="1" s="1"/>
  <c r="L158" i="1"/>
  <c r="X158" i="1" s="1"/>
  <c r="L189" i="1"/>
  <c r="X189" i="1" s="1"/>
  <c r="M83" i="1"/>
  <c r="Y83" i="1" s="1"/>
  <c r="K113" i="1"/>
  <c r="W113" i="1" s="1"/>
  <c r="L148" i="1"/>
  <c r="X148" i="1" s="1"/>
  <c r="L36" i="1"/>
  <c r="X36" i="1" s="1"/>
  <c r="M47" i="1"/>
  <c r="Y47" i="1" s="1"/>
  <c r="L63" i="1"/>
  <c r="X63" i="1" s="1"/>
  <c r="M67" i="1"/>
  <c r="Y67" i="1" s="1"/>
  <c r="L80" i="1"/>
  <c r="X80" i="1" s="1"/>
  <c r="L50" i="1"/>
  <c r="X50" i="1" s="1"/>
  <c r="M38" i="1"/>
  <c r="Y38" i="1" s="1"/>
  <c r="M82" i="1"/>
  <c r="Y82" i="1" s="1"/>
  <c r="L137" i="1"/>
  <c r="X137" i="1" s="1"/>
  <c r="L169" i="1"/>
  <c r="X169" i="1" s="1"/>
  <c r="L195" i="1"/>
  <c r="X195" i="1" s="1"/>
  <c r="L177" i="1"/>
  <c r="X177" i="1" s="1"/>
  <c r="L170" i="1"/>
  <c r="X170" i="1" s="1"/>
  <c r="L212" i="1"/>
  <c r="X212" i="1" s="1"/>
  <c r="L153" i="1"/>
  <c r="X153" i="1" s="1"/>
  <c r="L172" i="1"/>
  <c r="X172" i="1" s="1"/>
  <c r="L179" i="1"/>
  <c r="X179" i="1" s="1"/>
  <c r="L176" i="1"/>
  <c r="X176" i="1" s="1"/>
  <c r="L147" i="1"/>
  <c r="X147" i="1" s="1"/>
  <c r="L186" i="1"/>
  <c r="X186" i="1" s="1"/>
  <c r="L157" i="1"/>
  <c r="X157" i="1" s="1"/>
  <c r="L173" i="1"/>
  <c r="X173" i="1" s="1"/>
  <c r="K126" i="1"/>
  <c r="W126" i="1" s="1"/>
  <c r="L96" i="1"/>
  <c r="X96" i="1" s="1"/>
  <c r="L125" i="1"/>
  <c r="X125" i="1" s="1"/>
  <c r="L130" i="1"/>
  <c r="X130" i="1" s="1"/>
  <c r="K109" i="1"/>
  <c r="W109" i="1" s="1"/>
  <c r="K124" i="1"/>
  <c r="W124" i="1" s="1"/>
  <c r="K135" i="1"/>
  <c r="W135" i="1" s="1"/>
  <c r="L107" i="1"/>
  <c r="X107" i="1" s="1"/>
  <c r="K106" i="1"/>
  <c r="W106" i="1" s="1"/>
  <c r="L102" i="1"/>
  <c r="X102" i="1" s="1"/>
  <c r="L133" i="1"/>
  <c r="X133" i="1" s="1"/>
  <c r="L98" i="1"/>
  <c r="X98" i="1" s="1"/>
  <c r="L132" i="1"/>
  <c r="X132" i="1" s="1"/>
  <c r="L127" i="1"/>
  <c r="X127" i="1" s="1"/>
  <c r="M33" i="1"/>
  <c r="Y33" i="1" s="1"/>
  <c r="M37" i="1"/>
  <c r="Y37" i="1" s="1"/>
  <c r="M32" i="1"/>
  <c r="Y32" i="1" s="1"/>
  <c r="L31" i="1"/>
  <c r="X31" i="1" s="1"/>
  <c r="L69" i="1"/>
  <c r="X69" i="1" s="1"/>
  <c r="L54" i="1"/>
  <c r="X54" i="1" s="1"/>
  <c r="L180" i="1"/>
  <c r="X180" i="1" s="1"/>
  <c r="L152" i="1"/>
  <c r="X152" i="1" s="1"/>
  <c r="L213" i="1"/>
  <c r="X213" i="1" s="1"/>
  <c r="L200" i="1"/>
  <c r="X200" i="1" s="1"/>
  <c r="L144" i="1"/>
  <c r="X144" i="1" s="1"/>
  <c r="L196" i="1"/>
  <c r="X196" i="1" s="1"/>
  <c r="L199" i="1"/>
  <c r="X199" i="1" s="1"/>
  <c r="L206" i="1"/>
  <c r="X206" i="1" s="1"/>
  <c r="L163" i="1"/>
  <c r="X163" i="1" s="1"/>
  <c r="L166" i="1"/>
  <c r="X166" i="1" s="1"/>
  <c r="L165" i="1"/>
  <c r="X165" i="1" s="1"/>
  <c r="L146" i="1"/>
  <c r="X146" i="1" s="1"/>
  <c r="L126" i="1"/>
  <c r="X126" i="1" s="1"/>
  <c r="L105" i="1"/>
  <c r="X105" i="1" s="1"/>
  <c r="L95" i="1"/>
  <c r="X95" i="1" s="1"/>
  <c r="L104" i="1"/>
  <c r="X104" i="1" s="1"/>
  <c r="L108" i="1"/>
  <c r="X108" i="1" s="1"/>
  <c r="L109" i="1"/>
  <c r="X109" i="1" s="1"/>
  <c r="L100" i="1"/>
  <c r="X100" i="1" s="1"/>
  <c r="L129" i="1"/>
  <c r="X129" i="1" s="1"/>
  <c r="L124" i="1"/>
  <c r="X124" i="1" s="1"/>
  <c r="L135" i="1"/>
  <c r="X135" i="1" s="1"/>
  <c r="L99" i="1"/>
  <c r="X99" i="1" s="1"/>
  <c r="L106" i="1"/>
  <c r="X106" i="1" s="1"/>
  <c r="L97" i="1"/>
  <c r="X97" i="1" s="1"/>
  <c r="K101" i="1"/>
  <c r="W101" i="1" s="1"/>
  <c r="L134" i="1"/>
  <c r="X134" i="1" s="1"/>
  <c r="L111" i="1"/>
  <c r="X111" i="1" s="1"/>
  <c r="L110" i="1"/>
  <c r="X110" i="1" s="1"/>
  <c r="K98" i="1"/>
  <c r="W98" i="1" s="1"/>
  <c r="L49" i="1"/>
  <c r="X49" i="1" s="1"/>
  <c r="L53" i="1"/>
  <c r="X53" i="1" s="1"/>
  <c r="M70" i="1"/>
  <c r="Y70" i="1" s="1"/>
  <c r="M68" i="1"/>
  <c r="Y68" i="1" s="1"/>
  <c r="K112" i="1"/>
  <c r="W112" i="1" s="1"/>
  <c r="L160" i="1"/>
  <c r="X160" i="1" s="1"/>
  <c r="L202" i="1"/>
  <c r="X202" i="1" s="1"/>
  <c r="L151" i="1"/>
  <c r="X151" i="1" s="1"/>
  <c r="M66" i="1"/>
  <c r="Y66" i="1" s="1"/>
  <c r="M81" i="1"/>
  <c r="Y81" i="1" s="1"/>
  <c r="K115" i="1"/>
  <c r="W115" i="1" s="1"/>
  <c r="L156" i="1"/>
  <c r="X156" i="1" s="1"/>
  <c r="L205" i="1"/>
  <c r="X205" i="1" s="1"/>
  <c r="L214" i="1"/>
  <c r="X214" i="1" s="1"/>
  <c r="L190" i="1"/>
  <c r="X190" i="1" s="1"/>
  <c r="L161" i="1"/>
  <c r="X161" i="1" s="1"/>
  <c r="K100" i="1"/>
  <c r="W100" i="1" s="1"/>
  <c r="K129" i="1"/>
  <c r="W129" i="1" s="1"/>
  <c r="K107" i="1"/>
  <c r="W107" i="1" s="1"/>
  <c r="L101" i="1"/>
  <c r="X101" i="1" s="1"/>
  <c r="K134" i="1"/>
  <c r="W134" i="1" s="1"/>
  <c r="K111" i="1"/>
  <c r="W111" i="1" s="1"/>
  <c r="K103" i="1"/>
  <c r="W103" i="1" s="1"/>
  <c r="K110" i="1"/>
  <c r="W110" i="1" s="1"/>
  <c r="L79" i="1"/>
  <c r="X79" i="1" s="1"/>
  <c r="L48" i="1"/>
  <c r="X48" i="1" s="1"/>
  <c r="M85" i="1"/>
  <c r="Y85" i="1" s="1"/>
  <c r="M86" i="1"/>
  <c r="Y86" i="1" s="1"/>
  <c r="U157" i="1"/>
  <c r="R152" i="1"/>
  <c r="AD152" i="1" s="1"/>
  <c r="R206" i="1"/>
  <c r="AD206" i="1" s="1"/>
  <c r="T139" i="1"/>
  <c r="AF139" i="1" s="1"/>
  <c r="U153" i="1"/>
  <c r="P164" i="1"/>
  <c r="AB164" i="1" s="1"/>
  <c r="T152" i="1"/>
  <c r="AF152" i="1" s="1"/>
  <c r="T174" i="1"/>
  <c r="AF174" i="1" s="1"/>
  <c r="T203" i="1"/>
  <c r="AF203" i="1" s="1"/>
  <c r="R202" i="1"/>
  <c r="AD202" i="1" s="1"/>
  <c r="T192" i="1"/>
  <c r="AF192" i="1" s="1"/>
  <c r="T168" i="1"/>
  <c r="AF168" i="1" s="1"/>
  <c r="T205" i="1"/>
  <c r="AF205" i="1" s="1"/>
  <c r="S150" i="1"/>
  <c r="AE150" i="1" s="1"/>
  <c r="R215" i="1"/>
  <c r="AD215" i="1" s="1"/>
  <c r="S206" i="1"/>
  <c r="AE206" i="1" s="1"/>
  <c r="R175" i="1"/>
  <c r="AD175" i="1" s="1"/>
  <c r="T163" i="1"/>
  <c r="AF163" i="1" s="1"/>
  <c r="T151" i="1"/>
  <c r="AF151" i="1" s="1"/>
  <c r="R214" i="1"/>
  <c r="AD214" i="1" s="1"/>
  <c r="R138" i="1"/>
  <c r="AD138" i="1" s="1"/>
  <c r="R194" i="1"/>
  <c r="AD194" i="1" s="1"/>
  <c r="T208" i="1"/>
  <c r="AF208" i="1" s="1"/>
  <c r="T141" i="1"/>
  <c r="AF141" i="1" s="1"/>
  <c r="S181" i="1"/>
  <c r="AE181" i="1" s="1"/>
  <c r="T200" i="1"/>
  <c r="AF200" i="1" s="1"/>
  <c r="S170" i="1"/>
  <c r="AE170" i="1" s="1"/>
  <c r="S146" i="1"/>
  <c r="AE146" i="1" s="1"/>
  <c r="S212" i="1"/>
  <c r="AE212" i="1" s="1"/>
  <c r="P137" i="1"/>
  <c r="AB137" i="1" s="1"/>
  <c r="P216" i="1"/>
  <c r="AB216" i="1" s="1"/>
  <c r="S189" i="1"/>
  <c r="AE189" i="1" s="1"/>
  <c r="R193" i="1"/>
  <c r="AD193" i="1" s="1"/>
  <c r="P33" i="1"/>
  <c r="AB33" i="1" s="1"/>
  <c r="P32" i="1"/>
  <c r="AB32" i="1" s="1"/>
  <c r="P81" i="1"/>
  <c r="AB81" i="1" s="1"/>
  <c r="S34" i="1"/>
  <c r="AE34" i="1" s="1"/>
  <c r="P80" i="1"/>
  <c r="AB80" i="1" s="1"/>
  <c r="U207" i="1"/>
  <c r="R168" i="1"/>
  <c r="AD168" i="1" s="1"/>
  <c r="U146" i="1"/>
  <c r="R137" i="1"/>
  <c r="AD137" i="1" s="1"/>
  <c r="R34" i="1"/>
  <c r="AD34" i="1" s="1"/>
  <c r="T136" i="1"/>
  <c r="AF136" i="1" s="1"/>
  <c r="R203" i="1"/>
  <c r="AD203" i="1" s="1"/>
  <c r="R204" i="1"/>
  <c r="AD204" i="1" s="1"/>
  <c r="R182" i="1"/>
  <c r="AD182" i="1" s="1"/>
  <c r="R212" i="1"/>
  <c r="AD212" i="1" s="1"/>
  <c r="P160" i="1"/>
  <c r="AB160" i="1" s="1"/>
  <c r="T144" i="1"/>
  <c r="AF144" i="1" s="1"/>
  <c r="T207" i="1"/>
  <c r="AF207" i="1" s="1"/>
  <c r="R184" i="1"/>
  <c r="AD184" i="1" s="1"/>
  <c r="T160" i="1"/>
  <c r="AF160" i="1" s="1"/>
  <c r="P179" i="1"/>
  <c r="AB179" i="1" s="1"/>
  <c r="T164" i="1"/>
  <c r="AF164" i="1" s="1"/>
  <c r="P174" i="1"/>
  <c r="AB174" i="1" s="1"/>
  <c r="U168" i="1"/>
  <c r="R195" i="1"/>
  <c r="AD195" i="1" s="1"/>
  <c r="R205" i="1"/>
  <c r="AD205" i="1" s="1"/>
  <c r="S215" i="1"/>
  <c r="AE215" i="1" s="1"/>
  <c r="R187" i="1"/>
  <c r="AD187" i="1" s="1"/>
  <c r="P186" i="1"/>
  <c r="AB186" i="1" s="1"/>
  <c r="S178" i="1"/>
  <c r="AE178" i="1" s="1"/>
  <c r="S154" i="1"/>
  <c r="AE154" i="1" s="1"/>
  <c r="S142" i="1"/>
  <c r="AE142" i="1" s="1"/>
  <c r="S158" i="1"/>
  <c r="AE158" i="1" s="1"/>
  <c r="S204" i="1"/>
  <c r="AE204" i="1" s="1"/>
  <c r="P173" i="1"/>
  <c r="AB173" i="1" s="1"/>
  <c r="U165" i="1"/>
  <c r="S217" i="1"/>
  <c r="AE217" i="1" s="1"/>
  <c r="S200" i="1"/>
  <c r="AE200" i="1" s="1"/>
  <c r="T170" i="1"/>
  <c r="AF170" i="1" s="1"/>
  <c r="R185" i="1"/>
  <c r="AD185" i="1" s="1"/>
  <c r="T137" i="1"/>
  <c r="AF137" i="1" s="1"/>
  <c r="P79" i="1"/>
  <c r="AB79" i="1" s="1"/>
  <c r="P49" i="1"/>
  <c r="AB49" i="1" s="1"/>
  <c r="P64" i="1"/>
  <c r="AB64" i="1" s="1"/>
  <c r="P66" i="1"/>
  <c r="AB66" i="1" s="1"/>
  <c r="P48" i="1"/>
  <c r="AB48" i="1" s="1"/>
  <c r="P36" i="1"/>
  <c r="AB36" i="1" s="1"/>
  <c r="R70" i="1"/>
  <c r="AD70" i="1" s="1"/>
  <c r="P31" i="1"/>
  <c r="AB31" i="1" s="1"/>
  <c r="P65" i="1"/>
  <c r="AB65" i="1" s="1"/>
  <c r="T47" i="1"/>
  <c r="AF47" i="1" s="1"/>
  <c r="S81" i="1"/>
  <c r="AE81" i="1" s="1"/>
  <c r="P63" i="1"/>
  <c r="AB63" i="1" s="1"/>
  <c r="P86" i="1"/>
  <c r="AB86" i="1" s="1"/>
  <c r="R80" i="1"/>
  <c r="AD80" i="1" s="1"/>
  <c r="P50" i="1"/>
  <c r="AB50" i="1" s="1"/>
  <c r="P82" i="1"/>
  <c r="AB82" i="1" s="1"/>
  <c r="R144" i="1"/>
  <c r="AD144" i="1" s="1"/>
  <c r="R200" i="1"/>
  <c r="AD200" i="1" s="1"/>
  <c r="R160" i="1"/>
  <c r="AD160" i="1" s="1"/>
  <c r="U138" i="1"/>
  <c r="R81" i="1"/>
  <c r="AD81" i="1" s="1"/>
  <c r="T218" i="1"/>
  <c r="AF218" i="1" s="1"/>
  <c r="R169" i="1"/>
  <c r="AD169" i="1" s="1"/>
  <c r="U219" i="1"/>
  <c r="U192" i="1"/>
  <c r="T156" i="1"/>
  <c r="AF156" i="1" s="1"/>
  <c r="T148" i="1"/>
  <c r="AF148" i="1" s="1"/>
  <c r="S136" i="1"/>
  <c r="AE136" i="1" s="1"/>
  <c r="R143" i="1"/>
  <c r="AD143" i="1" s="1"/>
  <c r="R171" i="1"/>
  <c r="AD171" i="1" s="1"/>
  <c r="P162" i="1"/>
  <c r="AB162" i="1" s="1"/>
  <c r="R219" i="1"/>
  <c r="AD219" i="1" s="1"/>
  <c r="R159" i="1"/>
  <c r="AD159" i="1" s="1"/>
  <c r="S156" i="1"/>
  <c r="AE156" i="1" s="1"/>
  <c r="P191" i="1"/>
  <c r="AB191" i="1" s="1"/>
  <c r="S205" i="1"/>
  <c r="AE205" i="1" s="1"/>
  <c r="R150" i="1"/>
  <c r="AD150" i="1" s="1"/>
  <c r="R167" i="1"/>
  <c r="AD167" i="1" s="1"/>
  <c r="R147" i="1"/>
  <c r="AD147" i="1" s="1"/>
  <c r="P209" i="1"/>
  <c r="AB209" i="1" s="1"/>
  <c r="S190" i="1"/>
  <c r="AE190" i="1" s="1"/>
  <c r="R142" i="1"/>
  <c r="AD142" i="1" s="1"/>
  <c r="R158" i="1"/>
  <c r="AD158" i="1" s="1"/>
  <c r="T204" i="1"/>
  <c r="AF204" i="1" s="1"/>
  <c r="R181" i="1"/>
  <c r="AD181" i="1" s="1"/>
  <c r="T217" i="1"/>
  <c r="AF217" i="1" s="1"/>
  <c r="P189" i="1"/>
  <c r="AB189" i="1" s="1"/>
  <c r="S79" i="1"/>
  <c r="AE79" i="1" s="1"/>
  <c r="P35" i="1"/>
  <c r="AB35" i="1" s="1"/>
  <c r="P37" i="1"/>
  <c r="AB37" i="1" s="1"/>
  <c r="R52" i="1"/>
  <c r="AD52" i="1" s="1"/>
  <c r="R31" i="1"/>
  <c r="AD31" i="1" s="1"/>
  <c r="S63" i="1"/>
  <c r="AE63" i="1" s="1"/>
  <c r="P67" i="1"/>
  <c r="AB67" i="1" s="1"/>
  <c r="P38" i="1"/>
  <c r="AB38" i="1" s="1"/>
  <c r="P84" i="1"/>
  <c r="AB84" i="1" s="1"/>
  <c r="R54" i="1"/>
  <c r="AD54" i="1" s="1"/>
  <c r="P51" i="1"/>
  <c r="AB51" i="1" s="1"/>
  <c r="R139" i="1"/>
  <c r="AD139" i="1" s="1"/>
  <c r="U194" i="1"/>
  <c r="T140" i="1"/>
  <c r="AF140" i="1" s="1"/>
  <c r="R201" i="1"/>
  <c r="AD201" i="1" s="1"/>
  <c r="R183" i="1"/>
  <c r="AD183" i="1" s="1"/>
  <c r="R170" i="1"/>
  <c r="AD170" i="1" s="1"/>
  <c r="T161" i="1"/>
  <c r="AF161" i="1" s="1"/>
  <c r="U198" i="1"/>
  <c r="R172" i="1"/>
  <c r="AD172" i="1" s="1"/>
  <c r="P144" i="1"/>
  <c r="AB144" i="1" s="1"/>
  <c r="S172" i="1"/>
  <c r="AE172" i="1" s="1"/>
  <c r="R136" i="1"/>
  <c r="AD136" i="1" s="1"/>
  <c r="R210" i="1"/>
  <c r="AD210" i="1" s="1"/>
  <c r="R179" i="1"/>
  <c r="AD179" i="1" s="1"/>
  <c r="S143" i="1"/>
  <c r="AE143" i="1" s="1"/>
  <c r="S171" i="1"/>
  <c r="AE171" i="1" s="1"/>
  <c r="P169" i="1"/>
  <c r="AB169" i="1" s="1"/>
  <c r="S176" i="1"/>
  <c r="AE176" i="1" s="1"/>
  <c r="R155" i="1"/>
  <c r="AD155" i="1" s="1"/>
  <c r="S201" i="1"/>
  <c r="AE201" i="1" s="1"/>
  <c r="R196" i="1"/>
  <c r="AD196" i="1" s="1"/>
  <c r="S192" i="1"/>
  <c r="AE192" i="1" s="1"/>
  <c r="S175" i="1"/>
  <c r="AE175" i="1" s="1"/>
  <c r="S167" i="1"/>
  <c r="AE167" i="1" s="1"/>
  <c r="P157" i="1"/>
  <c r="AB157" i="1" s="1"/>
  <c r="P213" i="1"/>
  <c r="AB213" i="1" s="1"/>
  <c r="P178" i="1"/>
  <c r="AB178" i="1" s="1"/>
  <c r="P166" i="1"/>
  <c r="AB166" i="1" s="1"/>
  <c r="R154" i="1"/>
  <c r="AD154" i="1" s="1"/>
  <c r="R173" i="1"/>
  <c r="AD173" i="1" s="1"/>
  <c r="P149" i="1"/>
  <c r="AB149" i="1" s="1"/>
  <c r="P208" i="1"/>
  <c r="AB208" i="1" s="1"/>
  <c r="S177" i="1"/>
  <c r="AE177" i="1" s="1"/>
  <c r="T181" i="1"/>
  <c r="AF181" i="1" s="1"/>
  <c r="R153" i="1"/>
  <c r="AD153" i="1" s="1"/>
  <c r="R37" i="1"/>
  <c r="AD37" i="1" s="1"/>
  <c r="P83" i="1"/>
  <c r="AB83" i="1" s="1"/>
  <c r="S36" i="1"/>
  <c r="AE36" i="1" s="1"/>
  <c r="P70" i="1"/>
  <c r="AB70" i="1" s="1"/>
  <c r="S52" i="1"/>
  <c r="AE52" i="1" s="1"/>
  <c r="S31" i="1"/>
  <c r="AE31" i="1" s="1"/>
  <c r="S65" i="1"/>
  <c r="AE65" i="1" s="1"/>
  <c r="P85" i="1"/>
  <c r="P69" i="1"/>
  <c r="AB69" i="1" s="1"/>
  <c r="S86" i="1"/>
  <c r="AE86" i="1" s="1"/>
  <c r="R68" i="1"/>
  <c r="AD68" i="1" s="1"/>
  <c r="R38" i="1"/>
  <c r="AD38" i="1" s="1"/>
  <c r="S54" i="1"/>
  <c r="AE54" i="1" s="1"/>
  <c r="R79" i="1"/>
  <c r="AD79" i="1" s="1"/>
  <c r="R82" i="1"/>
  <c r="AD82" i="1" s="1"/>
  <c r="R151" i="1"/>
  <c r="AD151" i="1" s="1"/>
  <c r="R66" i="1"/>
  <c r="AD66" i="1" s="1"/>
  <c r="R65" i="1"/>
  <c r="AD65" i="1" s="1"/>
  <c r="R63" i="1"/>
  <c r="AD63" i="1" s="1"/>
  <c r="R199" i="1"/>
  <c r="AD199" i="1" s="1"/>
  <c r="R178" i="1"/>
  <c r="AD178" i="1" s="1"/>
  <c r="R192" i="1"/>
  <c r="AD192" i="1" s="1"/>
  <c r="R32" i="1"/>
  <c r="AD32" i="1" s="1"/>
  <c r="R47" i="1"/>
  <c r="AD47" i="1" s="1"/>
  <c r="T180" i="1"/>
  <c r="AF180" i="1" s="1"/>
  <c r="T195" i="1"/>
  <c r="AF195" i="1" s="1"/>
  <c r="T206" i="1"/>
  <c r="AF206" i="1" s="1"/>
  <c r="R64" i="1"/>
  <c r="AD64" i="1" s="1"/>
  <c r="R85" i="1"/>
  <c r="AD85" i="1" s="1"/>
  <c r="R67" i="1"/>
  <c r="AD67" i="1" s="1"/>
  <c r="R69" i="1"/>
  <c r="AD69" i="1" s="1"/>
  <c r="R84" i="1"/>
  <c r="AD84" i="1" s="1"/>
  <c r="R165" i="1"/>
  <c r="AD165" i="1" s="1"/>
  <c r="R141" i="1"/>
  <c r="AD141" i="1" s="1"/>
  <c r="R51" i="1"/>
  <c r="AD51" i="1" s="1"/>
  <c r="T178" i="1"/>
  <c r="AF178" i="1" s="1"/>
  <c r="U204" i="1"/>
  <c r="U189" i="1"/>
  <c r="R83" i="1"/>
  <c r="AD83" i="1" s="1"/>
  <c r="T198" i="1"/>
  <c r="AF198" i="1" s="1"/>
  <c r="T184" i="1"/>
  <c r="AF184" i="1" s="1"/>
  <c r="T143" i="1"/>
  <c r="AF143" i="1" s="1"/>
  <c r="T162" i="1"/>
  <c r="AF162" i="1" s="1"/>
  <c r="R211" i="1"/>
  <c r="AD211" i="1" s="1"/>
  <c r="T197" i="1"/>
  <c r="AF197" i="1" s="1"/>
  <c r="R176" i="1"/>
  <c r="AD176" i="1" s="1"/>
  <c r="R164" i="1"/>
  <c r="AD164" i="1" s="1"/>
  <c r="P155" i="1"/>
  <c r="AB155" i="1" s="1"/>
  <c r="P201" i="1"/>
  <c r="AB201" i="1" s="1"/>
  <c r="U159" i="1"/>
  <c r="S202" i="1"/>
  <c r="AE202" i="1" s="1"/>
  <c r="P205" i="1"/>
  <c r="AB205" i="1" s="1"/>
  <c r="T187" i="1"/>
  <c r="AF187" i="1" s="1"/>
  <c r="P167" i="1"/>
  <c r="AB167" i="1" s="1"/>
  <c r="R213" i="1"/>
  <c r="AD213" i="1" s="1"/>
  <c r="S209" i="1"/>
  <c r="AE209" i="1" s="1"/>
  <c r="T190" i="1"/>
  <c r="AF190" i="1" s="1"/>
  <c r="R166" i="1"/>
  <c r="AD166" i="1" s="1"/>
  <c r="P142" i="1"/>
  <c r="AB142" i="1" s="1"/>
  <c r="R177" i="1"/>
  <c r="AD177" i="1" s="1"/>
  <c r="T165" i="1"/>
  <c r="AF165" i="1" s="1"/>
  <c r="P181" i="1"/>
  <c r="AB181" i="1" s="1"/>
  <c r="P200" i="1"/>
  <c r="AB200" i="1" s="1"/>
  <c r="S182" i="1"/>
  <c r="AE182" i="1" s="1"/>
  <c r="T185" i="1"/>
  <c r="AF185" i="1" s="1"/>
  <c r="T216" i="1"/>
  <c r="AF216" i="1" s="1"/>
  <c r="S33" i="1"/>
  <c r="AE33" i="1" s="1"/>
  <c r="S35" i="1"/>
  <c r="AE35" i="1" s="1"/>
  <c r="S83" i="1"/>
  <c r="AE83" i="1" s="1"/>
  <c r="S64" i="1"/>
  <c r="AE64" i="1" s="1"/>
  <c r="R36" i="1"/>
  <c r="AD36" i="1" s="1"/>
  <c r="S85" i="1"/>
  <c r="AE85" i="1" s="1"/>
  <c r="S67" i="1"/>
  <c r="AE67" i="1" s="1"/>
  <c r="S69" i="1"/>
  <c r="AE69" i="1" s="1"/>
  <c r="R86" i="1"/>
  <c r="AD86" i="1" s="1"/>
  <c r="S50" i="1"/>
  <c r="AE50" i="1" s="1"/>
  <c r="T54" i="1"/>
  <c r="AF54" i="1" s="1"/>
  <c r="R148" i="1"/>
  <c r="AD148" i="1" s="1"/>
  <c r="U191" i="1"/>
  <c r="R216" i="1"/>
  <c r="AD216" i="1" s="1"/>
  <c r="T147" i="1"/>
  <c r="AF147" i="1" s="1"/>
  <c r="R209" i="1"/>
  <c r="AD209" i="1" s="1"/>
  <c r="T158" i="1"/>
  <c r="AF158" i="1" s="1"/>
  <c r="R149" i="1"/>
  <c r="AD149" i="1" s="1"/>
  <c r="T193" i="1"/>
  <c r="AF193" i="1" s="1"/>
  <c r="R33" i="1"/>
  <c r="AD33" i="1" s="1"/>
  <c r="T172" i="1"/>
  <c r="AF172" i="1" s="1"/>
  <c r="R162" i="1"/>
  <c r="AD162" i="1" s="1"/>
  <c r="S211" i="1"/>
  <c r="AE211" i="1" s="1"/>
  <c r="U197" i="1"/>
  <c r="R188" i="1"/>
  <c r="AD188" i="1" s="1"/>
  <c r="T176" i="1"/>
  <c r="AF176" i="1" s="1"/>
  <c r="T155" i="1"/>
  <c r="AF155" i="1" s="1"/>
  <c r="T202" i="1"/>
  <c r="AF202" i="1" s="1"/>
  <c r="P199" i="1"/>
  <c r="AB199" i="1" s="1"/>
  <c r="T215" i="1"/>
  <c r="AF215" i="1" s="1"/>
  <c r="P175" i="1"/>
  <c r="AB175" i="1" s="1"/>
  <c r="P214" i="1"/>
  <c r="AB214" i="1" s="1"/>
  <c r="S183" i="1"/>
  <c r="AE183" i="1" s="1"/>
  <c r="T186" i="1"/>
  <c r="AF186" i="1" s="1"/>
  <c r="S213" i="1"/>
  <c r="AE213" i="1" s="1"/>
  <c r="S166" i="1"/>
  <c r="AE166" i="1" s="1"/>
  <c r="P154" i="1"/>
  <c r="AB154" i="1" s="1"/>
  <c r="T142" i="1"/>
  <c r="AF142" i="1" s="1"/>
  <c r="S194" i="1"/>
  <c r="AE194" i="1" s="1"/>
  <c r="R208" i="1"/>
  <c r="AD208" i="1" s="1"/>
  <c r="T177" i="1"/>
  <c r="AF177" i="1" s="1"/>
  <c r="P145" i="1"/>
  <c r="AB145" i="1" s="1"/>
  <c r="P217" i="1"/>
  <c r="AB217" i="1" s="1"/>
  <c r="T212" i="1"/>
  <c r="AF212" i="1" s="1"/>
  <c r="U185" i="1"/>
  <c r="R161" i="1"/>
  <c r="AD161" i="1" s="1"/>
  <c r="P153" i="1"/>
  <c r="AB153" i="1" s="1"/>
  <c r="T33" i="1"/>
  <c r="AF33" i="1" s="1"/>
  <c r="T49" i="1"/>
  <c r="AF49" i="1" s="1"/>
  <c r="T35" i="1"/>
  <c r="AF35" i="1" s="1"/>
  <c r="T37" i="1"/>
  <c r="AF37" i="1" s="1"/>
  <c r="T83" i="1"/>
  <c r="AF83" i="1" s="1"/>
  <c r="S53" i="1"/>
  <c r="AE53" i="1" s="1"/>
  <c r="T32" i="1"/>
  <c r="AF32" i="1" s="1"/>
  <c r="R48" i="1"/>
  <c r="AD48" i="1" s="1"/>
  <c r="T36" i="1"/>
  <c r="AF36" i="1" s="1"/>
  <c r="T70" i="1"/>
  <c r="AF70" i="1" s="1"/>
  <c r="T52" i="1"/>
  <c r="AF52" i="1" s="1"/>
  <c r="T31" i="1"/>
  <c r="AF31" i="1" s="1"/>
  <c r="T65" i="1"/>
  <c r="AF65" i="1" s="1"/>
  <c r="T81" i="1"/>
  <c r="AF81" i="1" s="1"/>
  <c r="T85" i="1"/>
  <c r="AF85" i="1" s="1"/>
  <c r="T67" i="1"/>
  <c r="AF67" i="1" s="1"/>
  <c r="T69" i="1"/>
  <c r="AF69" i="1" s="1"/>
  <c r="T86" i="1"/>
  <c r="AF86" i="1" s="1"/>
  <c r="T34" i="1"/>
  <c r="AF34" i="1" s="1"/>
  <c r="T68" i="1"/>
  <c r="AF68" i="1" s="1"/>
  <c r="T38" i="1"/>
  <c r="AF38" i="1" s="1"/>
  <c r="T84" i="1"/>
  <c r="AF84" i="1" s="1"/>
  <c r="R217" i="1"/>
  <c r="AD217" i="1" s="1"/>
  <c r="R189" i="1"/>
  <c r="AD189" i="1" s="1"/>
  <c r="T150" i="1"/>
  <c r="AF150" i="1" s="1"/>
  <c r="R190" i="1"/>
  <c r="AD190" i="1" s="1"/>
  <c r="R53" i="1"/>
  <c r="AD53" i="1" s="1"/>
  <c r="R207" i="1"/>
  <c r="AD207" i="1" s="1"/>
  <c r="R218" i="1"/>
  <c r="AD218" i="1" s="1"/>
  <c r="T211" i="1"/>
  <c r="AF211" i="1" s="1"/>
  <c r="T188" i="1"/>
  <c r="AF188" i="1" s="1"/>
  <c r="P140" i="1"/>
  <c r="AB140" i="1" s="1"/>
  <c r="P219" i="1"/>
  <c r="AB219" i="1" s="1"/>
  <c r="U155" i="1"/>
  <c r="S159" i="1"/>
  <c r="AE159" i="1" s="1"/>
  <c r="S203" i="1"/>
  <c r="AE203" i="1" s="1"/>
  <c r="P192" i="1"/>
  <c r="AB192" i="1" s="1"/>
  <c r="P180" i="1"/>
  <c r="AB180" i="1" s="1"/>
  <c r="P156" i="1"/>
  <c r="AB156" i="1" s="1"/>
  <c r="S195" i="1"/>
  <c r="AE195" i="1" s="1"/>
  <c r="T199" i="1"/>
  <c r="AF199" i="1" s="1"/>
  <c r="R163" i="1"/>
  <c r="AD163" i="1" s="1"/>
  <c r="P139" i="1"/>
  <c r="AB139" i="1" s="1"/>
  <c r="U214" i="1"/>
  <c r="U186" i="1"/>
  <c r="R157" i="1"/>
  <c r="AD157" i="1" s="1"/>
  <c r="T166" i="1"/>
  <c r="AF166" i="1" s="1"/>
  <c r="T154" i="1"/>
  <c r="AF154" i="1" s="1"/>
  <c r="T173" i="1"/>
  <c r="AF173" i="1" s="1"/>
  <c r="S149" i="1"/>
  <c r="AE149" i="1" s="1"/>
  <c r="U177" i="1"/>
  <c r="P165" i="1"/>
  <c r="AB165" i="1" s="1"/>
  <c r="T145" i="1"/>
  <c r="AF145" i="1" s="1"/>
  <c r="T182" i="1"/>
  <c r="AF182" i="1" s="1"/>
  <c r="S161" i="1"/>
  <c r="AE161" i="1" s="1"/>
  <c r="J216" i="1"/>
  <c r="J217" i="1"/>
  <c r="J212" i="1"/>
  <c r="J210" i="1"/>
  <c r="J219" i="1"/>
  <c r="J199" i="1"/>
  <c r="J171" i="1"/>
  <c r="J190" i="1"/>
  <c r="J178" i="1"/>
  <c r="J182" i="1"/>
  <c r="J180" i="1"/>
  <c r="J163" i="1"/>
  <c r="J162" i="1"/>
  <c r="J148" i="1"/>
  <c r="J136" i="1"/>
  <c r="J152" i="1"/>
  <c r="J150" i="1"/>
  <c r="J151" i="1"/>
  <c r="J154" i="1"/>
  <c r="J145" i="1"/>
  <c r="J146" i="1"/>
  <c r="AB135" i="1"/>
  <c r="B78" i="2"/>
  <c r="B80" i="2" s="1"/>
  <c r="B84" i="2" s="1"/>
  <c r="AC100" i="1"/>
  <c r="X216" i="1"/>
  <c r="I6" i="2"/>
  <c r="I8" i="2" s="1"/>
  <c r="I12" i="2" s="1"/>
  <c r="F54" i="2"/>
  <c r="F56" i="2" s="1"/>
  <c r="F60" i="2" s="1"/>
  <c r="D6" i="2"/>
  <c r="D8" i="2" s="1"/>
  <c r="D7" i="2" s="1"/>
  <c r="I54" i="2"/>
  <c r="I56" i="2" s="1"/>
  <c r="I60" i="2" s="1"/>
  <c r="H30" i="2"/>
  <c r="H32" i="2" s="1"/>
  <c r="H31" i="2" s="1"/>
  <c r="E30" i="2"/>
  <c r="E32" i="2" s="1"/>
  <c r="E31" i="2" s="1"/>
  <c r="C6" i="2"/>
  <c r="C8" i="2" s="1"/>
  <c r="C12" i="2" s="1"/>
  <c r="G6" i="2"/>
  <c r="G8" i="2" s="1"/>
  <c r="G7" i="2" s="1"/>
  <c r="E78" i="2"/>
  <c r="E80" i="2" s="1"/>
  <c r="E84" i="2" s="1"/>
  <c r="D30" i="2"/>
  <c r="D32" i="2" s="1"/>
  <c r="D31" i="2" s="1"/>
  <c r="G54" i="2"/>
  <c r="G56" i="2" s="1"/>
  <c r="G55" i="2" s="1"/>
  <c r="D54" i="2"/>
  <c r="D56" i="2" s="1"/>
  <c r="D60" i="2" s="1"/>
  <c r="G30" i="2"/>
  <c r="G32" i="2" s="1"/>
  <c r="G31" i="2" s="1"/>
  <c r="I78" i="2"/>
  <c r="I80" i="2" s="1"/>
  <c r="I84" i="2" s="1"/>
  <c r="H6" i="2"/>
  <c r="H8" i="2" s="1"/>
  <c r="H12" i="2" s="1"/>
  <c r="C54" i="2"/>
  <c r="C56" i="2" s="1"/>
  <c r="C55" i="2" s="1"/>
  <c r="J30" i="2"/>
  <c r="J32" i="2" s="1"/>
  <c r="J31" i="2" s="1"/>
  <c r="W13" i="2"/>
  <c r="L54" i="2"/>
  <c r="L56" i="2" s="1"/>
  <c r="L60" i="2" s="1"/>
  <c r="M6" i="2"/>
  <c r="M8" i="2" s="1"/>
  <c r="M12" i="2" s="1"/>
  <c r="B30" i="2"/>
  <c r="B32" i="2" s="1"/>
  <c r="B36" i="2" s="1"/>
  <c r="C78" i="2"/>
  <c r="C80" i="2" s="1"/>
  <c r="C79" i="2" s="1"/>
  <c r="F78" i="2"/>
  <c r="F80" i="2" s="1"/>
  <c r="F79" i="2" s="1"/>
  <c r="C30" i="2"/>
  <c r="C32" i="2" s="1"/>
  <c r="C31" i="2" s="1"/>
  <c r="B6" i="2"/>
  <c r="B8" i="2" s="1"/>
  <c r="B12" i="2" s="1"/>
  <c r="I30" i="2"/>
  <c r="I32" i="2" s="1"/>
  <c r="I31" i="2" s="1"/>
  <c r="B54" i="2"/>
  <c r="B56" i="2" s="1"/>
  <c r="B60" i="2" s="1"/>
  <c r="F30" i="2"/>
  <c r="F32" i="2" s="1"/>
  <c r="F31" i="2" s="1"/>
  <c r="H54" i="2"/>
  <c r="H56" i="2" s="1"/>
  <c r="H60" i="2" s="1"/>
  <c r="G78" i="2"/>
  <c r="G80" i="2" s="1"/>
  <c r="G84" i="2" s="1"/>
  <c r="E6" i="2"/>
  <c r="E8" i="2" s="1"/>
  <c r="E12" i="2" s="1"/>
  <c r="E54" i="2"/>
  <c r="E56" i="2" s="1"/>
  <c r="E55" i="2" s="1"/>
  <c r="F6" i="2"/>
  <c r="F8" i="2" s="1"/>
  <c r="F7" i="2" s="1"/>
  <c r="D78" i="2"/>
  <c r="D80" i="2" s="1"/>
  <c r="D79" i="2" s="1"/>
  <c r="J78" i="2"/>
  <c r="J80" i="2" s="1"/>
  <c r="J84" i="2" s="1"/>
  <c r="J6" i="2"/>
  <c r="J8" i="2" s="1"/>
  <c r="J7" i="2" s="1"/>
  <c r="M30" i="2"/>
  <c r="M32" i="2" s="1"/>
  <c r="M36" i="2" s="1"/>
  <c r="AB109" i="1"/>
  <c r="AB102" i="1"/>
  <c r="AC125" i="1"/>
  <c r="AB133" i="1"/>
  <c r="AC103" i="1"/>
  <c r="AB97" i="1"/>
  <c r="AB110" i="1"/>
  <c r="AB115" i="1"/>
  <c r="AB125" i="1"/>
  <c r="AB107" i="1"/>
  <c r="AC98" i="1"/>
  <c r="AB108" i="1"/>
  <c r="AB126" i="1"/>
  <c r="AB101" i="1"/>
  <c r="AB106" i="1"/>
  <c r="AB100" i="1"/>
  <c r="AC106" i="1"/>
  <c r="AB112" i="1"/>
  <c r="AB124" i="1"/>
  <c r="K6" i="2"/>
  <c r="K8" i="2" s="1"/>
  <c r="K7" i="2" s="1"/>
  <c r="K30" i="2"/>
  <c r="K32" i="2" s="1"/>
  <c r="K36" i="2" s="1"/>
  <c r="N54" i="2"/>
  <c r="N56" i="2" s="1"/>
  <c r="N55" i="2" s="1"/>
  <c r="M78" i="2"/>
  <c r="M80" i="2" s="1"/>
  <c r="M84" i="2" s="1"/>
  <c r="L30" i="2"/>
  <c r="L32" i="2" s="1"/>
  <c r="L36" i="2" s="1"/>
  <c r="L6" i="2"/>
  <c r="L8" i="2" s="1"/>
  <c r="L12" i="2" s="1"/>
  <c r="J54" i="2"/>
  <c r="J56" i="2" s="1"/>
  <c r="J60" i="2" s="1"/>
  <c r="K54" i="2"/>
  <c r="K56" i="2" s="1"/>
  <c r="K60" i="2" s="1"/>
  <c r="N78" i="2"/>
  <c r="N80" i="2" s="1"/>
  <c r="N79" i="2" s="1"/>
  <c r="K78" i="2"/>
  <c r="K80" i="2" s="1"/>
  <c r="K84" i="2" s="1"/>
  <c r="M54" i="2"/>
  <c r="M56" i="2" s="1"/>
  <c r="M55" i="2" s="1"/>
  <c r="N6" i="2"/>
  <c r="N8" i="2" s="1"/>
  <c r="N12" i="2" s="1"/>
  <c r="N30" i="2"/>
  <c r="N32" i="2" s="1"/>
  <c r="N36" i="2" s="1"/>
  <c r="L84" i="2"/>
  <c r="L79" i="2"/>
  <c r="B79" i="2"/>
  <c r="H84" i="2"/>
  <c r="H79" i="2"/>
  <c r="E36" i="2"/>
  <c r="G60" i="2"/>
  <c r="X32" i="1"/>
  <c r="AC107" i="1"/>
  <c r="AC111" i="1"/>
  <c r="N18" i="1"/>
  <c r="AC104" i="1"/>
  <c r="AC128" i="1"/>
  <c r="X37" i="1"/>
  <c r="AB128" i="1"/>
  <c r="AB129" i="1"/>
  <c r="AB131" i="1"/>
  <c r="M20" i="1"/>
  <c r="AB104" i="1"/>
  <c r="AC113" i="1"/>
  <c r="AC105" i="1"/>
  <c r="AB113" i="1"/>
  <c r="AB114" i="1"/>
  <c r="AC134" i="1"/>
  <c r="X81" i="1"/>
  <c r="AB132" i="1"/>
  <c r="AB130" i="1"/>
  <c r="AC101" i="1"/>
  <c r="AB98" i="1"/>
  <c r="AB127" i="1"/>
  <c r="AA115" i="1"/>
  <c r="AA134" i="1"/>
  <c r="AA106" i="1"/>
  <c r="AA103" i="1"/>
  <c r="X38" i="1"/>
  <c r="AA112" i="1"/>
  <c r="AA131" i="1"/>
  <c r="AA126" i="1"/>
  <c r="V54" i="1"/>
  <c r="V64" i="1"/>
  <c r="V81" i="1"/>
  <c r="V79" i="1"/>
  <c r="V49" i="1"/>
  <c r="V66" i="1"/>
  <c r="V69" i="1"/>
  <c r="V51" i="1"/>
  <c r="V31" i="1"/>
  <c r="V65" i="1"/>
  <c r="V47" i="1"/>
  <c r="V34" i="1"/>
  <c r="V50" i="1"/>
  <c r="V70" i="1"/>
  <c r="V53" i="1"/>
  <c r="V83" i="1"/>
  <c r="AG80" i="1"/>
  <c r="AG50" i="1"/>
  <c r="AG35" i="1"/>
  <c r="AG81" i="1"/>
  <c r="AG52" i="1"/>
  <c r="AG33" i="1"/>
  <c r="AG49" i="1"/>
  <c r="AG38" i="1"/>
  <c r="AG54" i="1"/>
  <c r="AG85" i="1"/>
  <c r="AG37" i="1"/>
  <c r="AG83" i="1"/>
  <c r="AG53" i="1"/>
  <c r="AG48" i="1"/>
  <c r="AG82" i="1"/>
  <c r="J18" i="1"/>
  <c r="J20" i="1"/>
  <c r="K18" i="1"/>
  <c r="K199" i="1" s="1"/>
  <c r="AB54" i="1"/>
  <c r="AB34" i="1"/>
  <c r="AB85" i="1"/>
  <c r="AA196" i="1"/>
  <c r="AA180" i="1"/>
  <c r="AA213" i="1"/>
  <c r="AA201" i="1"/>
  <c r="AA202" i="1"/>
  <c r="AA170" i="1"/>
  <c r="AA146" i="1"/>
  <c r="AA149" i="1"/>
  <c r="AA200" i="1"/>
  <c r="AA162" i="1"/>
  <c r="AA161" i="1"/>
  <c r="AA198" i="1"/>
  <c r="AA145" i="1"/>
  <c r="AA164" i="1"/>
  <c r="AA181" i="1"/>
  <c r="AA169" i="1"/>
  <c r="AA152" i="1"/>
  <c r="U18" i="1"/>
  <c r="U206" i="1" s="1"/>
  <c r="AC218" i="1"/>
  <c r="AC211" i="1"/>
  <c r="AC179" i="1"/>
  <c r="AC201" i="1"/>
  <c r="AC183" i="1"/>
  <c r="AC171" i="1"/>
  <c r="AC216" i="1"/>
  <c r="AC174" i="1"/>
  <c r="AC192" i="1"/>
  <c r="AC149" i="1"/>
  <c r="AC153" i="1"/>
  <c r="AC141" i="1"/>
  <c r="AC166" i="1"/>
  <c r="AC157" i="1"/>
  <c r="AC145" i="1"/>
  <c r="AC209" i="1"/>
  <c r="AC196" i="1"/>
  <c r="AC194" i="1"/>
  <c r="AC203" i="1"/>
  <c r="AC184" i="1"/>
  <c r="AC176" i="1"/>
  <c r="AC202" i="1"/>
  <c r="AC188" i="1"/>
  <c r="AC151" i="1"/>
  <c r="AC139" i="1"/>
  <c r="AC193" i="1"/>
  <c r="AC160" i="1"/>
  <c r="AC136" i="1"/>
  <c r="AC200" i="1"/>
  <c r="AC212" i="1"/>
  <c r="AC206" i="1"/>
  <c r="AC198" i="1"/>
  <c r="AC154" i="1"/>
  <c r="AC190" i="1"/>
  <c r="AC140" i="1"/>
  <c r="AC144" i="1"/>
  <c r="AC162" i="1"/>
  <c r="AC210" i="1"/>
  <c r="AC170" i="1"/>
  <c r="AC159" i="1"/>
  <c r="AC147" i="1"/>
  <c r="AC169" i="1"/>
  <c r="AC142" i="1"/>
  <c r="AC177" i="1"/>
  <c r="AC215" i="1"/>
  <c r="AC164" i="1"/>
  <c r="AC138" i="1"/>
  <c r="AC204" i="1"/>
  <c r="AC165" i="1"/>
  <c r="AC181" i="1"/>
  <c r="K22" i="1"/>
  <c r="AD134" i="1"/>
  <c r="AD125" i="1"/>
  <c r="AD135" i="1"/>
  <c r="AD105" i="1"/>
  <c r="AD109" i="1"/>
  <c r="AD133" i="1"/>
  <c r="AD130" i="1"/>
  <c r="AD127" i="1"/>
  <c r="AD103" i="1"/>
  <c r="AD132" i="1"/>
  <c r="AD114" i="1"/>
  <c r="AD102" i="1"/>
  <c r="AD96" i="1"/>
  <c r="AD124" i="1"/>
  <c r="AD110" i="1"/>
  <c r="AD95" i="1"/>
  <c r="AD106" i="1"/>
  <c r="AD126" i="1"/>
  <c r="AD129" i="1"/>
  <c r="AD101" i="1"/>
  <c r="AD107" i="1"/>
  <c r="AD115" i="1"/>
  <c r="AD99" i="1"/>
  <c r="AD100" i="1"/>
  <c r="AD113" i="1"/>
  <c r="AD111" i="1"/>
  <c r="AD104" i="1"/>
  <c r="AA31" i="1"/>
  <c r="AA65" i="1"/>
  <c r="AA84" i="1"/>
  <c r="AA54" i="1"/>
  <c r="AA37" i="1"/>
  <c r="AA85" i="1"/>
  <c r="AA67" i="1"/>
  <c r="AA82" i="1"/>
  <c r="AA64" i="1"/>
  <c r="AA32" i="1"/>
  <c r="AA66" i="1"/>
  <c r="AA48" i="1"/>
  <c r="AA69" i="1"/>
  <c r="AA33" i="1"/>
  <c r="AA35" i="1"/>
  <c r="AA79" i="1"/>
  <c r="AA51" i="1"/>
  <c r="AA50" i="1"/>
  <c r="U20" i="1"/>
  <c r="AC64" i="1"/>
  <c r="AC37" i="1"/>
  <c r="AC52" i="1"/>
  <c r="AC84" i="1"/>
  <c r="AC63" i="1"/>
  <c r="AC34" i="1"/>
  <c r="AC80" i="1"/>
  <c r="AC32" i="1"/>
  <c r="AC48" i="1"/>
  <c r="AC33" i="1"/>
  <c r="AC49" i="1"/>
  <c r="AD186" i="1"/>
  <c r="AD174" i="1"/>
  <c r="AD191" i="1"/>
  <c r="AD145" i="1"/>
  <c r="AD198" i="1"/>
  <c r="AD197" i="1"/>
  <c r="AD140" i="1"/>
  <c r="AD180" i="1"/>
  <c r="AD146" i="1"/>
  <c r="AD156" i="1"/>
  <c r="AE51" i="1"/>
  <c r="AE37" i="1"/>
  <c r="AE49" i="1"/>
  <c r="AE32" i="1"/>
  <c r="AE82" i="1"/>
  <c r="AE84" i="1"/>
  <c r="AE68" i="1"/>
  <c r="AF210" i="1"/>
  <c r="AF194" i="1"/>
  <c r="AF219" i="1"/>
  <c r="AF209" i="1"/>
  <c r="AF169" i="1"/>
  <c r="AF171" i="1"/>
  <c r="AF159" i="1"/>
  <c r="AF179" i="1"/>
  <c r="AF191" i="1"/>
  <c r="AF183" i="1"/>
  <c r="AF146" i="1"/>
  <c r="AF175" i="1"/>
  <c r="AF201" i="1"/>
  <c r="AF138" i="1"/>
  <c r="AF167" i="1"/>
  <c r="AB215" i="1"/>
  <c r="AB207" i="1"/>
  <c r="AB206" i="1"/>
  <c r="AB187" i="1"/>
  <c r="AB163" i="1"/>
  <c r="AB203" i="1"/>
  <c r="AB161" i="1"/>
  <c r="AB151" i="1"/>
  <c r="AB198" i="1"/>
  <c r="AB188" i="1"/>
  <c r="AB197" i="1"/>
  <c r="AB152" i="1"/>
  <c r="AB138" i="1"/>
  <c r="AB194" i="1"/>
  <c r="AF102" i="1"/>
  <c r="AF131" i="1"/>
  <c r="AF101" i="1"/>
  <c r="AF99" i="1"/>
  <c r="AF115" i="1"/>
  <c r="AF114" i="1"/>
  <c r="AF110" i="1"/>
  <c r="AF104" i="1"/>
  <c r="AF111" i="1"/>
  <c r="AF64" i="1"/>
  <c r="AF50" i="1"/>
  <c r="AF66" i="1"/>
  <c r="AE129" i="1"/>
  <c r="AE113" i="1"/>
  <c r="AE124" i="1"/>
  <c r="AE132" i="1"/>
  <c r="AE98" i="1"/>
  <c r="AE97" i="1"/>
  <c r="AE128" i="1"/>
  <c r="AE134" i="1"/>
  <c r="AE112" i="1"/>
  <c r="AE115" i="1"/>
  <c r="AE110" i="1"/>
  <c r="AE108" i="1"/>
  <c r="AE162" i="1"/>
  <c r="AE210" i="1"/>
  <c r="AE193" i="1"/>
  <c r="AE160" i="1"/>
  <c r="AE140" i="1"/>
  <c r="AE185" i="1"/>
  <c r="AE180" i="1"/>
  <c r="AE141" i="1"/>
  <c r="AE218" i="1"/>
  <c r="AE165" i="1"/>
  <c r="AE188" i="1"/>
  <c r="AE137" i="1"/>
  <c r="J119" i="1" l="1"/>
  <c r="V119" i="1" s="1"/>
  <c r="J122" i="1"/>
  <c r="V122" i="1" s="1"/>
  <c r="J118" i="1"/>
  <c r="V118" i="1" s="1"/>
  <c r="J121" i="1"/>
  <c r="V121" i="1" s="1"/>
  <c r="J116" i="1"/>
  <c r="V116" i="1" s="1"/>
  <c r="J123" i="1"/>
  <c r="V123" i="1" s="1"/>
  <c r="J117" i="1"/>
  <c r="V117" i="1" s="1"/>
  <c r="J120" i="1"/>
  <c r="V120" i="1" s="1"/>
  <c r="J133" i="1"/>
  <c r="J111" i="1"/>
  <c r="J109" i="1"/>
  <c r="V109" i="1" s="1"/>
  <c r="J115" i="1"/>
  <c r="V115" i="1" s="1"/>
  <c r="J112" i="1"/>
  <c r="J100" i="1"/>
  <c r="J114" i="1"/>
  <c r="J132" i="1"/>
  <c r="J102" i="1"/>
  <c r="V102" i="1" s="1"/>
  <c r="J129" i="1"/>
  <c r="V129" i="1" s="1"/>
  <c r="J125" i="1"/>
  <c r="V125" i="1" s="1"/>
  <c r="J113" i="1"/>
  <c r="J130" i="1"/>
  <c r="J104" i="1"/>
  <c r="J105" i="1"/>
  <c r="V105" i="1" s="1"/>
  <c r="J127" i="1"/>
  <c r="V127" i="1" s="1"/>
  <c r="J131" i="1"/>
  <c r="V131" i="1" s="1"/>
  <c r="J110" i="1"/>
  <c r="J101" i="1"/>
  <c r="V101" i="1" s="1"/>
  <c r="J126" i="1"/>
  <c r="V126" i="1" s="1"/>
  <c r="J134" i="1"/>
  <c r="V134" i="1" s="1"/>
  <c r="J97" i="1"/>
  <c r="V97" i="1" s="1"/>
  <c r="J107" i="1"/>
  <c r="V107" i="1" s="1"/>
  <c r="J95" i="1"/>
  <c r="J135" i="1"/>
  <c r="J98" i="1"/>
  <c r="V98" i="1" s="1"/>
  <c r="J108" i="1"/>
  <c r="V108" i="1" s="1"/>
  <c r="J106" i="1"/>
  <c r="V106" i="1" s="1"/>
  <c r="J128" i="1"/>
  <c r="J124" i="1"/>
  <c r="J103" i="1"/>
  <c r="J99" i="1"/>
  <c r="J96" i="1"/>
  <c r="V96" i="1" s="1"/>
  <c r="J211" i="1"/>
  <c r="V211" i="1" s="1"/>
  <c r="J207" i="1"/>
  <c r="V207" i="1" s="1"/>
  <c r="J157" i="1"/>
  <c r="J164" i="1"/>
  <c r="J161" i="1"/>
  <c r="V161" i="1" s="1"/>
  <c r="J181" i="1"/>
  <c r="V181" i="1" s="1"/>
  <c r="J179" i="1"/>
  <c r="V179" i="1" s="1"/>
  <c r="J198" i="1"/>
  <c r="U201" i="1"/>
  <c r="U182" i="1"/>
  <c r="AG182" i="1" s="1"/>
  <c r="U211" i="1"/>
  <c r="U160" i="1"/>
  <c r="AG160" i="1" s="1"/>
  <c r="U151" i="1"/>
  <c r="AG151" i="1" s="1"/>
  <c r="U148" i="1"/>
  <c r="AG148" i="1" s="1"/>
  <c r="U166" i="1"/>
  <c r="U208" i="1"/>
  <c r="U163" i="1"/>
  <c r="AG163" i="1" s="1"/>
  <c r="U213" i="1"/>
  <c r="AG213" i="1" s="1"/>
  <c r="U162" i="1"/>
  <c r="AG162" i="1" s="1"/>
  <c r="M121" i="1"/>
  <c r="Y121" i="1" s="1"/>
  <c r="M117" i="1"/>
  <c r="Y117" i="1" s="1"/>
  <c r="M120" i="1"/>
  <c r="Y120" i="1" s="1"/>
  <c r="M116" i="1"/>
  <c r="Y116" i="1" s="1"/>
  <c r="M123" i="1"/>
  <c r="Y123" i="1" s="1"/>
  <c r="M119" i="1"/>
  <c r="Y119" i="1" s="1"/>
  <c r="M118" i="1"/>
  <c r="Y118" i="1" s="1"/>
  <c r="M122" i="1"/>
  <c r="Y122" i="1" s="1"/>
  <c r="J138" i="1"/>
  <c r="J144" i="1"/>
  <c r="V144" i="1" s="1"/>
  <c r="J170" i="1"/>
  <c r="V170" i="1" s="1"/>
  <c r="J177" i="1"/>
  <c r="V177" i="1" s="1"/>
  <c r="J184" i="1"/>
  <c r="J214" i="1"/>
  <c r="U190" i="1"/>
  <c r="U150" i="1"/>
  <c r="AG150" i="1" s="1"/>
  <c r="U144" i="1"/>
  <c r="AG144" i="1" s="1"/>
  <c r="U172" i="1"/>
  <c r="AG172" i="1" s="1"/>
  <c r="J147" i="1"/>
  <c r="V147" i="1" s="1"/>
  <c r="J169" i="1"/>
  <c r="J166" i="1"/>
  <c r="J173" i="1"/>
  <c r="V173" i="1" s="1"/>
  <c r="J196" i="1"/>
  <c r="V196" i="1" s="1"/>
  <c r="J201" i="1"/>
  <c r="V201" i="1" s="1"/>
  <c r="U176" i="1"/>
  <c r="K170" i="1"/>
  <c r="U171" i="1"/>
  <c r="U137" i="1"/>
  <c r="U199" i="1"/>
  <c r="U202" i="1"/>
  <c r="AG202" i="1" s="1"/>
  <c r="U140" i="1"/>
  <c r="AG140" i="1" s="1"/>
  <c r="K75" i="1"/>
  <c r="W75" i="1" s="1"/>
  <c r="K94" i="1"/>
  <c r="W94" i="1" s="1"/>
  <c r="K93" i="1"/>
  <c r="W93" i="1" s="1"/>
  <c r="K46" i="1"/>
  <c r="W46" i="1" s="1"/>
  <c r="K43" i="1"/>
  <c r="W43" i="1" s="1"/>
  <c r="K56" i="1"/>
  <c r="W56" i="1" s="1"/>
  <c r="K76" i="1"/>
  <c r="W76" i="1" s="1"/>
  <c r="K77" i="1"/>
  <c r="W77" i="1" s="1"/>
  <c r="K71" i="1"/>
  <c r="W71" i="1" s="1"/>
  <c r="K88" i="1"/>
  <c r="W88" i="1" s="1"/>
  <c r="K87" i="1"/>
  <c r="W87" i="1" s="1"/>
  <c r="K42" i="1"/>
  <c r="W42" i="1" s="1"/>
  <c r="K45" i="1"/>
  <c r="W45" i="1" s="1"/>
  <c r="K89" i="1"/>
  <c r="W89" i="1" s="1"/>
  <c r="K90" i="1"/>
  <c r="W90" i="1" s="1"/>
  <c r="K55" i="1"/>
  <c r="W55" i="1" s="1"/>
  <c r="K40" i="1"/>
  <c r="W40" i="1" s="1"/>
  <c r="K72" i="1"/>
  <c r="W72" i="1" s="1"/>
  <c r="K39" i="1"/>
  <c r="W39" i="1" s="1"/>
  <c r="K92" i="1"/>
  <c r="W92" i="1" s="1"/>
  <c r="K57" i="1"/>
  <c r="W57" i="1" s="1"/>
  <c r="K62" i="1"/>
  <c r="W62" i="1" s="1"/>
  <c r="K78" i="1"/>
  <c r="W78" i="1" s="1"/>
  <c r="K73" i="1"/>
  <c r="W73" i="1" s="1"/>
  <c r="K58" i="1"/>
  <c r="W58" i="1" s="1"/>
  <c r="K61" i="1"/>
  <c r="W61" i="1" s="1"/>
  <c r="K74" i="1"/>
  <c r="W74" i="1" s="1"/>
  <c r="K91" i="1"/>
  <c r="W91" i="1" s="1"/>
  <c r="K60" i="1"/>
  <c r="W60" i="1" s="1"/>
  <c r="K44" i="1"/>
  <c r="W44" i="1" s="1"/>
  <c r="K59" i="1"/>
  <c r="W59" i="1" s="1"/>
  <c r="K41" i="1"/>
  <c r="W41" i="1" s="1"/>
  <c r="J137" i="1"/>
  <c r="V137" i="1" s="1"/>
  <c r="J139" i="1"/>
  <c r="V139" i="1" s="1"/>
  <c r="J143" i="1"/>
  <c r="V143" i="1" s="1"/>
  <c r="J167" i="1"/>
  <c r="V167" i="1" s="1"/>
  <c r="J194" i="1"/>
  <c r="J204" i="1"/>
  <c r="J218" i="1"/>
  <c r="V218" i="1" s="1"/>
  <c r="U200" i="1"/>
  <c r="AG200" i="1" s="1"/>
  <c r="U158" i="1"/>
  <c r="AG158" i="1" s="1"/>
  <c r="U136" i="1"/>
  <c r="AG136" i="1" s="1"/>
  <c r="U170" i="1"/>
  <c r="U179" i="1"/>
  <c r="U141" i="1"/>
  <c r="AG141" i="1" s="1"/>
  <c r="U193" i="1"/>
  <c r="J186" i="1"/>
  <c r="V186" i="1" s="1"/>
  <c r="U188" i="1"/>
  <c r="AG188" i="1" s="1"/>
  <c r="K203" i="1"/>
  <c r="J153" i="1"/>
  <c r="N77" i="1"/>
  <c r="Z77" i="1" s="1"/>
  <c r="N59" i="1"/>
  <c r="Z59" i="1" s="1"/>
  <c r="N41" i="1"/>
  <c r="Z41" i="1" s="1"/>
  <c r="N91" i="1"/>
  <c r="Z91" i="1" s="1"/>
  <c r="N78" i="1"/>
  <c r="Z78" i="1" s="1"/>
  <c r="N75" i="1"/>
  <c r="Z75" i="1" s="1"/>
  <c r="N73" i="1"/>
  <c r="Z73" i="1" s="1"/>
  <c r="N92" i="1"/>
  <c r="Z92" i="1" s="1"/>
  <c r="N40" i="1"/>
  <c r="Z40" i="1" s="1"/>
  <c r="N71" i="1"/>
  <c r="Z71" i="1" s="1"/>
  <c r="N42" i="1"/>
  <c r="Z42" i="1" s="1"/>
  <c r="N57" i="1"/>
  <c r="Z57" i="1" s="1"/>
  <c r="N61" i="1"/>
  <c r="Z61" i="1" s="1"/>
  <c r="N39" i="1"/>
  <c r="Z39" i="1" s="1"/>
  <c r="N46" i="1"/>
  <c r="Z46" i="1" s="1"/>
  <c r="N62" i="1"/>
  <c r="Z62" i="1" s="1"/>
  <c r="N55" i="1"/>
  <c r="Z55" i="1" s="1"/>
  <c r="N88" i="1"/>
  <c r="Z88" i="1" s="1"/>
  <c r="N87" i="1"/>
  <c r="Z87" i="1" s="1"/>
  <c r="N56" i="1"/>
  <c r="Z56" i="1" s="1"/>
  <c r="N93" i="1"/>
  <c r="Z93" i="1" s="1"/>
  <c r="N89" i="1"/>
  <c r="Z89" i="1" s="1"/>
  <c r="N90" i="1"/>
  <c r="Z90" i="1" s="1"/>
  <c r="N72" i="1"/>
  <c r="Z72" i="1" s="1"/>
  <c r="N43" i="1"/>
  <c r="Z43" i="1" s="1"/>
  <c r="N74" i="1"/>
  <c r="Z74" i="1" s="1"/>
  <c r="N58" i="1"/>
  <c r="Z58" i="1" s="1"/>
  <c r="N76" i="1"/>
  <c r="Z76" i="1" s="1"/>
  <c r="N44" i="1"/>
  <c r="Z44" i="1" s="1"/>
  <c r="N60" i="1"/>
  <c r="Z60" i="1" s="1"/>
  <c r="N94" i="1"/>
  <c r="Z94" i="1" s="1"/>
  <c r="N45" i="1"/>
  <c r="Z45" i="1" s="1"/>
  <c r="N51" i="1"/>
  <c r="Z51" i="1" s="1"/>
  <c r="N84" i="1"/>
  <c r="Z84" i="1" s="1"/>
  <c r="N80" i="1"/>
  <c r="Z80" i="1" s="1"/>
  <c r="N67" i="1"/>
  <c r="Z67" i="1" s="1"/>
  <c r="N33" i="1"/>
  <c r="Z33" i="1" s="1"/>
  <c r="N85" i="1"/>
  <c r="Z85" i="1" s="1"/>
  <c r="N36" i="1"/>
  <c r="Z36" i="1" s="1"/>
  <c r="N53" i="1"/>
  <c r="Z53" i="1" s="1"/>
  <c r="N38" i="1"/>
  <c r="Z38" i="1" s="1"/>
  <c r="N69" i="1"/>
  <c r="Z69" i="1" s="1"/>
  <c r="N31" i="1"/>
  <c r="Z31" i="1" s="1"/>
  <c r="N64" i="1"/>
  <c r="Z64" i="1" s="1"/>
  <c r="N35" i="1"/>
  <c r="Z35" i="1" s="1"/>
  <c r="N34" i="1"/>
  <c r="Z34" i="1" s="1"/>
  <c r="N32" i="1"/>
  <c r="Z32" i="1" s="1"/>
  <c r="N48" i="1"/>
  <c r="Z48" i="1" s="1"/>
  <c r="N52" i="1"/>
  <c r="Z52" i="1" s="1"/>
  <c r="N54" i="1"/>
  <c r="Z54" i="1" s="1"/>
  <c r="N86" i="1"/>
  <c r="Z86" i="1" s="1"/>
  <c r="N65" i="1"/>
  <c r="Z65" i="1" s="1"/>
  <c r="N49" i="1"/>
  <c r="Z49" i="1" s="1"/>
  <c r="N68" i="1"/>
  <c r="Z68" i="1" s="1"/>
  <c r="N82" i="1"/>
  <c r="Z82" i="1" s="1"/>
  <c r="N70" i="1"/>
  <c r="Z70" i="1" s="1"/>
  <c r="N83" i="1"/>
  <c r="Z83" i="1" s="1"/>
  <c r="N79" i="1"/>
  <c r="Z79" i="1" s="1"/>
  <c r="N50" i="1"/>
  <c r="Z50" i="1" s="1"/>
  <c r="N63" i="1"/>
  <c r="Z63" i="1" s="1"/>
  <c r="N81" i="1"/>
  <c r="Z81" i="1" s="1"/>
  <c r="N37" i="1"/>
  <c r="Z37" i="1" s="1"/>
  <c r="N47" i="1"/>
  <c r="Z47" i="1" s="1"/>
  <c r="N66" i="1"/>
  <c r="Z66" i="1" s="1"/>
  <c r="J141" i="1"/>
  <c r="J156" i="1"/>
  <c r="J160" i="1"/>
  <c r="V160" i="1" s="1"/>
  <c r="J175" i="1"/>
  <c r="V175" i="1" s="1"/>
  <c r="J197" i="1"/>
  <c r="V197" i="1" s="1"/>
  <c r="J215" i="1"/>
  <c r="V215" i="1" s="1"/>
  <c r="U178" i="1"/>
  <c r="U167" i="1"/>
  <c r="U173" i="1"/>
  <c r="AG173" i="1" s="1"/>
  <c r="U156" i="1"/>
  <c r="AG156" i="1" s="1"/>
  <c r="J165" i="1"/>
  <c r="V165" i="1" s="1"/>
  <c r="J168" i="1"/>
  <c r="J195" i="1"/>
  <c r="J188" i="1"/>
  <c r="V188" i="1" s="1"/>
  <c r="J183" i="1"/>
  <c r="V183" i="1" s="1"/>
  <c r="J209" i="1"/>
  <c r="V209" i="1" s="1"/>
  <c r="J202" i="1"/>
  <c r="V202" i="1" s="1"/>
  <c r="U142" i="1"/>
  <c r="AG142" i="1" s="1"/>
  <c r="U187" i="1"/>
  <c r="U143" i="1"/>
  <c r="U149" i="1"/>
  <c r="AG149" i="1" s="1"/>
  <c r="U218" i="1"/>
  <c r="AG218" i="1" s="1"/>
  <c r="U169" i="1"/>
  <c r="AG169" i="1" s="1"/>
  <c r="U164" i="1"/>
  <c r="U215" i="1"/>
  <c r="N117" i="1"/>
  <c r="Z117" i="1" s="1"/>
  <c r="N120" i="1"/>
  <c r="Z120" i="1" s="1"/>
  <c r="N116" i="1"/>
  <c r="Z116" i="1" s="1"/>
  <c r="N123" i="1"/>
  <c r="Z123" i="1" s="1"/>
  <c r="N119" i="1"/>
  <c r="Z119" i="1" s="1"/>
  <c r="N121" i="1"/>
  <c r="Z121" i="1" s="1"/>
  <c r="N122" i="1"/>
  <c r="Z122" i="1" s="1"/>
  <c r="N118" i="1"/>
  <c r="Z118" i="1" s="1"/>
  <c r="N112" i="1"/>
  <c r="Z112" i="1" s="1"/>
  <c r="N115" i="1"/>
  <c r="Z115" i="1" s="1"/>
  <c r="N101" i="1"/>
  <c r="Z101" i="1" s="1"/>
  <c r="N100" i="1"/>
  <c r="Z100" i="1" s="1"/>
  <c r="N105" i="1"/>
  <c r="Z105" i="1" s="1"/>
  <c r="N98" i="1"/>
  <c r="Z98" i="1" s="1"/>
  <c r="N104" i="1"/>
  <c r="Z104" i="1" s="1"/>
  <c r="N125" i="1"/>
  <c r="Z125" i="1" s="1"/>
  <c r="N124" i="1"/>
  <c r="Z124" i="1" s="1"/>
  <c r="N130" i="1"/>
  <c r="Z130" i="1" s="1"/>
  <c r="N110" i="1"/>
  <c r="Z110" i="1" s="1"/>
  <c r="N134" i="1"/>
  <c r="Z134" i="1" s="1"/>
  <c r="N106" i="1"/>
  <c r="Z106" i="1" s="1"/>
  <c r="N114" i="1"/>
  <c r="Z114" i="1" s="1"/>
  <c r="N127" i="1"/>
  <c r="Z127" i="1" s="1"/>
  <c r="N128" i="1"/>
  <c r="Z128" i="1" s="1"/>
  <c r="N97" i="1"/>
  <c r="Z97" i="1" s="1"/>
  <c r="N99" i="1"/>
  <c r="Z99" i="1" s="1"/>
  <c r="N135" i="1"/>
  <c r="Z135" i="1" s="1"/>
  <c r="N113" i="1"/>
  <c r="Z113" i="1" s="1"/>
  <c r="N132" i="1"/>
  <c r="Z132" i="1" s="1"/>
  <c r="N111" i="1"/>
  <c r="Z111" i="1" s="1"/>
  <c r="N107" i="1"/>
  <c r="Z107" i="1" s="1"/>
  <c r="N126" i="1"/>
  <c r="Z126" i="1" s="1"/>
  <c r="N129" i="1"/>
  <c r="Z129" i="1" s="1"/>
  <c r="N108" i="1"/>
  <c r="Z108" i="1" s="1"/>
  <c r="N102" i="1"/>
  <c r="Z102" i="1" s="1"/>
  <c r="N95" i="1"/>
  <c r="Z95" i="1" s="1"/>
  <c r="N131" i="1"/>
  <c r="Z131" i="1" s="1"/>
  <c r="N133" i="1"/>
  <c r="Z133" i="1" s="1"/>
  <c r="N103" i="1"/>
  <c r="Z103" i="1" s="1"/>
  <c r="N96" i="1"/>
  <c r="Z96" i="1" s="1"/>
  <c r="N109" i="1"/>
  <c r="Z109" i="1" s="1"/>
  <c r="U209" i="1"/>
  <c r="AG209" i="1" s="1"/>
  <c r="U145" i="1"/>
  <c r="U195" i="1"/>
  <c r="AG195" i="1" s="1"/>
  <c r="U180" i="1"/>
  <c r="AG180" i="1" s="1"/>
  <c r="U161" i="1"/>
  <c r="AG161" i="1" s="1"/>
  <c r="N146" i="1"/>
  <c r="Z146" i="1" s="1"/>
  <c r="N200" i="1"/>
  <c r="Z200" i="1" s="1"/>
  <c r="N178" i="1"/>
  <c r="Z178" i="1" s="1"/>
  <c r="N195" i="1"/>
  <c r="Z195" i="1" s="1"/>
  <c r="N164" i="1"/>
  <c r="Z164" i="1" s="1"/>
  <c r="N218" i="1"/>
  <c r="Z218" i="1" s="1"/>
  <c r="N173" i="1"/>
  <c r="Z173" i="1" s="1"/>
  <c r="N194" i="1"/>
  <c r="Z194" i="1" s="1"/>
  <c r="N213" i="1"/>
  <c r="Z213" i="1" s="1"/>
  <c r="N163" i="1"/>
  <c r="Z163" i="1" s="1"/>
  <c r="N203" i="1"/>
  <c r="Z203" i="1" s="1"/>
  <c r="N179" i="1"/>
  <c r="Z179" i="1" s="1"/>
  <c r="N198" i="1"/>
  <c r="Z198" i="1" s="1"/>
  <c r="N136" i="1"/>
  <c r="Z136" i="1" s="1"/>
  <c r="N157" i="1"/>
  <c r="Z157" i="1" s="1"/>
  <c r="N189" i="1"/>
  <c r="Z189" i="1" s="1"/>
  <c r="N170" i="1"/>
  <c r="Z170" i="1" s="1"/>
  <c r="N181" i="1"/>
  <c r="Z181" i="1" s="1"/>
  <c r="N204" i="1"/>
  <c r="Z204" i="1" s="1"/>
  <c r="N166" i="1"/>
  <c r="Z166" i="1" s="1"/>
  <c r="N206" i="1"/>
  <c r="Z206" i="1" s="1"/>
  <c r="N168" i="1"/>
  <c r="Z168" i="1" s="1"/>
  <c r="N208" i="1"/>
  <c r="Z208" i="1" s="1"/>
  <c r="N158" i="1"/>
  <c r="Z158" i="1" s="1"/>
  <c r="N186" i="1"/>
  <c r="Z186" i="1" s="1"/>
  <c r="N185" i="1"/>
  <c r="Z185" i="1" s="1"/>
  <c r="N182" i="1"/>
  <c r="Z182" i="1" s="1"/>
  <c r="N159" i="1"/>
  <c r="Z159" i="1" s="1"/>
  <c r="N216" i="1"/>
  <c r="Z216" i="1" s="1"/>
  <c r="N141" i="1"/>
  <c r="Z141" i="1" s="1"/>
  <c r="N167" i="1"/>
  <c r="Z167" i="1" s="1"/>
  <c r="N215" i="1"/>
  <c r="Z215" i="1" s="1"/>
  <c r="N202" i="1"/>
  <c r="Z202" i="1" s="1"/>
  <c r="N201" i="1"/>
  <c r="Z201" i="1" s="1"/>
  <c r="N188" i="1"/>
  <c r="Z188" i="1" s="1"/>
  <c r="N169" i="1"/>
  <c r="Z169" i="1" s="1"/>
  <c r="N207" i="1"/>
  <c r="Z207" i="1" s="1"/>
  <c r="N165" i="1"/>
  <c r="Z165" i="1" s="1"/>
  <c r="N184" i="1"/>
  <c r="Z184" i="1" s="1"/>
  <c r="N144" i="1"/>
  <c r="Z144" i="1" s="1"/>
  <c r="N193" i="1"/>
  <c r="Z193" i="1" s="1"/>
  <c r="N142" i="1"/>
  <c r="Z142" i="1" s="1"/>
  <c r="N209" i="1"/>
  <c r="Z209" i="1" s="1"/>
  <c r="N138" i="1"/>
  <c r="Z138" i="1" s="1"/>
  <c r="N183" i="1"/>
  <c r="Z183" i="1" s="1"/>
  <c r="N150" i="1"/>
  <c r="Z150" i="1" s="1"/>
  <c r="N192" i="1"/>
  <c r="Z192" i="1" s="1"/>
  <c r="N162" i="1"/>
  <c r="Z162" i="1" s="1"/>
  <c r="N148" i="1"/>
  <c r="Z148" i="1" s="1"/>
  <c r="N161" i="1"/>
  <c r="Z161" i="1" s="1"/>
  <c r="N145" i="1"/>
  <c r="Z145" i="1" s="1"/>
  <c r="N187" i="1"/>
  <c r="Z187" i="1" s="1"/>
  <c r="N156" i="1"/>
  <c r="Z156" i="1" s="1"/>
  <c r="N140" i="1"/>
  <c r="Z140" i="1" s="1"/>
  <c r="N152" i="1"/>
  <c r="Z152" i="1" s="1"/>
  <c r="N139" i="1"/>
  <c r="Z139" i="1" s="1"/>
  <c r="N143" i="1"/>
  <c r="Z143" i="1" s="1"/>
  <c r="N219" i="1"/>
  <c r="Z219" i="1" s="1"/>
  <c r="N214" i="1"/>
  <c r="Z214" i="1" s="1"/>
  <c r="N197" i="1"/>
  <c r="Z197" i="1" s="1"/>
  <c r="N171" i="1"/>
  <c r="Z171" i="1" s="1"/>
  <c r="N212" i="1"/>
  <c r="Z212" i="1" s="1"/>
  <c r="N174" i="1"/>
  <c r="Z174" i="1" s="1"/>
  <c r="N160" i="1"/>
  <c r="Z160" i="1" s="1"/>
  <c r="N211" i="1"/>
  <c r="Z211" i="1" s="1"/>
  <c r="N177" i="1"/>
  <c r="Z177" i="1" s="1"/>
  <c r="N151" i="1"/>
  <c r="Z151" i="1" s="1"/>
  <c r="N172" i="1"/>
  <c r="Z172" i="1" s="1"/>
  <c r="N137" i="1"/>
  <c r="Z137" i="1" s="1"/>
  <c r="N180" i="1"/>
  <c r="Z180" i="1" s="1"/>
  <c r="N199" i="1"/>
  <c r="Z199" i="1" s="1"/>
  <c r="N153" i="1"/>
  <c r="Z153" i="1" s="1"/>
  <c r="N154" i="1"/>
  <c r="Z154" i="1" s="1"/>
  <c r="N176" i="1"/>
  <c r="Z176" i="1" s="1"/>
  <c r="N205" i="1"/>
  <c r="Z205" i="1" s="1"/>
  <c r="N196" i="1"/>
  <c r="Z196" i="1" s="1"/>
  <c r="N155" i="1"/>
  <c r="Z155" i="1" s="1"/>
  <c r="N190" i="1"/>
  <c r="Z190" i="1" s="1"/>
  <c r="N147" i="1"/>
  <c r="Z147" i="1" s="1"/>
  <c r="N191" i="1"/>
  <c r="Z191" i="1" s="1"/>
  <c r="N210" i="1"/>
  <c r="Z210" i="1" s="1"/>
  <c r="N149" i="1"/>
  <c r="Z149" i="1" s="1"/>
  <c r="N175" i="1"/>
  <c r="Z175" i="1" s="1"/>
  <c r="N217" i="1"/>
  <c r="Z217" i="1" s="1"/>
  <c r="U181" i="1"/>
  <c r="AG181" i="1" s="1"/>
  <c r="J149" i="1"/>
  <c r="J159" i="1"/>
  <c r="V159" i="1" s="1"/>
  <c r="J192" i="1"/>
  <c r="V192" i="1" s="1"/>
  <c r="J193" i="1"/>
  <c r="V193" i="1" s="1"/>
  <c r="J187" i="1"/>
  <c r="V187" i="1" s="1"/>
  <c r="J200" i="1"/>
  <c r="V200" i="1" s="1"/>
  <c r="J208" i="1"/>
  <c r="V208" i="1" s="1"/>
  <c r="K137" i="1"/>
  <c r="W137" i="1" s="1"/>
  <c r="K159" i="1"/>
  <c r="W159" i="1" s="1"/>
  <c r="U123" i="1"/>
  <c r="AG123" i="1" s="1"/>
  <c r="U120" i="1"/>
  <c r="AG120" i="1" s="1"/>
  <c r="U119" i="1"/>
  <c r="AG119" i="1" s="1"/>
  <c r="U122" i="1"/>
  <c r="AG122" i="1" s="1"/>
  <c r="U116" i="1"/>
  <c r="AG116" i="1" s="1"/>
  <c r="U121" i="1"/>
  <c r="AG121" i="1" s="1"/>
  <c r="U117" i="1"/>
  <c r="AG117" i="1" s="1"/>
  <c r="U118" i="1"/>
  <c r="AG118" i="1" s="1"/>
  <c r="U127" i="1"/>
  <c r="AG127" i="1" s="1"/>
  <c r="U110" i="1"/>
  <c r="AG110" i="1" s="1"/>
  <c r="U134" i="1"/>
  <c r="AG134" i="1" s="1"/>
  <c r="U106" i="1"/>
  <c r="AG106" i="1" s="1"/>
  <c r="U124" i="1"/>
  <c r="AG124" i="1" s="1"/>
  <c r="U130" i="1"/>
  <c r="AG130" i="1" s="1"/>
  <c r="U125" i="1"/>
  <c r="AG125" i="1" s="1"/>
  <c r="U107" i="1"/>
  <c r="AG107" i="1" s="1"/>
  <c r="U100" i="1"/>
  <c r="AG100" i="1" s="1"/>
  <c r="U105" i="1"/>
  <c r="AG105" i="1" s="1"/>
  <c r="U115" i="1"/>
  <c r="AG115" i="1" s="1"/>
  <c r="U98" i="1"/>
  <c r="AG98" i="1" s="1"/>
  <c r="U103" i="1"/>
  <c r="AG103" i="1" s="1"/>
  <c r="U101" i="1"/>
  <c r="AG101" i="1" s="1"/>
  <c r="U104" i="1"/>
  <c r="U102" i="1"/>
  <c r="AG102" i="1" s="1"/>
  <c r="U111" i="1"/>
  <c r="AG111" i="1" s="1"/>
  <c r="U128" i="1"/>
  <c r="AG128" i="1" s="1"/>
  <c r="U97" i="1"/>
  <c r="AG97" i="1" s="1"/>
  <c r="U99" i="1"/>
  <c r="U135" i="1"/>
  <c r="AG135" i="1" s="1"/>
  <c r="U129" i="1"/>
  <c r="AG129" i="1" s="1"/>
  <c r="U109" i="1"/>
  <c r="AG109" i="1" s="1"/>
  <c r="U133" i="1"/>
  <c r="AG133" i="1" s="1"/>
  <c r="U108" i="1"/>
  <c r="AG108" i="1" s="1"/>
  <c r="U95" i="1"/>
  <c r="AG95" i="1" s="1"/>
  <c r="U96" i="1"/>
  <c r="AG96" i="1" s="1"/>
  <c r="U126" i="1"/>
  <c r="AG126" i="1" s="1"/>
  <c r="U113" i="1"/>
  <c r="AG113" i="1" s="1"/>
  <c r="U131" i="1"/>
  <c r="AG131" i="1" s="1"/>
  <c r="U132" i="1"/>
  <c r="AG132" i="1" s="1"/>
  <c r="U112" i="1"/>
  <c r="AG112" i="1" s="1"/>
  <c r="U114" i="1"/>
  <c r="J158" i="1"/>
  <c r="V158" i="1" s="1"/>
  <c r="J155" i="1"/>
  <c r="V155" i="1" s="1"/>
  <c r="J176" i="1"/>
  <c r="V176" i="1" s="1"/>
  <c r="J189" i="1"/>
  <c r="V189" i="1" s="1"/>
  <c r="J191" i="1"/>
  <c r="J206" i="1"/>
  <c r="V206" i="1" s="1"/>
  <c r="J213" i="1"/>
  <c r="V213" i="1" s="1"/>
  <c r="U174" i="1"/>
  <c r="AG174" i="1" s="1"/>
  <c r="U184" i="1"/>
  <c r="AG184" i="1" s="1"/>
  <c r="U210" i="1"/>
  <c r="AG210" i="1" s="1"/>
  <c r="U216" i="1"/>
  <c r="U152" i="1"/>
  <c r="AG152" i="1" s="1"/>
  <c r="U183" i="1"/>
  <c r="AG183" i="1" s="1"/>
  <c r="J142" i="1"/>
  <c r="V142" i="1" s="1"/>
  <c r="J140" i="1"/>
  <c r="V140" i="1" s="1"/>
  <c r="J172" i="1"/>
  <c r="V172" i="1" s="1"/>
  <c r="J185" i="1"/>
  <c r="V185" i="1" s="1"/>
  <c r="J174" i="1"/>
  <c r="J203" i="1"/>
  <c r="V203" i="1" s="1"/>
  <c r="J205" i="1"/>
  <c r="V205" i="1" s="1"/>
  <c r="U205" i="1"/>
  <c r="AG205" i="1" s="1"/>
  <c r="U147" i="1"/>
  <c r="U212" i="1"/>
  <c r="U175" i="1"/>
  <c r="U154" i="1"/>
  <c r="AG154" i="1" s="1"/>
  <c r="U203" i="1"/>
  <c r="AG203" i="1" s="1"/>
  <c r="U139" i="1"/>
  <c r="AG139" i="1" s="1"/>
  <c r="U196" i="1"/>
  <c r="AG196" i="1" s="1"/>
  <c r="U217" i="1"/>
  <c r="AG217" i="1" s="1"/>
  <c r="K151" i="1"/>
  <c r="W151" i="1" s="1"/>
  <c r="K195" i="1"/>
  <c r="W195" i="1" s="1"/>
  <c r="K217" i="1"/>
  <c r="W217" i="1" s="1"/>
  <c r="K155" i="1"/>
  <c r="W155" i="1" s="1"/>
  <c r="K214" i="1"/>
  <c r="W214" i="1" s="1"/>
  <c r="K150" i="1"/>
  <c r="W150" i="1" s="1"/>
  <c r="K196" i="1"/>
  <c r="W196" i="1" s="1"/>
  <c r="K165" i="1"/>
  <c r="W165" i="1" s="1"/>
  <c r="K182" i="1"/>
  <c r="W182" i="1" s="1"/>
  <c r="K215" i="1"/>
  <c r="W215" i="1" s="1"/>
  <c r="K146" i="1"/>
  <c r="W146" i="1" s="1"/>
  <c r="K178" i="1"/>
  <c r="W178" i="1" s="1"/>
  <c r="K174" i="1"/>
  <c r="W174" i="1" s="1"/>
  <c r="K138" i="1"/>
  <c r="W138" i="1" s="1"/>
  <c r="K204" i="1"/>
  <c r="W204" i="1" s="1"/>
  <c r="K205" i="1"/>
  <c r="W205" i="1" s="1"/>
  <c r="K147" i="1"/>
  <c r="W147" i="1" s="1"/>
  <c r="K219" i="1"/>
  <c r="W219" i="1" s="1"/>
  <c r="K52" i="1"/>
  <c r="W52" i="1" s="1"/>
  <c r="K84" i="1"/>
  <c r="W84" i="1" s="1"/>
  <c r="K34" i="1"/>
  <c r="W34" i="1" s="1"/>
  <c r="K67" i="1"/>
  <c r="W67" i="1" s="1"/>
  <c r="K66" i="1"/>
  <c r="W66" i="1" s="1"/>
  <c r="K83" i="1"/>
  <c r="W83" i="1" s="1"/>
  <c r="K81" i="1"/>
  <c r="W81" i="1" s="1"/>
  <c r="K53" i="1"/>
  <c r="K49" i="1"/>
  <c r="W49" i="1" s="1"/>
  <c r="K79" i="1"/>
  <c r="W79" i="1" s="1"/>
  <c r="K80" i="1"/>
  <c r="W80" i="1" s="1"/>
  <c r="K63" i="1"/>
  <c r="W63" i="1" s="1"/>
  <c r="K54" i="1"/>
  <c r="W54" i="1" s="1"/>
  <c r="K69" i="1"/>
  <c r="W69" i="1" s="1"/>
  <c r="K48" i="1"/>
  <c r="W48" i="1" s="1"/>
  <c r="K50" i="1"/>
  <c r="W50" i="1" s="1"/>
  <c r="K31" i="1"/>
  <c r="W31" i="1" s="1"/>
  <c r="K51" i="1"/>
  <c r="W51" i="1" s="1"/>
  <c r="K68" i="1"/>
  <c r="W68" i="1" s="1"/>
  <c r="K36" i="1"/>
  <c r="W36" i="1" s="1"/>
  <c r="K64" i="1"/>
  <c r="W64" i="1" s="1"/>
  <c r="K65" i="1"/>
  <c r="W65" i="1" s="1"/>
  <c r="K85" i="1"/>
  <c r="W85" i="1" s="1"/>
  <c r="K47" i="1"/>
  <c r="W47" i="1" s="1"/>
  <c r="K35" i="1"/>
  <c r="W35" i="1" s="1"/>
  <c r="K86" i="1"/>
  <c r="W86" i="1" s="1"/>
  <c r="K70" i="1"/>
  <c r="W70" i="1" s="1"/>
  <c r="K37" i="1"/>
  <c r="W37" i="1" s="1"/>
  <c r="K33" i="1"/>
  <c r="W33" i="1" s="1"/>
  <c r="K82" i="1"/>
  <c r="W82" i="1" s="1"/>
  <c r="K38" i="1"/>
  <c r="W38" i="1" s="1"/>
  <c r="K32" i="1"/>
  <c r="W32" i="1" s="1"/>
  <c r="K164" i="1"/>
  <c r="W164" i="1" s="1"/>
  <c r="K188" i="1"/>
  <c r="W188" i="1" s="1"/>
  <c r="K162" i="1"/>
  <c r="W162" i="1" s="1"/>
  <c r="K171" i="1"/>
  <c r="W171" i="1" s="1"/>
  <c r="K208" i="1"/>
  <c r="W208" i="1" s="1"/>
  <c r="K168" i="1"/>
  <c r="W168" i="1" s="1"/>
  <c r="K153" i="1"/>
  <c r="W153" i="1" s="1"/>
  <c r="K191" i="1"/>
  <c r="W191" i="1" s="1"/>
  <c r="K216" i="1"/>
  <c r="W216" i="1" s="1"/>
  <c r="K180" i="1"/>
  <c r="W180" i="1" s="1"/>
  <c r="K166" i="1"/>
  <c r="W166" i="1" s="1"/>
  <c r="K157" i="1"/>
  <c r="W157" i="1" s="1"/>
  <c r="K144" i="1"/>
  <c r="W144" i="1" s="1"/>
  <c r="K209" i="1"/>
  <c r="W209" i="1" s="1"/>
  <c r="K184" i="1"/>
  <c r="W184" i="1" s="1"/>
  <c r="K177" i="1"/>
  <c r="W177" i="1" s="1"/>
  <c r="K169" i="1"/>
  <c r="W169" i="1" s="1"/>
  <c r="K176" i="1"/>
  <c r="W176" i="1" s="1"/>
  <c r="K179" i="1"/>
  <c r="W179" i="1" s="1"/>
  <c r="K143" i="1"/>
  <c r="W143" i="1" s="1"/>
  <c r="K212" i="1"/>
  <c r="W212" i="1" s="1"/>
  <c r="K213" i="1"/>
  <c r="W213" i="1" s="1"/>
  <c r="K207" i="1"/>
  <c r="W207" i="1" s="1"/>
  <c r="K186" i="1"/>
  <c r="W186" i="1" s="1"/>
  <c r="K211" i="1"/>
  <c r="W211" i="1" s="1"/>
  <c r="K172" i="1"/>
  <c r="W172" i="1" s="1"/>
  <c r="K154" i="1"/>
  <c r="W154" i="1" s="1"/>
  <c r="K149" i="1"/>
  <c r="W149" i="1" s="1"/>
  <c r="K187" i="1"/>
  <c r="W187" i="1" s="1"/>
  <c r="K156" i="1"/>
  <c r="W156" i="1" s="1"/>
  <c r="K192" i="1"/>
  <c r="W192" i="1" s="1"/>
  <c r="K136" i="1"/>
  <c r="W136" i="1" s="1"/>
  <c r="K185" i="1"/>
  <c r="W185" i="1" s="1"/>
  <c r="K181" i="1"/>
  <c r="W181" i="1" s="1"/>
  <c r="K197" i="1"/>
  <c r="W197" i="1" s="1"/>
  <c r="K160" i="1"/>
  <c r="W160" i="1" s="1"/>
  <c r="K198" i="1"/>
  <c r="W198" i="1" s="1"/>
  <c r="K142" i="1"/>
  <c r="W142" i="1" s="1"/>
  <c r="K148" i="1"/>
  <c r="W148" i="1" s="1"/>
  <c r="K201" i="1"/>
  <c r="W201" i="1" s="1"/>
  <c r="K145" i="1"/>
  <c r="W145" i="1" s="1"/>
  <c r="K183" i="1"/>
  <c r="W183" i="1" s="1"/>
  <c r="M113" i="1"/>
  <c r="Y113" i="1" s="1"/>
  <c r="M127" i="1"/>
  <c r="Y127" i="1" s="1"/>
  <c r="M98" i="1"/>
  <c r="Y98" i="1" s="1"/>
  <c r="M102" i="1"/>
  <c r="Y102" i="1" s="1"/>
  <c r="M130" i="1"/>
  <c r="Y130" i="1" s="1"/>
  <c r="M104" i="1"/>
  <c r="M125" i="1"/>
  <c r="Y125" i="1" s="1"/>
  <c r="M132" i="1"/>
  <c r="Y132" i="1" s="1"/>
  <c r="M133" i="1"/>
  <c r="Y133" i="1" s="1"/>
  <c r="M101" i="1"/>
  <c r="Y101" i="1" s="1"/>
  <c r="M114" i="1"/>
  <c r="Y114" i="1" s="1"/>
  <c r="M115" i="1"/>
  <c r="Y115" i="1" s="1"/>
  <c r="M112" i="1"/>
  <c r="Y112" i="1" s="1"/>
  <c r="M99" i="1"/>
  <c r="Y99" i="1" s="1"/>
  <c r="M103" i="1"/>
  <c r="Y103" i="1" s="1"/>
  <c r="M97" i="1"/>
  <c r="Y97" i="1" s="1"/>
  <c r="M124" i="1"/>
  <c r="Y124" i="1" s="1"/>
  <c r="M131" i="1"/>
  <c r="M135" i="1"/>
  <c r="Y135" i="1" s="1"/>
  <c r="M108" i="1"/>
  <c r="Y108" i="1" s="1"/>
  <c r="M105" i="1"/>
  <c r="Y105" i="1" s="1"/>
  <c r="M126" i="1"/>
  <c r="Y126" i="1" s="1"/>
  <c r="M110" i="1"/>
  <c r="Y110" i="1" s="1"/>
  <c r="M111" i="1"/>
  <c r="Y111" i="1" s="1"/>
  <c r="M134" i="1"/>
  <c r="Y134" i="1" s="1"/>
  <c r="M128" i="1"/>
  <c r="Y128" i="1" s="1"/>
  <c r="M106" i="1"/>
  <c r="Y106" i="1" s="1"/>
  <c r="M107" i="1"/>
  <c r="Y107" i="1" s="1"/>
  <c r="M129" i="1"/>
  <c r="Y129" i="1" s="1"/>
  <c r="M100" i="1"/>
  <c r="Y100" i="1" s="1"/>
  <c r="M109" i="1"/>
  <c r="Y109" i="1" s="1"/>
  <c r="M95" i="1"/>
  <c r="Y95" i="1" s="1"/>
  <c r="M96" i="1"/>
  <c r="Y96" i="1" s="1"/>
  <c r="K190" i="1"/>
  <c r="W190" i="1" s="1"/>
  <c r="K167" i="1"/>
  <c r="W167" i="1" s="1"/>
  <c r="M165" i="1"/>
  <c r="Y165" i="1" s="1"/>
  <c r="M166" i="1"/>
  <c r="Y166" i="1" s="1"/>
  <c r="M163" i="1"/>
  <c r="Y163" i="1" s="1"/>
  <c r="M199" i="1"/>
  <c r="Y199" i="1" s="1"/>
  <c r="M196" i="1"/>
  <c r="Y196" i="1" s="1"/>
  <c r="M202" i="1"/>
  <c r="Y202" i="1" s="1"/>
  <c r="M144" i="1"/>
  <c r="Y144" i="1" s="1"/>
  <c r="M208" i="1"/>
  <c r="Y208" i="1" s="1"/>
  <c r="M173" i="1"/>
  <c r="Y173" i="1" s="1"/>
  <c r="M186" i="1"/>
  <c r="Y186" i="1" s="1"/>
  <c r="M139" i="1"/>
  <c r="Y139" i="1" s="1"/>
  <c r="M205" i="1"/>
  <c r="Y205" i="1" s="1"/>
  <c r="M176" i="1"/>
  <c r="Y176" i="1" s="1"/>
  <c r="M169" i="1"/>
  <c r="Y169" i="1" s="1"/>
  <c r="M179" i="1"/>
  <c r="Y179" i="1" s="1"/>
  <c r="M172" i="1"/>
  <c r="Y172" i="1" s="1"/>
  <c r="M142" i="1"/>
  <c r="Y142" i="1" s="1"/>
  <c r="M206" i="1"/>
  <c r="Y206" i="1" s="1"/>
  <c r="M210" i="1"/>
  <c r="Y210" i="1" s="1"/>
  <c r="M168" i="1"/>
  <c r="Y168" i="1" s="1"/>
  <c r="M216" i="1"/>
  <c r="Y216" i="1" s="1"/>
  <c r="M170" i="1"/>
  <c r="Y170" i="1" s="1"/>
  <c r="M145" i="1"/>
  <c r="Y145" i="1" s="1"/>
  <c r="M177" i="1"/>
  <c r="Y177" i="1" s="1"/>
  <c r="M201" i="1"/>
  <c r="Y201" i="1" s="1"/>
  <c r="M152" i="1"/>
  <c r="Y152" i="1" s="1"/>
  <c r="M148" i="1"/>
  <c r="Y148" i="1" s="1"/>
  <c r="M158" i="1"/>
  <c r="Y158" i="1" s="1"/>
  <c r="M183" i="1"/>
  <c r="Y183" i="1" s="1"/>
  <c r="M195" i="1"/>
  <c r="Y195" i="1" s="1"/>
  <c r="M219" i="1"/>
  <c r="Y219" i="1" s="1"/>
  <c r="M193" i="1"/>
  <c r="Y193" i="1" s="1"/>
  <c r="M187" i="1"/>
  <c r="Y187" i="1" s="1"/>
  <c r="M213" i="1"/>
  <c r="Y213" i="1" s="1"/>
  <c r="M167" i="1"/>
  <c r="Y167" i="1" s="1"/>
  <c r="M192" i="1"/>
  <c r="Y192" i="1" s="1"/>
  <c r="M155" i="1"/>
  <c r="Y155" i="1" s="1"/>
  <c r="M207" i="1"/>
  <c r="Y207" i="1" s="1"/>
  <c r="M189" i="1"/>
  <c r="Y189" i="1" s="1"/>
  <c r="M212" i="1"/>
  <c r="Y212" i="1" s="1"/>
  <c r="M141" i="1"/>
  <c r="Y141" i="1" s="1"/>
  <c r="M214" i="1"/>
  <c r="Y214" i="1" s="1"/>
  <c r="M185" i="1"/>
  <c r="Y185" i="1" s="1"/>
  <c r="M200" i="1"/>
  <c r="Y200" i="1" s="1"/>
  <c r="M194" i="1"/>
  <c r="Y194" i="1" s="1"/>
  <c r="M178" i="1"/>
  <c r="Y178" i="1" s="1"/>
  <c r="M203" i="1"/>
  <c r="Y203" i="1" s="1"/>
  <c r="M159" i="1"/>
  <c r="Y159" i="1" s="1"/>
  <c r="M140" i="1"/>
  <c r="Y140" i="1" s="1"/>
  <c r="M211" i="1"/>
  <c r="Y211" i="1" s="1"/>
  <c r="M162" i="1"/>
  <c r="Y162" i="1" s="1"/>
  <c r="M218" i="1"/>
  <c r="Y218" i="1" s="1"/>
  <c r="M182" i="1"/>
  <c r="Y182" i="1" s="1"/>
  <c r="M149" i="1"/>
  <c r="Y149" i="1" s="1"/>
  <c r="M154" i="1"/>
  <c r="Y154" i="1" s="1"/>
  <c r="M138" i="1"/>
  <c r="Y138" i="1" s="1"/>
  <c r="M151" i="1"/>
  <c r="Y151" i="1" s="1"/>
  <c r="M156" i="1"/>
  <c r="Y156" i="1" s="1"/>
  <c r="M174" i="1"/>
  <c r="Y174" i="1" s="1"/>
  <c r="M143" i="1"/>
  <c r="Y143" i="1" s="1"/>
  <c r="M160" i="1"/>
  <c r="Y160" i="1" s="1"/>
  <c r="M137" i="1"/>
  <c r="Y137" i="1" s="1"/>
  <c r="M181" i="1"/>
  <c r="Y181" i="1" s="1"/>
  <c r="M150" i="1"/>
  <c r="Y150" i="1" s="1"/>
  <c r="M197" i="1"/>
  <c r="Y197" i="1" s="1"/>
  <c r="M136" i="1"/>
  <c r="Y136" i="1" s="1"/>
  <c r="M198" i="1"/>
  <c r="Y198" i="1" s="1"/>
  <c r="M175" i="1"/>
  <c r="Y175" i="1" s="1"/>
  <c r="M164" i="1"/>
  <c r="Y164" i="1" s="1"/>
  <c r="M184" i="1"/>
  <c r="Y184" i="1" s="1"/>
  <c r="M209" i="1"/>
  <c r="Y209" i="1" s="1"/>
  <c r="M215" i="1"/>
  <c r="Y215" i="1" s="1"/>
  <c r="M180" i="1"/>
  <c r="Y180" i="1" s="1"/>
  <c r="M188" i="1"/>
  <c r="Y188" i="1" s="1"/>
  <c r="M171" i="1"/>
  <c r="Y171" i="1" s="1"/>
  <c r="M191" i="1"/>
  <c r="Y191" i="1" s="1"/>
  <c r="M153" i="1"/>
  <c r="Y153" i="1" s="1"/>
  <c r="M161" i="1"/>
  <c r="Y161" i="1" s="1"/>
  <c r="M146" i="1"/>
  <c r="Y146" i="1" s="1"/>
  <c r="M217" i="1"/>
  <c r="Y217" i="1" s="1"/>
  <c r="M204" i="1"/>
  <c r="Y204" i="1" s="1"/>
  <c r="M190" i="1"/>
  <c r="Y190" i="1" s="1"/>
  <c r="M157" i="1"/>
  <c r="Y157" i="1" s="1"/>
  <c r="M147" i="1"/>
  <c r="Y147" i="1" s="1"/>
  <c r="K202" i="1"/>
  <c r="W202" i="1" s="1"/>
  <c r="K163" i="1"/>
  <c r="W163" i="1" s="1"/>
  <c r="K193" i="1"/>
  <c r="W193" i="1" s="1"/>
  <c r="K140" i="1"/>
  <c r="W140" i="1" s="1"/>
  <c r="K218" i="1"/>
  <c r="W218" i="1" s="1"/>
  <c r="K158" i="1"/>
  <c r="W158" i="1" s="1"/>
  <c r="K173" i="1"/>
  <c r="W173" i="1" s="1"/>
  <c r="K175" i="1"/>
  <c r="W175" i="1" s="1"/>
  <c r="K152" i="1"/>
  <c r="W152" i="1" s="1"/>
  <c r="K210" i="1"/>
  <c r="W210" i="1" s="1"/>
  <c r="K161" i="1"/>
  <c r="W161" i="1" s="1"/>
  <c r="K206" i="1"/>
  <c r="W206" i="1" s="1"/>
  <c r="K139" i="1"/>
  <c r="W139" i="1" s="1"/>
  <c r="K189" i="1"/>
  <c r="W189" i="1" s="1"/>
  <c r="K141" i="1"/>
  <c r="W141" i="1" s="1"/>
  <c r="K200" i="1"/>
  <c r="W200" i="1" s="1"/>
  <c r="K194" i="1"/>
  <c r="W194" i="1" s="1"/>
  <c r="I79" i="2"/>
  <c r="G12" i="2"/>
  <c r="D36" i="2"/>
  <c r="C7" i="2"/>
  <c r="G36" i="2"/>
  <c r="G39" i="2" s="1"/>
  <c r="I7" i="2"/>
  <c r="E79" i="2"/>
  <c r="D55" i="2"/>
  <c r="H7" i="2"/>
  <c r="D12" i="2"/>
  <c r="D23" i="2" s="1"/>
  <c r="C60" i="2"/>
  <c r="C63" i="2" s="1"/>
  <c r="I55" i="2"/>
  <c r="H36" i="2"/>
  <c r="H39" i="2" s="1"/>
  <c r="F55" i="2"/>
  <c r="J36" i="2"/>
  <c r="F36" i="2"/>
  <c r="F39" i="2" s="1"/>
  <c r="F12" i="2"/>
  <c r="F15" i="2" s="1"/>
  <c r="D84" i="2"/>
  <c r="D95" i="2" s="1"/>
  <c r="C84" i="2"/>
  <c r="C91" i="2" s="1"/>
  <c r="B31" i="2"/>
  <c r="O6" i="2"/>
  <c r="O8" i="2" s="1"/>
  <c r="Q6" i="2"/>
  <c r="Q8" i="2" s="1"/>
  <c r="R78" i="2"/>
  <c r="R80" i="2" s="1"/>
  <c r="P30" i="2"/>
  <c r="P32" i="2" s="1"/>
  <c r="P6" i="2"/>
  <c r="P8" i="2" s="1"/>
  <c r="R54" i="2"/>
  <c r="R56" i="2" s="1"/>
  <c r="Q54" i="2"/>
  <c r="Q56" i="2" s="1"/>
  <c r="Q55" i="2" s="1"/>
  <c r="P54" i="2"/>
  <c r="P56" i="2" s="1"/>
  <c r="O30" i="2"/>
  <c r="O32" i="2" s="1"/>
  <c r="O36" i="2" s="1"/>
  <c r="O43" i="2" s="1"/>
  <c r="R30" i="2"/>
  <c r="R32" i="2" s="1"/>
  <c r="R36" i="2" s="1"/>
  <c r="R43" i="2" s="1"/>
  <c r="P78" i="2"/>
  <c r="P80" i="2" s="1"/>
  <c r="R6" i="2"/>
  <c r="R8" i="2" s="1"/>
  <c r="R7" i="2" s="1"/>
  <c r="O54" i="2"/>
  <c r="O56" i="2" s="1"/>
  <c r="Q30" i="2"/>
  <c r="Q32" i="2" s="1"/>
  <c r="Q31" i="2" s="1"/>
  <c r="Q78" i="2"/>
  <c r="Q80" i="2" s="1"/>
  <c r="Q79" i="2" s="1"/>
  <c r="O78" i="2"/>
  <c r="O80" i="2" s="1"/>
  <c r="O79" i="2" s="1"/>
  <c r="H55" i="2"/>
  <c r="G79" i="2"/>
  <c r="M7" i="2"/>
  <c r="L55" i="2"/>
  <c r="L7" i="2"/>
  <c r="M60" i="2"/>
  <c r="M67" i="2" s="1"/>
  <c r="E7" i="2"/>
  <c r="B7" i="2"/>
  <c r="J79" i="2"/>
  <c r="K79" i="2"/>
  <c r="J55" i="2"/>
  <c r="I36" i="2"/>
  <c r="I39" i="2" s="1"/>
  <c r="E60" i="2"/>
  <c r="E71" i="2" s="1"/>
  <c r="B55" i="2"/>
  <c r="C36" i="2"/>
  <c r="C39" i="2" s="1"/>
  <c r="F84" i="2"/>
  <c r="F87" i="2" s="1"/>
  <c r="M31" i="2"/>
  <c r="L31" i="2"/>
  <c r="K12" i="2"/>
  <c r="K19" i="2" s="1"/>
  <c r="J12" i="2"/>
  <c r="J15" i="2" s="1"/>
  <c r="N84" i="2"/>
  <c r="N91" i="2" s="1"/>
  <c r="M79" i="2"/>
  <c r="K31" i="2"/>
  <c r="N60" i="2"/>
  <c r="N67" i="2" s="1"/>
  <c r="N7" i="2"/>
  <c r="N31" i="2"/>
  <c r="K55" i="2"/>
  <c r="B91" i="2"/>
  <c r="B87" i="2"/>
  <c r="B95" i="2"/>
  <c r="B43" i="2"/>
  <c r="B39" i="2"/>
  <c r="B47" i="2"/>
  <c r="K43" i="2"/>
  <c r="K39" i="2"/>
  <c r="I71" i="2"/>
  <c r="I67" i="2"/>
  <c r="I63" i="2"/>
  <c r="J43" i="2"/>
  <c r="J39" i="2"/>
  <c r="L15" i="2"/>
  <c r="L22" i="2"/>
  <c r="L19" i="2"/>
  <c r="J67" i="2"/>
  <c r="J63" i="2"/>
  <c r="M43" i="2"/>
  <c r="M39" i="2"/>
  <c r="B67" i="2"/>
  <c r="B63" i="2"/>
  <c r="B71" i="2"/>
  <c r="D63" i="2"/>
  <c r="D71" i="2"/>
  <c r="D67" i="2"/>
  <c r="I95" i="2"/>
  <c r="I91" i="2"/>
  <c r="I87" i="2"/>
  <c r="C15" i="2"/>
  <c r="C19" i="2"/>
  <c r="C23" i="2"/>
  <c r="B15" i="2"/>
  <c r="B19" i="2"/>
  <c r="B23" i="2"/>
  <c r="H19" i="2"/>
  <c r="H15" i="2"/>
  <c r="H23" i="2"/>
  <c r="M91" i="2"/>
  <c r="M87" i="2"/>
  <c r="K91" i="2"/>
  <c r="K87" i="2"/>
  <c r="J91" i="2"/>
  <c r="J87" i="2"/>
  <c r="L43" i="2"/>
  <c r="L46" i="2"/>
  <c r="L39" i="2"/>
  <c r="G15" i="2"/>
  <c r="G19" i="2"/>
  <c r="G23" i="2"/>
  <c r="D43" i="2"/>
  <c r="D39" i="2"/>
  <c r="D47" i="2"/>
  <c r="N15" i="2"/>
  <c r="N19" i="2"/>
  <c r="N43" i="2"/>
  <c r="N39" i="2"/>
  <c r="M19" i="2"/>
  <c r="M15" i="2"/>
  <c r="H87" i="2"/>
  <c r="H95" i="2"/>
  <c r="H91" i="2"/>
  <c r="K67" i="2"/>
  <c r="K63" i="2"/>
  <c r="L67" i="2"/>
  <c r="L70" i="2"/>
  <c r="L63" i="2"/>
  <c r="F63" i="2"/>
  <c r="F71" i="2"/>
  <c r="F67" i="2"/>
  <c r="L91" i="2"/>
  <c r="L94" i="2"/>
  <c r="L87" i="2"/>
  <c r="E39" i="2"/>
  <c r="E47" i="2"/>
  <c r="E43" i="2"/>
  <c r="I19" i="2"/>
  <c r="I23" i="2"/>
  <c r="I15" i="2"/>
  <c r="E15" i="2"/>
  <c r="E19" i="2"/>
  <c r="E23" i="2"/>
  <c r="G63" i="2"/>
  <c r="G71" i="2"/>
  <c r="G67" i="2"/>
  <c r="G87" i="2"/>
  <c r="G95" i="2"/>
  <c r="G91" i="2"/>
  <c r="E87" i="2"/>
  <c r="E95" i="2"/>
  <c r="E91" i="2"/>
  <c r="H63" i="2"/>
  <c r="H71" i="2"/>
  <c r="H67" i="2"/>
  <c r="Y104" i="1"/>
  <c r="Y131" i="1"/>
  <c r="W53" i="1"/>
  <c r="AG99" i="1"/>
  <c r="AG104" i="1"/>
  <c r="AG114" i="1"/>
  <c r="W203" i="1"/>
  <c r="W199" i="1"/>
  <c r="W170" i="1"/>
  <c r="V135" i="1"/>
  <c r="V133" i="1"/>
  <c r="V124" i="1"/>
  <c r="V128" i="1"/>
  <c r="V132" i="1"/>
  <c r="V111" i="1"/>
  <c r="V110" i="1"/>
  <c r="V100" i="1"/>
  <c r="V114" i="1"/>
  <c r="V99" i="1"/>
  <c r="V113" i="1"/>
  <c r="V104" i="1"/>
  <c r="V130" i="1"/>
  <c r="V95" i="1"/>
  <c r="V112" i="1"/>
  <c r="V103" i="1"/>
  <c r="V210" i="1"/>
  <c r="V216" i="1"/>
  <c r="V217" i="1"/>
  <c r="V204" i="1"/>
  <c r="V199" i="1"/>
  <c r="V212" i="1"/>
  <c r="V198" i="1"/>
  <c r="V219" i="1"/>
  <c r="V180" i="1"/>
  <c r="V162" i="1"/>
  <c r="V168" i="1"/>
  <c r="V156" i="1"/>
  <c r="V195" i="1"/>
  <c r="V151" i="1"/>
  <c r="V184" i="1"/>
  <c r="V190" i="1"/>
  <c r="V191" i="1"/>
  <c r="V163" i="1"/>
  <c r="V178" i="1"/>
  <c r="V169" i="1"/>
  <c r="V157" i="1"/>
  <c r="V145" i="1"/>
  <c r="V150" i="1"/>
  <c r="V138" i="1"/>
  <c r="V136" i="1"/>
  <c r="V174" i="1"/>
  <c r="V164" i="1"/>
  <c r="V153" i="1"/>
  <c r="V214" i="1"/>
  <c r="V149" i="1"/>
  <c r="V146" i="1"/>
  <c r="V171" i="1"/>
  <c r="V194" i="1"/>
  <c r="V182" i="1"/>
  <c r="V166" i="1"/>
  <c r="V154" i="1"/>
  <c r="V152" i="1"/>
  <c r="V148" i="1"/>
  <c r="V141" i="1"/>
  <c r="AG216" i="1"/>
  <c r="AG219" i="1"/>
  <c r="AG206" i="1"/>
  <c r="AG201" i="1"/>
  <c r="AG194" i="1"/>
  <c r="AG170" i="1"/>
  <c r="AG215" i="1"/>
  <c r="AG211" i="1"/>
  <c r="AG204" i="1"/>
  <c r="AG185" i="1"/>
  <c r="AG208" i="1"/>
  <c r="AG189" i="1"/>
  <c r="AG177" i="1"/>
  <c r="AG199" i="1"/>
  <c r="AG207" i="1"/>
  <c r="AG186" i="1"/>
  <c r="AG166" i="1"/>
  <c r="AG164" i="1"/>
  <c r="AG198" i="1"/>
  <c r="AG168" i="1"/>
  <c r="AG212" i="1"/>
  <c r="AG171" i="1"/>
  <c r="AG214" i="1"/>
  <c r="AG192" i="1"/>
  <c r="AG193" i="1"/>
  <c r="AG179" i="1"/>
  <c r="AG165" i="1"/>
  <c r="AG191" i="1"/>
  <c r="AG176" i="1"/>
  <c r="AG190" i="1"/>
  <c r="AG167" i="1"/>
  <c r="AG157" i="1"/>
  <c r="AG143" i="1"/>
  <c r="AG137" i="1"/>
  <c r="AG178" i="1"/>
  <c r="AG138" i="1"/>
  <c r="AG145" i="1"/>
  <c r="AG159" i="1"/>
  <c r="AG175" i="1"/>
  <c r="AG147" i="1"/>
  <c r="AG187" i="1"/>
  <c r="AG146" i="1"/>
  <c r="AG155" i="1"/>
  <c r="AG197" i="1"/>
  <c r="AG153" i="1"/>
  <c r="G43" i="2" l="1"/>
  <c r="G47" i="2"/>
  <c r="F47" i="2"/>
  <c r="F43" i="2"/>
  <c r="O31" i="2"/>
  <c r="O39" i="2"/>
  <c r="F91" i="2"/>
  <c r="F23" i="2"/>
  <c r="H43" i="2"/>
  <c r="C95" i="2"/>
  <c r="F95" i="2"/>
  <c r="F19" i="2"/>
  <c r="H47" i="2"/>
  <c r="R39" i="2"/>
  <c r="R31" i="2"/>
  <c r="D19" i="2"/>
  <c r="D15" i="2"/>
  <c r="C67" i="2"/>
  <c r="D87" i="2"/>
  <c r="C71" i="2"/>
  <c r="D91" i="2"/>
  <c r="C87" i="2"/>
  <c r="O84" i="2"/>
  <c r="O87" i="2" s="1"/>
  <c r="Q60" i="2"/>
  <c r="Q63" i="2" s="1"/>
  <c r="M63" i="2"/>
  <c r="Q36" i="2"/>
  <c r="Q39" i="2" s="1"/>
  <c r="Q84" i="2"/>
  <c r="Q87" i="2" s="1"/>
  <c r="P79" i="2"/>
  <c r="P84" i="2"/>
  <c r="P55" i="2"/>
  <c r="P60" i="2"/>
  <c r="P7" i="2"/>
  <c r="P12" i="2"/>
  <c r="P36" i="2"/>
  <c r="P31" i="2"/>
  <c r="R12" i="2"/>
  <c r="R79" i="2"/>
  <c r="R84" i="2"/>
  <c r="Q7" i="2"/>
  <c r="Q12" i="2"/>
  <c r="R60" i="2"/>
  <c r="R55" i="2"/>
  <c r="E63" i="2"/>
  <c r="O55" i="2"/>
  <c r="O60" i="2"/>
  <c r="O7" i="2"/>
  <c r="O12" i="2"/>
  <c r="J19" i="2"/>
  <c r="N63" i="2"/>
  <c r="C47" i="2"/>
  <c r="C43" i="2"/>
  <c r="I43" i="2"/>
  <c r="I47" i="2"/>
  <c r="E67" i="2"/>
  <c r="K15" i="2"/>
  <c r="N87" i="2"/>
  <c r="Q43" i="2" l="1"/>
  <c r="Q67" i="2"/>
  <c r="O91" i="2"/>
  <c r="Q91" i="2"/>
  <c r="R87" i="2"/>
  <c r="R91" i="2"/>
  <c r="R19" i="2"/>
  <c r="R15" i="2"/>
  <c r="O15" i="2"/>
  <c r="O19" i="2"/>
  <c r="O67" i="2"/>
  <c r="O63" i="2"/>
  <c r="P15" i="2"/>
  <c r="P19" i="2"/>
  <c r="R67" i="2"/>
  <c r="R63" i="2"/>
  <c r="P87" i="2"/>
  <c r="P91" i="2"/>
  <c r="P39" i="2"/>
  <c r="P43" i="2"/>
  <c r="P63" i="2"/>
  <c r="P67" i="2"/>
  <c r="Q15" i="2"/>
  <c r="Q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tc={52D987D8-B218-49A4-83F9-9DB9119F1F7A}</author>
    <author>tc={008FA8BF-A168-40A5-93CA-798980AB9825}</author>
    <author>tc={B2491288-909F-433B-815D-52D81EFA7D8B}</author>
    <author>tc={948AD458-3810-430F-AB41-5A2036D45DAF}</author>
  </authors>
  <commentList>
    <comment ref="U11" authorId="0" shapeId="0" xr:uid="{52D987D8-B218-49A4-83F9-9DB9119F1F7A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V11" authorId="1" shapeId="0" xr:uid="{008FA8BF-A168-40A5-93CA-798980AB9825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W11" authorId="2" shapeId="0" xr:uid="{B2491288-909F-433B-815D-52D81EFA7D8B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U23" authorId="3" shapeId="0" xr:uid="{948AD458-3810-430F-AB41-5A2036D45DAF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https://www.bcb.gov.br/controleinflacao/historicotaxasjuros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tc={9B3F588B-71DD-4C17-9EDC-C28AD158A319}</author>
    <author>tc={5368733A-F167-4611-9D58-494E77DAC0FB}</author>
    <author>tc={0E362C2D-B7ED-45B9-8718-DA24CA728EC2}</author>
    <author>tc={22B6E965-FDAE-4FE8-A78E-7C8936BF7E4B}</author>
  </authors>
  <commentList>
    <comment ref="V11" authorId="0" shapeId="0" xr:uid="{9B3F588B-71DD-4C17-9EDC-C28AD158A319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W11" authorId="1" shapeId="0" xr:uid="{5368733A-F167-4611-9D58-494E77DAC0FB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X11" authorId="2" shapeId="0" xr:uid="{0E362C2D-B7ED-45B9-8718-DA24CA728EC2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V23" authorId="3" shapeId="0" xr:uid="{22B6E965-FDAE-4FE8-A78E-7C8936BF7E4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https://www.bcb.gov.br/controleinflacao/historicotaxasjuros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tc={5E4DCE32-060C-48D9-85C0-2052E26964F5}</author>
    <author>tc={8EEBA2E8-F019-4824-A534-2914B1502BB3}</author>
    <author>tc={738F07E4-4CD7-49E0-B630-CBC5DB06E34B}</author>
    <author>tc={83C56CD6-466D-46F0-AF8B-28E077445E54}</author>
  </authors>
  <commentList>
    <comment ref="V11" authorId="0" shapeId="0" xr:uid="{5E4DCE32-060C-48D9-85C0-2052E26964F5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W11" authorId="1" shapeId="0" xr:uid="{8EEBA2E8-F019-4824-A534-2914B1502BB3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X11" authorId="2" shapeId="0" xr:uid="{738F07E4-4CD7-49E0-B630-CBC5DB06E34B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V23" authorId="3" shapeId="0" xr:uid="{83C56CD6-466D-46F0-AF8B-28E077445E54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https://www.bcb.gov.br/controleinflacao/historicotaxasjuros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tc={54C4BBDD-96F0-492E-A670-A4ACDC5ECA96}</author>
    <author>tc={61F392CB-0738-44AD-B710-B9B6D7056ECA}</author>
    <author>tc={A732C9BC-9442-4A19-8177-99EF9CEB709E}</author>
    <author>tc={B04E904F-7348-4BB7-9F69-52A53C58151A}</author>
  </authors>
  <commentList>
    <comment ref="V11" authorId="0" shapeId="0" xr:uid="{54C4BBDD-96F0-492E-A670-A4ACDC5ECA96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W11" authorId="1" shapeId="0" xr:uid="{61F392CB-0738-44AD-B710-B9B6D7056ECA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X11" authorId="2" shapeId="0" xr:uid="{A732C9BC-9442-4A19-8177-99EF9CEB709E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V23" authorId="3" shapeId="0" xr:uid="{B04E904F-7348-4BB7-9F69-52A53C58151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https://www.bcb.gov.br/controleinflacao/historicotaxasjuros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tc={847E43BF-8221-42E9-BDD7-3455D05F5321}</author>
    <author>tc={CB329BED-DB75-4352-B7A2-EA9C1E0D2B7B}</author>
    <author>tc={2B8FABA0-1C9D-4D27-BD9D-B2257BFFF0D4}</author>
    <author>tc={083F5916-7D12-42F4-888B-595B4A7DF374}</author>
    <author>tc={9ACE04F4-93E7-47AB-AAEE-7C4E90916FEB}</author>
    <author>tc={1ABD2941-FA16-4CF3-AC44-52DDBCB62BAD}</author>
    <author>tc={E3B878E7-7B6F-4AF3-822C-89DD28A87D84}</author>
    <author>tc={4682428C-EA3F-450C-8DD7-E0F93D7020BD}</author>
    <author>tc={98430D2D-B5FA-49AD-8968-FCE8D2ECB3DB}</author>
    <author>tc={F0E8C8E8-F3D4-4B74-8DAD-815CD32EFB9F}</author>
    <author>tc={59DE89BA-FEB1-411A-A533-3777112487EB}</author>
    <author>tc={E8388D23-3205-439C-9487-5CE11708765C}</author>
  </authors>
  <commentList>
    <comment ref="J11" authorId="0" shapeId="0" xr:uid="{847E43BF-8221-42E9-BDD7-3455D05F5321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K11" authorId="1" shapeId="0" xr:uid="{CB329BED-DB75-4352-B7A2-EA9C1E0D2B7B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L11" authorId="2" shapeId="0" xr:uid="{2B8FABA0-1C9D-4D27-BD9D-B2257BFFF0D4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M11" authorId="3" shapeId="0" xr:uid="{083F5916-7D12-42F4-888B-595B4A7DF374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N11" authorId="4" shapeId="0" xr:uid="{9ACE04F4-93E7-47AB-AAEE-7C4E90916FEB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O11" authorId="5" shapeId="0" xr:uid="{1ABD2941-FA16-4CF3-AC44-52DDBCB62BAD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P11" authorId="6" shapeId="0" xr:uid="{E3B878E7-7B6F-4AF3-822C-89DD28A87D84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Q11" authorId="7" shapeId="0" xr:uid="{4682428C-EA3F-450C-8DD7-E0F93D7020BD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R11" authorId="8" shapeId="0" xr:uid="{98430D2D-B5FA-49AD-8968-FCE8D2ECB3DB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S11" authorId="9" shapeId="0" xr:uid="{F0E8C8E8-F3D4-4B74-8DAD-815CD32EFB9F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T11" authorId="10" shapeId="0" xr:uid="{59DE89BA-FEB1-411A-A533-3777112487EB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  <comment ref="U11" authorId="11" shapeId="0" xr:uid="{E8388D23-3205-439C-9487-5CE11708765C}">
      <text>
        <t>[Threaded comment]
Your version of Excel allows you to read this threaded comment; however, any edits to it will get removed if the file is opened in a newer version of Excel. Learn more: https://go.microsoft.com/fwlink/?linkid=870924
Comment:
    Indorama concedeu desconto de USD 25/ton até o limite de 30.000 ton/ano.</t>
      </text>
    </comment>
  </commentList>
</comments>
</file>

<file path=xl/sharedStrings.xml><?xml version="1.0" encoding="utf-8"?>
<sst xmlns="http://schemas.openxmlformats.org/spreadsheetml/2006/main" count="1070" uniqueCount="103">
  <si>
    <t>FRETE INTERNACIONAL</t>
  </si>
  <si>
    <t>Icis Asia SE Low (n-1)</t>
  </si>
  <si>
    <t xml:space="preserve">Central China (Shanghai) to Brazil (Santos) </t>
  </si>
  <si>
    <t>Icis Asia 5R MID (n-1)</t>
  </si>
  <si>
    <t>USD/Ton</t>
  </si>
  <si>
    <t>Resina c/ premissas</t>
  </si>
  <si>
    <t>PTAX (n-1)</t>
  </si>
  <si>
    <t>Desconto VRJ</t>
  </si>
  <si>
    <t>Drewry (t-1)</t>
  </si>
  <si>
    <t>Desconto VPE</t>
  </si>
  <si>
    <t>Desconto VMG</t>
  </si>
  <si>
    <t>Frete internacional com desconto</t>
  </si>
  <si>
    <t>Custo internação VPET</t>
  </si>
  <si>
    <t>Sobretaxa</t>
  </si>
  <si>
    <t>MXQ Médio SE (n-1)</t>
  </si>
  <si>
    <t>MXQ Médio NE (n-1)</t>
  </si>
  <si>
    <t>Conversão RPET</t>
  </si>
  <si>
    <t xml:space="preserve">Condição de Pagamento </t>
  </si>
  <si>
    <t>VPET Valgroup RJ</t>
  </si>
  <si>
    <t>RPET Valgroup RJ</t>
  </si>
  <si>
    <t>VPET Valgroup PE</t>
  </si>
  <si>
    <t>RPET Valgroup PE</t>
  </si>
  <si>
    <t>VPET Valgroup MG</t>
  </si>
  <si>
    <t>RPET Valgroup MG</t>
  </si>
  <si>
    <t>SELIC</t>
  </si>
  <si>
    <t>Custo financeiro</t>
  </si>
  <si>
    <t>PREÇO SEM IMPOSTO</t>
  </si>
  <si>
    <t>PREÇO COM IMPOSTO</t>
  </si>
  <si>
    <t>Fornecedor</t>
  </si>
  <si>
    <t>GR</t>
  </si>
  <si>
    <t>Vpet</t>
  </si>
  <si>
    <t>Rpet</t>
  </si>
  <si>
    <t>Perda</t>
  </si>
  <si>
    <t>Custo de conversão</t>
  </si>
  <si>
    <t>CAPEX (USD)</t>
  </si>
  <si>
    <t>PIS COFINS</t>
  </si>
  <si>
    <t>ICMS</t>
  </si>
  <si>
    <t>Valgroup RJ</t>
  </si>
  <si>
    <t>Valgroup PE</t>
  </si>
  <si>
    <t>Valgroup MG</t>
  </si>
  <si>
    <t>VALGROUP</t>
  </si>
  <si>
    <t>RJ1</t>
  </si>
  <si>
    <t>PE1</t>
  </si>
  <si>
    <t>MG11</t>
  </si>
  <si>
    <t>Ptax (n-1):</t>
  </si>
  <si>
    <t>Gramatura</t>
  </si>
  <si>
    <t>RESINA VIRGEM</t>
  </si>
  <si>
    <t>VRJ1</t>
  </si>
  <si>
    <t>VPE1</t>
  </si>
  <si>
    <t>VMG11</t>
  </si>
  <si>
    <t>Premissas</t>
  </si>
  <si>
    <t>Se Icis Asia 5R MID for &gt; USD 75/ton que Icis Asia SE LOW, aplicaremos Icislor Asia 5R MID menos USD 75/ton;</t>
  </si>
  <si>
    <t>RESINA RECICLADA</t>
  </si>
  <si>
    <t>Se Icis Asia SE LOW for &gt; Icis Asia 5R MID, aplicaremos Icis Asia 5R MID.</t>
  </si>
  <si>
    <t>Total Resina/ton</t>
  </si>
  <si>
    <t>Desconto</t>
  </si>
  <si>
    <t>BASE</t>
  </si>
  <si>
    <t>ESCALA</t>
  </si>
  <si>
    <t>DESCONTO</t>
  </si>
  <si>
    <t>Custo Resina USD /mi</t>
  </si>
  <si>
    <t>Drewry (t-1) com desconto</t>
  </si>
  <si>
    <t xml:space="preserve">Drewry Médio (Q-1) </t>
  </si>
  <si>
    <t>Até de USD 200/ton</t>
  </si>
  <si>
    <t>Custo Resina R$/mi</t>
  </si>
  <si>
    <t>Internação</t>
  </si>
  <si>
    <t>De USD 201/ton à USD 250/ton</t>
  </si>
  <si>
    <t>Custo Conversão R$/mi</t>
  </si>
  <si>
    <t>Imposto Internação</t>
  </si>
  <si>
    <t>De USD 251/ton à USD 300/ton</t>
  </si>
  <si>
    <t>Custo Amortização USD/mi</t>
  </si>
  <si>
    <t>Acima de USD 300/ton</t>
  </si>
  <si>
    <t>Custo Financeiro</t>
  </si>
  <si>
    <t xml:space="preserve">Total V-PET USD/ton </t>
  </si>
  <si>
    <t>Total Preforma R$/mi FOB Ex Impostos</t>
  </si>
  <si>
    <t xml:space="preserve">Total V-PET R$/ton </t>
  </si>
  <si>
    <t>PIS/COFINS</t>
  </si>
  <si>
    <t>Total Preforma R$/mi FOB Com Impostos</t>
  </si>
  <si>
    <t>Maxiquim Médio Sucata PET (n-1)</t>
  </si>
  <si>
    <t xml:space="preserve">Rendimento </t>
  </si>
  <si>
    <t xml:space="preserve">Custo de Conversão </t>
  </si>
  <si>
    <t>Total R-PET R$/ton</t>
  </si>
  <si>
    <t>Total R-PET USD/ton</t>
  </si>
  <si>
    <t>Manaus</t>
  </si>
  <si>
    <t>Condição Pagamento</t>
  </si>
  <si>
    <t>Taxa de Juros Básica (SELIC)</t>
  </si>
  <si>
    <t>Limite Anual</t>
  </si>
  <si>
    <t>Taxa Anual aplicavel</t>
  </si>
  <si>
    <t>Taxa para Condição de Pagto.</t>
  </si>
  <si>
    <t>Sobretaxa com Desconto Indorama</t>
  </si>
  <si>
    <t>Desconto Indorama</t>
  </si>
  <si>
    <t>Referência: JAN/26</t>
  </si>
  <si>
    <t>IPCA (DEZ/24 à NOV/25)</t>
  </si>
  <si>
    <t>Regra Reajuste</t>
  </si>
  <si>
    <t>Data de Reajuste</t>
  </si>
  <si>
    <t xml:space="preserve">Conversão </t>
  </si>
  <si>
    <t>Conversão Reajustado</t>
  </si>
  <si>
    <t>RESINA</t>
  </si>
  <si>
    <t>RECICLADA</t>
  </si>
  <si>
    <t>Referência: FEV/26</t>
  </si>
  <si>
    <t>Referência: MAR/26</t>
  </si>
  <si>
    <t>Referência: ABR/26</t>
  </si>
  <si>
    <t xml:space="preserve">Use only South East low </t>
  </si>
  <si>
    <t xml:space="preserve">Final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</si>
</sst>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R$&quot;\ #,##0.00;[Red]\-&quot;R$&quot;\ #,##0.00"/>
    <numFmt numFmtId="165" formatCode="_-* #,##0.00_-;\-* #,##0.00_-;_-* &quot;-&quot;??_-;_-@_-"/>
    <numFmt numFmtId="166" formatCode="[$USD]\ #,##0.00"/>
    <numFmt numFmtId="167" formatCode="&quot;R$&quot;\ #,##0.0000"/>
    <numFmt numFmtId="168" formatCode="0.0%"/>
    <numFmt numFmtId="169" formatCode="&quot;R$&quot;\ #,##0.00"/>
    <numFmt numFmtId="170" formatCode="0.0"/>
    <numFmt numFmtId="171" formatCode="0.0000%"/>
    <numFmt numFmtId="172" formatCode="0.00000%"/>
    <numFmt numFmtId="173" formatCode="0.000000%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color rgb="FF242424"/>
      <name val="Arial"/>
      <family val="2"/>
    </font>
    <font>
      <sz val="1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7" fontId="2" fillId="2" borderId="4" xfId="0" applyNumberFormat="1" applyFont="1" applyFill="1" applyBorder="1" applyAlignment="1">
      <alignment horizontal="center" vertical="center" wrapText="1"/>
    </xf>
    <xf numFmtId="17" fontId="2" fillId="3" borderId="4" xfId="0" applyNumberFormat="1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168" fontId="6" fillId="0" borderId="4" xfId="2" applyNumberFormat="1" applyFont="1" applyFill="1" applyBorder="1" applyAlignment="1">
      <alignment horizontal="center"/>
    </xf>
    <xf numFmtId="0" fontId="3" fillId="0" borderId="0" xfId="0" applyFont="1"/>
    <xf numFmtId="170" fontId="6" fillId="5" borderId="0" xfId="0" applyNumberFormat="1" applyFont="1" applyFill="1" applyAlignment="1">
      <alignment horizontal="center"/>
    </xf>
    <xf numFmtId="170" fontId="3" fillId="0" borderId="0" xfId="0" applyNumberFormat="1" applyFont="1" applyAlignment="1">
      <alignment horizontal="center"/>
    </xf>
    <xf numFmtId="0" fontId="6" fillId="0" borderId="0" xfId="0" applyFont="1"/>
    <xf numFmtId="1" fontId="6" fillId="5" borderId="0" xfId="0" applyNumberFormat="1" applyFont="1" applyFill="1"/>
    <xf numFmtId="1" fontId="1" fillId="0" borderId="0" xfId="0" applyNumberFormat="1" applyFont="1"/>
    <xf numFmtId="10" fontId="1" fillId="0" borderId="3" xfId="2" applyNumberFormat="1" applyFont="1" applyFill="1" applyBorder="1" applyAlignment="1">
      <alignment horizontal="center" vertical="center"/>
    </xf>
    <xf numFmtId="171" fontId="1" fillId="0" borderId="4" xfId="2" applyNumberFormat="1" applyFont="1" applyFill="1" applyBorder="1" applyAlignment="1">
      <alignment horizontal="center"/>
    </xf>
    <xf numFmtId="171" fontId="1" fillId="0" borderId="0" xfId="2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7" fontId="2" fillId="6" borderId="6" xfId="0" applyNumberFormat="1" applyFont="1" applyFill="1" applyBorder="1" applyAlignment="1">
      <alignment horizontal="center" vertical="center" wrapText="1"/>
    </xf>
    <xf numFmtId="17" fontId="2" fillId="7" borderId="6" xfId="0" applyNumberFormat="1" applyFont="1" applyFill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6" fontId="5" fillId="0" borderId="4" xfId="0" applyNumberFormat="1" applyFont="1" applyBorder="1" applyAlignment="1">
      <alignment horizontal="center" vertical="center"/>
    </xf>
    <xf numFmtId="166" fontId="6" fillId="0" borderId="4" xfId="1" applyNumberFormat="1" applyFont="1" applyFill="1" applyBorder="1" applyAlignment="1">
      <alignment horizontal="center"/>
    </xf>
    <xf numFmtId="166" fontId="1" fillId="0" borderId="4" xfId="1" applyNumberFormat="1" applyFont="1" applyFill="1" applyBorder="1" applyAlignment="1">
      <alignment horizontal="center"/>
    </xf>
    <xf numFmtId="166" fontId="1" fillId="0" borderId="0" xfId="0" applyNumberFormat="1" applyFont="1"/>
    <xf numFmtId="167" fontId="1" fillId="0" borderId="4" xfId="0" applyNumberFormat="1" applyFont="1" applyBorder="1" applyAlignment="1">
      <alignment horizontal="center" vertical="center"/>
    </xf>
    <xf numFmtId="2" fontId="6" fillId="0" borderId="0" xfId="0" applyNumberFormat="1" applyFont="1"/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10" fontId="6" fillId="0" borderId="4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169" fontId="6" fillId="0" borderId="4" xfId="0" applyNumberFormat="1" applyFont="1" applyBorder="1" applyAlignment="1">
      <alignment horizontal="center"/>
    </xf>
    <xf numFmtId="169" fontId="1" fillId="0" borderId="4" xfId="0" applyNumberFormat="1" applyFont="1" applyBorder="1" applyAlignment="1">
      <alignment horizontal="center" vertical="center"/>
    </xf>
    <xf numFmtId="169" fontId="1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10" fontId="6" fillId="0" borderId="3" xfId="2" applyNumberFormat="1" applyFont="1" applyFill="1" applyBorder="1" applyAlignment="1">
      <alignment horizontal="center" vertical="center"/>
    </xf>
    <xf numFmtId="171" fontId="6" fillId="0" borderId="4" xfId="2" applyNumberFormat="1" applyFont="1" applyFill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9" fontId="1" fillId="0" borderId="4" xfId="2" applyFont="1" applyFill="1" applyBorder="1" applyAlignment="1">
      <alignment horizontal="center"/>
    </xf>
    <xf numFmtId="168" fontId="1" fillId="0" borderId="4" xfId="2" applyNumberFormat="1" applyFont="1" applyFill="1" applyBorder="1" applyAlignment="1">
      <alignment horizontal="center"/>
    </xf>
    <xf numFmtId="0" fontId="4" fillId="0" borderId="7" xfId="0" applyFont="1" applyBorder="1"/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10" borderId="9" xfId="0" applyFont="1" applyFill="1" applyBorder="1" applyAlignment="1">
      <alignment horizontal="center"/>
    </xf>
    <xf numFmtId="0" fontId="4" fillId="10" borderId="10" xfId="0" applyFont="1" applyFill="1" applyBorder="1" applyAlignment="1">
      <alignment horizontal="center"/>
    </xf>
    <xf numFmtId="0" fontId="4" fillId="11" borderId="13" xfId="0" applyFont="1" applyFill="1" applyBorder="1"/>
    <xf numFmtId="17" fontId="0" fillId="0" borderId="14" xfId="0" applyNumberFormat="1" applyBorder="1" applyAlignment="1">
      <alignment horizontal="center"/>
    </xf>
    <xf numFmtId="0" fontId="4" fillId="0" borderId="14" xfId="0" applyFont="1" applyBorder="1" applyAlignment="1">
      <alignment horizontal="center"/>
    </xf>
    <xf numFmtId="167" fontId="4" fillId="0" borderId="15" xfId="0" applyNumberFormat="1" applyFont="1" applyBorder="1" applyAlignment="1">
      <alignment horizontal="center"/>
    </xf>
    <xf numFmtId="0" fontId="4" fillId="0" borderId="16" xfId="0" applyFont="1" applyBorder="1"/>
    <xf numFmtId="0" fontId="4" fillId="0" borderId="1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12" borderId="19" xfId="0" applyFont="1" applyFill="1" applyBorder="1"/>
    <xf numFmtId="0" fontId="4" fillId="4" borderId="20" xfId="0" applyFont="1" applyFill="1" applyBorder="1" applyAlignment="1">
      <alignment horizontal="center"/>
    </xf>
    <xf numFmtId="0" fontId="4" fillId="9" borderId="20" xfId="0" applyFont="1" applyFill="1" applyBorder="1" applyAlignment="1">
      <alignment horizontal="center"/>
    </xf>
    <xf numFmtId="0" fontId="4" fillId="10" borderId="21" xfId="0" applyFont="1" applyFill="1" applyBorder="1" applyAlignment="1">
      <alignment horizontal="center"/>
    </xf>
    <xf numFmtId="0" fontId="0" fillId="12" borderId="16" xfId="0" applyFill="1" applyBorder="1"/>
    <xf numFmtId="9" fontId="0" fillId="12" borderId="17" xfId="0" applyNumberFormat="1" applyFill="1" applyBorder="1" applyAlignment="1">
      <alignment horizontal="center"/>
    </xf>
    <xf numFmtId="9" fontId="0" fillId="12" borderId="4" xfId="0" applyNumberFormat="1" applyFill="1" applyBorder="1" applyAlignment="1">
      <alignment horizontal="center"/>
    </xf>
    <xf numFmtId="9" fontId="0" fillId="12" borderId="18" xfId="0" applyNumberFormat="1" applyFill="1" applyBorder="1" applyAlignment="1">
      <alignment horizontal="center"/>
    </xf>
    <xf numFmtId="9" fontId="0" fillId="12" borderId="1" xfId="0" applyNumberFormat="1" applyFill="1" applyBorder="1" applyAlignment="1">
      <alignment horizontal="center"/>
    </xf>
    <xf numFmtId="9" fontId="0" fillId="12" borderId="3" xfId="0" applyNumberFormat="1" applyFill="1" applyBorder="1" applyAlignment="1">
      <alignment horizontal="center"/>
    </xf>
    <xf numFmtId="0" fontId="0" fillId="0" borderId="22" xfId="0" applyBorder="1"/>
    <xf numFmtId="166" fontId="0" fillId="0" borderId="0" xfId="0" applyNumberFormat="1" applyAlignment="1">
      <alignment horizontal="center"/>
    </xf>
    <xf numFmtId="166" fontId="0" fillId="0" borderId="23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8" borderId="16" xfId="0" applyFill="1" applyBorder="1"/>
    <xf numFmtId="9" fontId="1" fillId="8" borderId="17" xfId="2" applyFont="1" applyFill="1" applyBorder="1" applyAlignment="1">
      <alignment horizontal="center"/>
    </xf>
    <xf numFmtId="9" fontId="1" fillId="8" borderId="4" xfId="2" applyFont="1" applyFill="1" applyBorder="1" applyAlignment="1">
      <alignment horizontal="center"/>
    </xf>
    <xf numFmtId="9" fontId="1" fillId="8" borderId="18" xfId="2" applyFont="1" applyFill="1" applyBorder="1" applyAlignment="1">
      <alignment horizontal="center"/>
    </xf>
    <xf numFmtId="9" fontId="1" fillId="8" borderId="1" xfId="2" applyFont="1" applyFill="1" applyBorder="1" applyAlignment="1">
      <alignment horizontal="center"/>
    </xf>
    <xf numFmtId="9" fontId="1" fillId="8" borderId="3" xfId="2" applyFont="1" applyFill="1" applyBorder="1" applyAlignment="1">
      <alignment horizontal="center"/>
    </xf>
    <xf numFmtId="0" fontId="0" fillId="0" borderId="16" xfId="0" applyBorder="1"/>
    <xf numFmtId="9" fontId="0" fillId="0" borderId="17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1" fillId="0" borderId="16" xfId="0" applyFont="1" applyBorder="1" applyAlignment="1">
      <alignment vertical="center"/>
    </xf>
    <xf numFmtId="169" fontId="0" fillId="0" borderId="17" xfId="0" applyNumberFormat="1" applyBorder="1" applyAlignment="1">
      <alignment horizontal="center"/>
    </xf>
    <xf numFmtId="169" fontId="0" fillId="0" borderId="4" xfId="0" applyNumberFormat="1" applyBorder="1" applyAlignment="1">
      <alignment horizontal="center"/>
    </xf>
    <xf numFmtId="169" fontId="0" fillId="0" borderId="18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8" fontId="0" fillId="0" borderId="23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23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center"/>
    </xf>
    <xf numFmtId="171" fontId="0" fillId="0" borderId="17" xfId="0" applyNumberFormat="1" applyBorder="1" applyAlignment="1">
      <alignment horizontal="center"/>
    </xf>
    <xf numFmtId="171" fontId="0" fillId="0" borderId="4" xfId="0" applyNumberFormat="1" applyBorder="1" applyAlignment="1">
      <alignment horizontal="center"/>
    </xf>
    <xf numFmtId="171" fontId="0" fillId="0" borderId="18" xfId="0" applyNumberForma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171" fontId="0" fillId="0" borderId="3" xfId="0" applyNumberFormat="1" applyBorder="1" applyAlignment="1">
      <alignment horizontal="center"/>
    </xf>
    <xf numFmtId="0" fontId="4" fillId="12" borderId="22" xfId="0" applyFont="1" applyFill="1" applyBorder="1"/>
    <xf numFmtId="166" fontId="4" fillId="12" borderId="23" xfId="0" applyNumberFormat="1" applyFont="1" applyFill="1" applyBorder="1" applyAlignment="1">
      <alignment horizontal="center"/>
    </xf>
    <xf numFmtId="169" fontId="4" fillId="4" borderId="17" xfId="0" applyNumberFormat="1" applyFont="1" applyFill="1" applyBorder="1" applyAlignment="1">
      <alignment horizontal="center"/>
    </xf>
    <xf numFmtId="169" fontId="4" fillId="4" borderId="4" xfId="0" applyNumberFormat="1" applyFont="1" applyFill="1" applyBorder="1" applyAlignment="1">
      <alignment horizontal="center"/>
    </xf>
    <xf numFmtId="169" fontId="4" fillId="4" borderId="18" xfId="0" applyNumberFormat="1" applyFont="1" applyFill="1" applyBorder="1" applyAlignment="1">
      <alignment horizontal="center"/>
    </xf>
    <xf numFmtId="169" fontId="4" fillId="9" borderId="17" xfId="0" applyNumberFormat="1" applyFont="1" applyFill="1" applyBorder="1" applyAlignment="1">
      <alignment horizontal="center"/>
    </xf>
    <xf numFmtId="169" fontId="4" fillId="9" borderId="4" xfId="0" applyNumberFormat="1" applyFont="1" applyFill="1" applyBorder="1" applyAlignment="1">
      <alignment horizontal="center"/>
    </xf>
    <xf numFmtId="169" fontId="4" fillId="9" borderId="1" xfId="0" applyNumberFormat="1" applyFont="1" applyFill="1" applyBorder="1" applyAlignment="1">
      <alignment horizontal="center"/>
    </xf>
    <xf numFmtId="169" fontId="4" fillId="10" borderId="17" xfId="0" applyNumberFormat="1" applyFont="1" applyFill="1" applyBorder="1" applyAlignment="1">
      <alignment horizontal="center"/>
    </xf>
    <xf numFmtId="169" fontId="4" fillId="10" borderId="3" xfId="0" applyNumberFormat="1" applyFont="1" applyFill="1" applyBorder="1" applyAlignment="1">
      <alignment horizontal="center"/>
    </xf>
    <xf numFmtId="169" fontId="4" fillId="10" borderId="4" xfId="0" applyNumberFormat="1" applyFont="1" applyFill="1" applyBorder="1" applyAlignment="1">
      <alignment horizontal="center"/>
    </xf>
    <xf numFmtId="169" fontId="4" fillId="10" borderId="18" xfId="0" applyNumberFormat="1" applyFont="1" applyFill="1" applyBorder="1" applyAlignment="1">
      <alignment horizontal="center"/>
    </xf>
    <xf numFmtId="0" fontId="4" fillId="12" borderId="24" xfId="0" applyFont="1" applyFill="1" applyBorder="1"/>
    <xf numFmtId="169" fontId="4" fillId="12" borderId="25" xfId="0" applyNumberFormat="1" applyFont="1" applyFill="1" applyBorder="1" applyAlignment="1">
      <alignment horizontal="center"/>
    </xf>
    <xf numFmtId="169" fontId="4" fillId="12" borderId="26" xfId="0" applyNumberFormat="1" applyFont="1" applyFill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center"/>
    </xf>
    <xf numFmtId="168" fontId="0" fillId="0" borderId="17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4" fillId="8" borderId="19" xfId="0" applyFont="1" applyFill="1" applyBorder="1"/>
    <xf numFmtId="169" fontId="4" fillId="0" borderId="17" xfId="0" applyNumberFormat="1" applyFont="1" applyBorder="1" applyAlignment="1">
      <alignment horizontal="center"/>
    </xf>
    <xf numFmtId="169" fontId="4" fillId="0" borderId="4" xfId="0" applyNumberFormat="1" applyFont="1" applyBorder="1" applyAlignment="1">
      <alignment horizontal="center"/>
    </xf>
    <xf numFmtId="169" fontId="4" fillId="0" borderId="18" xfId="0" applyNumberFormat="1" applyFont="1" applyBorder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169" fontId="4" fillId="0" borderId="3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23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8" borderId="22" xfId="0" applyFont="1" applyFill="1" applyBorder="1"/>
    <xf numFmtId="164" fontId="4" fillId="8" borderId="0" xfId="0" applyNumberFormat="1" applyFont="1" applyFill="1" applyAlignment="1">
      <alignment horizontal="center"/>
    </xf>
    <xf numFmtId="164" fontId="4" fillId="8" borderId="23" xfId="0" applyNumberFormat="1" applyFont="1" applyFill="1" applyBorder="1" applyAlignment="1">
      <alignment horizontal="center"/>
    </xf>
    <xf numFmtId="0" fontId="4" fillId="8" borderId="24" xfId="0" applyFont="1" applyFill="1" applyBorder="1"/>
    <xf numFmtId="166" fontId="4" fillId="8" borderId="25" xfId="0" applyNumberFormat="1" applyFont="1" applyFill="1" applyBorder="1" applyAlignment="1">
      <alignment horizontal="center"/>
    </xf>
    <xf numFmtId="166" fontId="4" fillId="8" borderId="26" xfId="0" applyNumberFormat="1" applyFont="1" applyFill="1" applyBorder="1" applyAlignment="1">
      <alignment horizontal="center"/>
    </xf>
    <xf numFmtId="0" fontId="7" fillId="0" borderId="0" xfId="0" applyFont="1" applyAlignment="1">
      <alignment horizontal="left" vertical="center" wrapText="1" indent="1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7" fillId="0" borderId="0" xfId="0" applyFont="1" applyAlignment="1">
      <alignment horizontal="left" vertical="center" wrapText="1" indent="4"/>
    </xf>
    <xf numFmtId="0" fontId="0" fillId="0" borderId="4" xfId="0" applyBorder="1"/>
    <xf numFmtId="0" fontId="1" fillId="0" borderId="4" xfId="0" applyFont="1" applyBorder="1" applyAlignment="1">
      <alignment vertical="center"/>
    </xf>
    <xf numFmtId="10" fontId="1" fillId="0" borderId="4" xfId="0" applyNumberFormat="1" applyFont="1" applyBorder="1" applyAlignment="1">
      <alignment horizontal="center" vertical="center"/>
    </xf>
    <xf numFmtId="0" fontId="4" fillId="0" borderId="30" xfId="0" applyFont="1" applyBorder="1"/>
    <xf numFmtId="169" fontId="4" fillId="0" borderId="31" xfId="0" applyNumberFormat="1" applyFont="1" applyBorder="1" applyAlignment="1">
      <alignment horizontal="center"/>
    </xf>
    <xf numFmtId="169" fontId="4" fillId="0" borderId="32" xfId="0" applyNumberFormat="1" applyFont="1" applyBorder="1" applyAlignment="1">
      <alignment horizontal="center"/>
    </xf>
    <xf numFmtId="169" fontId="4" fillId="0" borderId="33" xfId="0" applyNumberFormat="1" applyFont="1" applyBorder="1" applyAlignment="1">
      <alignment horizontal="center"/>
    </xf>
    <xf numFmtId="0" fontId="0" fillId="0" borderId="24" xfId="0" applyBorder="1"/>
    <xf numFmtId="0" fontId="0" fillId="0" borderId="25" xfId="0" applyBorder="1"/>
    <xf numFmtId="166" fontId="0" fillId="0" borderId="0" xfId="0" applyNumberFormat="1"/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171" fontId="1" fillId="0" borderId="4" xfId="2" applyNumberFormat="1" applyFont="1" applyFill="1" applyBorder="1" applyAlignment="1">
      <alignment horizontal="center" vertical="center"/>
    </xf>
    <xf numFmtId="169" fontId="4" fillId="9" borderId="18" xfId="0" applyNumberFormat="1" applyFont="1" applyFill="1" applyBorder="1" applyAlignment="1">
      <alignment horizontal="center"/>
    </xf>
    <xf numFmtId="168" fontId="0" fillId="0" borderId="18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66" fontId="4" fillId="12" borderId="0" xfId="0" applyNumberFormat="1" applyFont="1" applyFill="1" applyAlignment="1">
      <alignment horizontal="center"/>
    </xf>
    <xf numFmtId="172" fontId="0" fillId="0" borderId="0" xfId="2" applyNumberFormat="1" applyFont="1"/>
    <xf numFmtId="0" fontId="0" fillId="11" borderId="4" xfId="0" applyFill="1" applyBorder="1" applyAlignment="1">
      <alignment horizontal="left"/>
    </xf>
    <xf numFmtId="17" fontId="0" fillId="11" borderId="4" xfId="0" applyNumberFormat="1" applyFill="1" applyBorder="1"/>
    <xf numFmtId="0" fontId="0" fillId="11" borderId="4" xfId="0" applyFill="1" applyBorder="1"/>
    <xf numFmtId="173" fontId="0" fillId="11" borderId="4" xfId="2" applyNumberFormat="1" applyFont="1" applyFill="1" applyBorder="1"/>
    <xf numFmtId="172" fontId="0" fillId="11" borderId="4" xfId="2" applyNumberFormat="1" applyFont="1" applyFill="1" applyBorder="1"/>
    <xf numFmtId="169" fontId="0" fillId="0" borderId="32" xfId="0" applyNumberFormat="1" applyBorder="1" applyAlignment="1">
      <alignment horizontal="center"/>
    </xf>
    <xf numFmtId="169" fontId="0" fillId="0" borderId="33" xfId="0" applyNumberFormat="1" applyBorder="1" applyAlignment="1">
      <alignment horizontal="center"/>
    </xf>
    <xf numFmtId="0" fontId="0" fillId="0" borderId="30" xfId="0" applyBorder="1"/>
    <xf numFmtId="169" fontId="0" fillId="0" borderId="31" xfId="0" applyNumberFormat="1" applyBorder="1" applyAlignment="1">
      <alignment horizontal="center"/>
    </xf>
    <xf numFmtId="0" fontId="4" fillId="8" borderId="34" xfId="0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169" fontId="0" fillId="0" borderId="36" xfId="0" applyNumberFormat="1" applyBorder="1" applyAlignment="1">
      <alignment horizontal="center"/>
    </xf>
    <xf numFmtId="169" fontId="1" fillId="0" borderId="37" xfId="0" applyNumberFormat="1" applyFont="1" applyBorder="1" applyAlignment="1">
      <alignment horizontal="center"/>
    </xf>
    <xf numFmtId="169" fontId="0" fillId="0" borderId="37" xfId="0" applyNumberFormat="1" applyBorder="1" applyAlignment="1">
      <alignment horizontal="center"/>
    </xf>
    <xf numFmtId="169" fontId="4" fillId="0" borderId="38" xfId="0" applyNumberFormat="1" applyFont="1" applyBorder="1" applyAlignment="1">
      <alignment horizontal="center"/>
    </xf>
    <xf numFmtId="9" fontId="8" fillId="0" borderId="0" xfId="2" applyFont="1" applyAlignment="1">
      <alignment horizontal="center"/>
    </xf>
    <xf numFmtId="169" fontId="1" fillId="0" borderId="6" xfId="0" applyNumberFormat="1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6" fontId="0" fillId="13" borderId="0" xfId="0" applyNumberFormat="1" applyFill="1" applyAlignment="1">
      <alignment horizontal="center"/>
    </xf>
    <xf numFmtId="166" fontId="0" fillId="13" borderId="23" xfId="0" applyNumberFormat="1" applyFill="1" applyBorder="1" applyAlignment="1">
      <alignment horizontal="center"/>
    </xf>
    <xf numFmtId="167" fontId="4" fillId="0" borderId="0" xfId="0" applyNumberFormat="1" applyFont="1" applyBorder="1" applyAlignment="1">
      <alignment horizontal="center"/>
    </xf>
    <xf numFmtId="0" fontId="4" fillId="10" borderId="0" xfId="0" applyFont="1" applyFill="1" applyBorder="1" applyAlignment="1">
      <alignment horizontal="center"/>
    </xf>
    <xf numFmtId="166" fontId="0" fillId="13" borderId="0" xfId="0" applyNumberFormat="1" applyFill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169" fontId="4" fillId="12" borderId="0" xfId="0" applyNumberFormat="1" applyFon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4" fillId="8" borderId="0" xfId="0" applyNumberFormat="1" applyFont="1" applyFill="1" applyBorder="1" applyAlignment="1">
      <alignment horizontal="center"/>
    </xf>
    <xf numFmtId="166" fontId="4" fillId="8" borderId="0" xfId="0" applyNumberFormat="1" applyFont="1" applyFill="1" applyBorder="1" applyAlignment="1">
      <alignment horizontal="center"/>
    </xf>
    <xf numFmtId="166" fontId="3" fillId="11" borderId="0" xfId="0" applyNumberFormat="1" applyFont="1" applyFill="1" applyAlignment="1">
      <alignment horizontal="center"/>
    </xf>
    <xf numFmtId="166" fontId="3" fillId="11" borderId="23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47625</xdr:colOff>
      <xdr:row>11</xdr:row>
      <xdr:rowOff>31425</xdr:rowOff>
    </xdr:from>
    <xdr:to>
      <xdr:col>28</xdr:col>
      <xdr:colOff>542925</xdr:colOff>
      <xdr:row>16</xdr:row>
      <xdr:rowOff>57287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C0478D1-2258-1CA0-7191-CF0C9600D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31075" y="1822125"/>
          <a:ext cx="4905375" cy="8545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9525</xdr:colOff>
      <xdr:row>11</xdr:row>
      <xdr:rowOff>154168</xdr:rowOff>
    </xdr:from>
    <xdr:to>
      <xdr:col>29</xdr:col>
      <xdr:colOff>590550</xdr:colOff>
      <xdr:row>17</xdr:row>
      <xdr:rowOff>19185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3F6A699-CE81-D00F-2818-51C304EA6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92975" y="1944868"/>
          <a:ext cx="4991100" cy="8556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28576</xdr:colOff>
      <xdr:row>11</xdr:row>
      <xdr:rowOff>95250</xdr:rowOff>
    </xdr:from>
    <xdr:to>
      <xdr:col>29</xdr:col>
      <xdr:colOff>382295</xdr:colOff>
      <xdr:row>16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5A42462-07B3-AEEE-A841-518EF915C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35926" y="1885950"/>
          <a:ext cx="4763794" cy="819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38101</xdr:colOff>
      <xdr:row>11</xdr:row>
      <xdr:rowOff>11146</xdr:rowOff>
    </xdr:from>
    <xdr:to>
      <xdr:col>30</xdr:col>
      <xdr:colOff>485776</xdr:colOff>
      <xdr:row>16</xdr:row>
      <xdr:rowOff>28712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D23BE4C-2217-E630-7D58-6C0543D5C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45451" y="1801846"/>
          <a:ext cx="4857750" cy="8462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6</xdr:row>
      <xdr:rowOff>19050</xdr:rowOff>
    </xdr:from>
    <xdr:to>
      <xdr:col>8</xdr:col>
      <xdr:colOff>496120</xdr:colOff>
      <xdr:row>18</xdr:row>
      <xdr:rowOff>47900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FA947E4-E541-4108-C6E9-59E4AC0E4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1000125"/>
          <a:ext cx="5877745" cy="1971950"/>
        </a:xfrm>
        <a:prstGeom prst="rect">
          <a:avLst/>
        </a:prstGeom>
      </xdr:spPr>
    </xdr:pic>
    <xdr:clientData/>
  </xdr:twoCellAnchor>
  <xdr:twoCellAnchor editAs="oneCell">
    <xdr:from>
      <xdr:col>10</xdr:col>
      <xdr:colOff>390525</xdr:colOff>
      <xdr:row>6</xdr:row>
      <xdr:rowOff>74494</xdr:rowOff>
    </xdr:from>
    <xdr:to>
      <xdr:col>15</xdr:col>
      <xdr:colOff>448172</xdr:colOff>
      <xdr:row>18</xdr:row>
      <xdr:rowOff>9851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6D30854-C700-6D15-8D61-507712692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96125" y="1055569"/>
          <a:ext cx="2867522" cy="187845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ta de Cássia Fernandes" id="{B532C52F-AC39-4F1A-A392-09B28DC1A6FD}" userId="S::rita.fernandes@valgroupco.com::142d096d-c08f-4305-b2b7-7a9500d3577f" providerId="AD"/>
  <person displayName="Rita de Cássia Fernandes" id="{71D9A6D7-20FD-4BAF-971A-7D9EC2EA3017}" userId="S::rita.fernandes@lorenpet.com.br::142d096d-c08f-4305-b2b7-7a9500d3577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1" dT="2025-12-29T17:14:45.33" personId="{B532C52F-AC39-4F1A-A392-09B28DC1A6FD}" id="{52D987D8-B218-49A4-83F9-9DB9119F1F7A}">
    <text>Indorama concedeu desconto de USD 25/ton até o limite de 30.000 ton/ano.</text>
  </threadedComment>
  <threadedComment ref="V11" dT="2025-12-29T17:15:16.74" personId="{B532C52F-AC39-4F1A-A392-09B28DC1A6FD}" id="{008FA8BF-A168-40A5-93CA-798980AB9825}">
    <text>Indorama concedeu desconto de USD 25/ton até o limite de 30.000 ton/ano.</text>
  </threadedComment>
  <threadedComment ref="W11" dT="2025-12-29T17:15:40.36" personId="{B532C52F-AC39-4F1A-A392-09B28DC1A6FD}" id="{B2491288-909F-433B-815D-52D81EFA7D8B}">
    <text>Indorama concedeu desconto de USD 25/ton até o limite de 30.000 ton/ano.</text>
  </threadedComment>
  <threadedComment ref="U23" dT="2022-08-03T18:50:08.10" personId="{71D9A6D7-20FD-4BAF-971A-7D9EC2EA3017}" id="{948AD458-3810-430F-AB41-5A2036D45DAF}">
    <text>https://www.bcb.gov.br/controleinflacao/historicotaxasjuros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11" dT="2025-12-29T17:14:45.33" personId="{B532C52F-AC39-4F1A-A392-09B28DC1A6FD}" id="{9B3F588B-71DD-4C17-9EDC-C28AD158A319}">
    <text>Indorama concedeu desconto de USD 25/ton até o limite de 30.000 ton/ano.</text>
  </threadedComment>
  <threadedComment ref="W11" dT="2025-12-29T17:15:16.74" personId="{B532C52F-AC39-4F1A-A392-09B28DC1A6FD}" id="{5368733A-F167-4611-9D58-494E77DAC0FB}">
    <text>Indorama concedeu desconto de USD 25/ton até o limite de 30.000 ton/ano.</text>
  </threadedComment>
  <threadedComment ref="X11" dT="2025-12-29T17:15:40.36" personId="{B532C52F-AC39-4F1A-A392-09B28DC1A6FD}" id="{0E362C2D-B7ED-45B9-8718-DA24CA728EC2}">
    <text>Indorama concedeu desconto de USD 25/ton até o limite de 30.000 ton/ano.</text>
  </threadedComment>
  <threadedComment ref="V23" dT="2022-08-03T18:50:08.10" personId="{71D9A6D7-20FD-4BAF-971A-7D9EC2EA3017}" id="{22B6E965-FDAE-4FE8-A78E-7C8936BF7E4B}">
    <text>https://www.bcb.gov.br/controleinflacao/historicotaxasjuros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V11" dT="2025-12-29T17:14:45.33" personId="{B532C52F-AC39-4F1A-A392-09B28DC1A6FD}" id="{5E4DCE32-060C-48D9-85C0-2052E26964F5}">
    <text>Indorama concedeu desconto de USD 25/ton até o limite de 30.000 ton/ano.</text>
  </threadedComment>
  <threadedComment ref="W11" dT="2025-12-29T17:15:16.74" personId="{B532C52F-AC39-4F1A-A392-09B28DC1A6FD}" id="{8EEBA2E8-F019-4824-A534-2914B1502BB3}">
    <text>Indorama concedeu desconto de USD 25/ton até o limite de 30.000 ton/ano.</text>
  </threadedComment>
  <threadedComment ref="X11" dT="2025-12-29T17:15:40.36" personId="{B532C52F-AC39-4F1A-A392-09B28DC1A6FD}" id="{738F07E4-4CD7-49E0-B630-CBC5DB06E34B}">
    <text>Indorama concedeu desconto de USD 25/ton até o limite de 30.000 ton/ano.</text>
  </threadedComment>
  <threadedComment ref="V23" dT="2022-08-03T18:50:08.10" personId="{71D9A6D7-20FD-4BAF-971A-7D9EC2EA3017}" id="{83C56CD6-466D-46F0-AF8B-28E077445E54}">
    <text>https://www.bcb.gov.br/controleinflacao/historicotaxasjuros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V11" dT="2025-12-29T17:14:45.33" personId="{B532C52F-AC39-4F1A-A392-09B28DC1A6FD}" id="{54C4BBDD-96F0-492E-A670-A4ACDC5ECA96}">
    <text>Indorama concedeu desconto de USD 25/ton até o limite de 30.000 ton/ano.</text>
  </threadedComment>
  <threadedComment ref="W11" dT="2025-12-29T17:15:16.74" personId="{B532C52F-AC39-4F1A-A392-09B28DC1A6FD}" id="{61F392CB-0738-44AD-B710-B9B6D7056ECA}">
    <text>Indorama concedeu desconto de USD 25/ton até o limite de 30.000 ton/ano.</text>
  </threadedComment>
  <threadedComment ref="X11" dT="2025-12-29T17:15:40.36" personId="{B532C52F-AC39-4F1A-A392-09B28DC1A6FD}" id="{A732C9BC-9442-4A19-8177-99EF9CEB709E}">
    <text>Indorama concedeu desconto de USD 25/ton até o limite de 30.000 ton/ano.</text>
  </threadedComment>
  <threadedComment ref="V23" dT="2022-08-03T18:50:08.10" personId="{71D9A6D7-20FD-4BAF-971A-7D9EC2EA3017}" id="{B04E904F-7348-4BB7-9F69-52A53C58151A}">
    <text>https://www.bcb.gov.br/controleinflacao/historicotaxasjuros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11" dT="2025-12-29T17:15:50.24" personId="{B532C52F-AC39-4F1A-A392-09B28DC1A6FD}" id="{847E43BF-8221-42E9-BDD7-3455D05F5321}">
    <text>Indorama concedeu desconto de USD 25/ton até o limite de 30.000 ton/ano.</text>
  </threadedComment>
  <threadedComment ref="K11" dT="2025-12-29T17:15:50.24" personId="{B532C52F-AC39-4F1A-A392-09B28DC1A6FD}" id="{CB329BED-DB75-4352-B7A2-EA9C1E0D2B7B}">
    <text>Indorama concedeu desconto de USD 25/ton até o limite de 30.000 ton/ano.</text>
  </threadedComment>
  <threadedComment ref="L11" dT="2025-12-29T17:15:50.24" personId="{B532C52F-AC39-4F1A-A392-09B28DC1A6FD}" id="{2B8FABA0-1C9D-4D27-BD9D-B2257BFFF0D4}">
    <text>Indorama concedeu desconto de USD 25/ton até o limite de 30.000 ton/ano.</text>
  </threadedComment>
  <threadedComment ref="M11" dT="2025-12-29T17:15:50.24" personId="{B532C52F-AC39-4F1A-A392-09B28DC1A6FD}" id="{083F5916-7D12-42F4-888B-595B4A7DF374}">
    <text>Indorama concedeu desconto de USD 25/ton até o limite de 30.000 ton/ano.</text>
  </threadedComment>
  <threadedComment ref="N11" dT="2025-12-29T17:15:50.24" personId="{B532C52F-AC39-4F1A-A392-09B28DC1A6FD}" id="{9ACE04F4-93E7-47AB-AAEE-7C4E90916FEB}">
    <text>Indorama concedeu desconto de USD 25/ton até o limite de 30.000 ton/ano.</text>
  </threadedComment>
  <threadedComment ref="O11" dT="2025-12-29T17:15:50.24" personId="{B532C52F-AC39-4F1A-A392-09B28DC1A6FD}" id="{1ABD2941-FA16-4CF3-AC44-52DDBCB62BAD}">
    <text>Indorama concedeu desconto de USD 25/ton até o limite de 30.000 ton/ano.</text>
  </threadedComment>
  <threadedComment ref="P11" dT="2025-12-29T17:15:50.24" personId="{B532C52F-AC39-4F1A-A392-09B28DC1A6FD}" id="{E3B878E7-7B6F-4AF3-822C-89DD28A87D84}">
    <text>Indorama concedeu desconto de USD 25/ton até o limite de 30.000 ton/ano.</text>
  </threadedComment>
  <threadedComment ref="Q11" dT="2025-12-29T17:15:50.24" personId="{B532C52F-AC39-4F1A-A392-09B28DC1A6FD}" id="{4682428C-EA3F-450C-8DD7-E0F93D7020BD}">
    <text>Indorama concedeu desconto de USD 25/ton até o limite de 30.000 ton/ano.</text>
  </threadedComment>
  <threadedComment ref="R11" dT="2025-12-29T17:15:50.24" personId="{B532C52F-AC39-4F1A-A392-09B28DC1A6FD}" id="{98430D2D-B5FA-49AD-8968-FCE8D2ECB3DB}">
    <text>Indorama concedeu desconto de USD 25/ton até o limite de 30.000 ton/ano.</text>
  </threadedComment>
  <threadedComment ref="S11" dT="2025-12-29T17:15:50.24" personId="{B532C52F-AC39-4F1A-A392-09B28DC1A6FD}" id="{F0E8C8E8-F3D4-4B74-8DAD-815CD32EFB9F}">
    <text>Indorama concedeu desconto de USD 25/ton até o limite de 30.000 ton/ano.</text>
  </threadedComment>
  <threadedComment ref="T11" dT="2025-12-29T17:15:50.24" personId="{B532C52F-AC39-4F1A-A392-09B28DC1A6FD}" id="{59DE89BA-FEB1-411A-A533-3777112487EB}">
    <text>Indorama concedeu desconto de USD 25/ton até o limite de 30.000 ton/ano.</text>
  </threadedComment>
  <threadedComment ref="U11" dT="2025-12-29T17:15:50.24" personId="{B532C52F-AC39-4F1A-A392-09B28DC1A6FD}" id="{E8388D23-3205-439C-9487-5CE11708765C}">
    <text>Indorama concedeu desconto de USD 25/ton até o limite de 30.000 ton/ano.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8438-E66E-4416-AF53-6E0089AB3192}">
  <dimension ref="A1:AF95"/>
  <sheetViews>
    <sheetView topLeftCell="K1" workbookViewId="0">
      <selection activeCell="U18" sqref="U18"/>
    </sheetView>
  </sheetViews>
  <sheetFormatPr defaultRowHeight="12.5" x14ac:dyDescent="0.25"/>
  <cols>
    <col min="1" max="1" width="37.54296875" bestFit="1" customWidth="1"/>
    <col min="2" max="2" width="10.81640625" style="134" customWidth="1"/>
    <col min="3" max="3" width="12.1796875" style="134" customWidth="1"/>
    <col min="4" max="11" width="10.81640625" style="134" customWidth="1"/>
    <col min="12" max="12" width="10.81640625" style="134" bestFit="1" customWidth="1"/>
    <col min="13" max="18" width="10.81640625" style="134" customWidth="1"/>
    <col min="19" max="19" width="4.7265625" customWidth="1"/>
    <col min="20" max="20" width="30.1796875" bestFit="1" customWidth="1"/>
    <col min="21" max="23" width="12.54296875" bestFit="1" customWidth="1"/>
    <col min="24" max="24" width="3.7265625" customWidth="1"/>
    <col min="25" max="25" width="18" bestFit="1" customWidth="1"/>
    <col min="26" max="26" width="27.1796875" bestFit="1" customWidth="1"/>
    <col min="27" max="27" width="11.81640625" bestFit="1" customWidth="1"/>
  </cols>
  <sheetData>
    <row r="1" spans="1:32" ht="13.5" thickBot="1" x14ac:dyDescent="0.35">
      <c r="A1" s="47" t="s">
        <v>40</v>
      </c>
      <c r="B1" s="48" t="s">
        <v>41</v>
      </c>
      <c r="C1" s="49" t="s">
        <v>41</v>
      </c>
      <c r="D1" s="49" t="s">
        <v>41</v>
      </c>
      <c r="E1" s="49" t="s">
        <v>41</v>
      </c>
      <c r="F1" s="49" t="s">
        <v>41</v>
      </c>
      <c r="G1" s="49" t="s">
        <v>41</v>
      </c>
      <c r="H1" s="49" t="s">
        <v>41</v>
      </c>
      <c r="I1" s="50" t="s">
        <v>41</v>
      </c>
      <c r="J1" s="51" t="s">
        <v>42</v>
      </c>
      <c r="K1" s="52" t="s">
        <v>42</v>
      </c>
      <c r="L1" s="52" t="s">
        <v>42</v>
      </c>
      <c r="M1" s="52" t="s">
        <v>42</v>
      </c>
      <c r="N1" s="53" t="s">
        <v>42</v>
      </c>
      <c r="O1" s="54" t="s">
        <v>43</v>
      </c>
      <c r="P1" s="55" t="s">
        <v>43</v>
      </c>
      <c r="Q1" s="56" t="s">
        <v>43</v>
      </c>
      <c r="R1" s="57" t="s">
        <v>43</v>
      </c>
      <c r="T1" s="58" t="s">
        <v>90</v>
      </c>
      <c r="U1" s="59"/>
      <c r="V1" s="60" t="s">
        <v>44</v>
      </c>
      <c r="W1" s="61">
        <v>5.4531000000000001</v>
      </c>
    </row>
    <row r="2" spans="1:32" ht="13.15" customHeight="1" x14ac:dyDescent="0.3">
      <c r="A2" s="62" t="s">
        <v>45</v>
      </c>
      <c r="B2" s="63">
        <v>13.7</v>
      </c>
      <c r="C2" s="64">
        <v>17.8</v>
      </c>
      <c r="D2" s="64">
        <v>20.079999999999998</v>
      </c>
      <c r="E2" s="64">
        <v>38.89</v>
      </c>
      <c r="F2" s="64">
        <v>40</v>
      </c>
      <c r="G2" s="64">
        <v>42.65</v>
      </c>
      <c r="H2" s="64">
        <v>48</v>
      </c>
      <c r="I2" s="65">
        <v>50</v>
      </c>
      <c r="J2" s="63">
        <v>13.6</v>
      </c>
      <c r="K2" s="64">
        <v>13.7</v>
      </c>
      <c r="L2" s="64">
        <v>28.7</v>
      </c>
      <c r="M2" s="64">
        <v>40</v>
      </c>
      <c r="N2" s="17">
        <v>48</v>
      </c>
      <c r="O2" s="63">
        <v>13.7</v>
      </c>
      <c r="P2" s="18">
        <v>17.8</v>
      </c>
      <c r="Q2" s="64">
        <v>38</v>
      </c>
      <c r="R2" s="65">
        <v>40</v>
      </c>
      <c r="T2" s="66" t="s">
        <v>46</v>
      </c>
      <c r="U2" s="67" t="s">
        <v>47</v>
      </c>
      <c r="V2" s="68" t="s">
        <v>48</v>
      </c>
      <c r="W2" s="69" t="s">
        <v>49</v>
      </c>
      <c r="Y2" s="198" t="s">
        <v>50</v>
      </c>
      <c r="Z2" s="198"/>
      <c r="AA2" s="198"/>
      <c r="AB2" s="198"/>
      <c r="AC2" s="198"/>
      <c r="AD2" s="198"/>
      <c r="AE2" s="198"/>
      <c r="AF2" s="198"/>
    </row>
    <row r="3" spans="1:32" x14ac:dyDescent="0.25">
      <c r="A3" s="70" t="s">
        <v>46</v>
      </c>
      <c r="B3" s="71">
        <f t="shared" ref="B3:R3" si="0">1-B4</f>
        <v>1</v>
      </c>
      <c r="C3" s="72">
        <f t="shared" si="0"/>
        <v>1</v>
      </c>
      <c r="D3" s="72">
        <f t="shared" si="0"/>
        <v>1</v>
      </c>
      <c r="E3" s="72">
        <f t="shared" si="0"/>
        <v>1</v>
      </c>
      <c r="F3" s="72">
        <f t="shared" si="0"/>
        <v>1</v>
      </c>
      <c r="G3" s="72">
        <f t="shared" si="0"/>
        <v>1</v>
      </c>
      <c r="H3" s="72">
        <f t="shared" si="0"/>
        <v>1</v>
      </c>
      <c r="I3" s="73">
        <f t="shared" si="0"/>
        <v>1</v>
      </c>
      <c r="J3" s="71">
        <f t="shared" si="0"/>
        <v>1</v>
      </c>
      <c r="K3" s="72">
        <f t="shared" si="0"/>
        <v>1</v>
      </c>
      <c r="L3" s="72">
        <f t="shared" si="0"/>
        <v>1</v>
      </c>
      <c r="M3" s="72">
        <f t="shared" si="0"/>
        <v>1</v>
      </c>
      <c r="N3" s="74">
        <f t="shared" si="0"/>
        <v>1</v>
      </c>
      <c r="O3" s="71">
        <f t="shared" si="0"/>
        <v>1</v>
      </c>
      <c r="P3" s="75">
        <f t="shared" si="0"/>
        <v>1</v>
      </c>
      <c r="Q3" s="72">
        <f t="shared" si="0"/>
        <v>1</v>
      </c>
      <c r="R3" s="73">
        <f t="shared" si="0"/>
        <v>1</v>
      </c>
      <c r="T3" s="76" t="s">
        <v>1</v>
      </c>
      <c r="U3" s="77">
        <v>805</v>
      </c>
      <c r="V3" s="77">
        <f>U3</f>
        <v>805</v>
      </c>
      <c r="W3" s="78">
        <f>U3</f>
        <v>805</v>
      </c>
      <c r="Y3" s="199" t="s">
        <v>51</v>
      </c>
      <c r="Z3" s="199"/>
      <c r="AA3" s="199"/>
      <c r="AB3" s="199"/>
      <c r="AC3" s="199"/>
      <c r="AD3" s="199"/>
      <c r="AE3" s="199"/>
      <c r="AF3" s="199"/>
    </row>
    <row r="4" spans="1:32" x14ac:dyDescent="0.25">
      <c r="A4" s="80" t="s">
        <v>52</v>
      </c>
      <c r="B4" s="81">
        <v>0</v>
      </c>
      <c r="C4" s="82">
        <v>0</v>
      </c>
      <c r="D4" s="82">
        <v>0</v>
      </c>
      <c r="E4" s="82">
        <v>0</v>
      </c>
      <c r="F4" s="82">
        <v>0</v>
      </c>
      <c r="G4" s="82">
        <v>0</v>
      </c>
      <c r="H4" s="82">
        <v>0</v>
      </c>
      <c r="I4" s="83">
        <v>0</v>
      </c>
      <c r="J4" s="81">
        <v>0</v>
      </c>
      <c r="K4" s="82">
        <v>0</v>
      </c>
      <c r="L4" s="82">
        <v>0</v>
      </c>
      <c r="M4" s="82">
        <v>0</v>
      </c>
      <c r="N4" s="84">
        <v>0</v>
      </c>
      <c r="O4" s="81">
        <v>0</v>
      </c>
      <c r="P4" s="85">
        <v>0</v>
      </c>
      <c r="Q4" s="82">
        <v>0</v>
      </c>
      <c r="R4" s="83">
        <v>0</v>
      </c>
      <c r="T4" s="76" t="s">
        <v>3</v>
      </c>
      <c r="U4" s="77">
        <v>892.38</v>
      </c>
      <c r="V4" s="77">
        <f>U4</f>
        <v>892.38</v>
      </c>
      <c r="W4" s="78">
        <f>U4</f>
        <v>892.38</v>
      </c>
      <c r="Y4" s="199" t="s">
        <v>53</v>
      </c>
      <c r="Z4" s="199"/>
      <c r="AA4" s="199"/>
      <c r="AB4" s="199"/>
      <c r="AC4" s="199"/>
      <c r="AD4" s="199"/>
      <c r="AE4" s="199"/>
      <c r="AF4" s="199"/>
    </row>
    <row r="5" spans="1:32" x14ac:dyDescent="0.25">
      <c r="A5" s="86" t="s">
        <v>32</v>
      </c>
      <c r="B5" s="87">
        <v>0.01</v>
      </c>
      <c r="C5" s="88">
        <v>0.01</v>
      </c>
      <c r="D5" s="88">
        <v>0.01</v>
      </c>
      <c r="E5" s="88">
        <v>0.01</v>
      </c>
      <c r="F5" s="88">
        <v>0.01</v>
      </c>
      <c r="G5" s="88">
        <v>0.01</v>
      </c>
      <c r="H5" s="88">
        <v>0.01</v>
      </c>
      <c r="I5" s="89">
        <v>0.01</v>
      </c>
      <c r="J5" s="87">
        <v>0.01</v>
      </c>
      <c r="K5" s="88">
        <v>0.01</v>
      </c>
      <c r="L5" s="88">
        <v>0.01</v>
      </c>
      <c r="M5" s="88">
        <v>0.01</v>
      </c>
      <c r="N5" s="90">
        <v>0.01</v>
      </c>
      <c r="O5" s="87">
        <v>0.01</v>
      </c>
      <c r="P5" s="91">
        <v>0.01</v>
      </c>
      <c r="Q5" s="88">
        <v>0.01</v>
      </c>
      <c r="R5" s="89">
        <v>0.01</v>
      </c>
      <c r="T5" s="76" t="s">
        <v>5</v>
      </c>
      <c r="U5" s="77">
        <f>IF(U3&gt;U4,U4,IF((U4-U3)&gt;75,(U4-75),U3))</f>
        <v>817.38</v>
      </c>
      <c r="V5" s="77">
        <f>IF((V4-V3)&gt;75,(V4-75),V3)</f>
        <v>817.38</v>
      </c>
      <c r="W5" s="78">
        <f>IF((W4-W3)&gt;75,(W4-75),W3)</f>
        <v>817.38</v>
      </c>
    </row>
    <row r="6" spans="1:32" ht="13" x14ac:dyDescent="0.3">
      <c r="A6" s="92" t="s">
        <v>54</v>
      </c>
      <c r="B6" s="93">
        <f t="shared" ref="B6:I6" si="1">(($U$13*B3)+($U$19*B4))*(1+B5)</f>
        <v>6560.6742402990294</v>
      </c>
      <c r="C6" s="94">
        <f t="shared" si="1"/>
        <v>6560.6742402990294</v>
      </c>
      <c r="D6" s="94">
        <f t="shared" si="1"/>
        <v>6560.6742402990294</v>
      </c>
      <c r="E6" s="94">
        <f t="shared" si="1"/>
        <v>6560.6742402990294</v>
      </c>
      <c r="F6" s="94">
        <f t="shared" si="1"/>
        <v>6560.6742402990294</v>
      </c>
      <c r="G6" s="94">
        <f t="shared" si="1"/>
        <v>6560.6742402990294</v>
      </c>
      <c r="H6" s="94">
        <f t="shared" si="1"/>
        <v>6560.6742402990294</v>
      </c>
      <c r="I6" s="95">
        <f t="shared" si="1"/>
        <v>6560.6742402990294</v>
      </c>
      <c r="J6" s="93">
        <f>(($V$13*J3)+($V$19*J4))*(1+J5)</f>
        <v>6475.5897019328886</v>
      </c>
      <c r="K6" s="94">
        <f>(($V$13*K3)+($V$19*K4))*(1+K5)</f>
        <v>6475.5897019328886</v>
      </c>
      <c r="L6" s="94">
        <f>(($V$13*L3)+($V$19*L4))*(1+L5)</f>
        <v>6475.5897019328886</v>
      </c>
      <c r="M6" s="94">
        <f>(($V$13*M3)+($V$19*M4))*(1+M5)</f>
        <v>6475.5897019328886</v>
      </c>
      <c r="N6" s="96">
        <f>(($V$13*N3)+($V$19*N4))*(1+N5)</f>
        <v>6475.5897019328886</v>
      </c>
      <c r="O6" s="93">
        <f>(($W$13*O3)+($W$19*O4))*(1+O5)</f>
        <v>6645.758778665172</v>
      </c>
      <c r="P6" s="97">
        <f>(($W$13*P3)+($W$19*P4))*(1+P5)</f>
        <v>6645.758778665172</v>
      </c>
      <c r="Q6" s="94">
        <f>(($W$13*Q3)+($W$19*Q4))*(1+Q5)</f>
        <v>6645.758778665172</v>
      </c>
      <c r="R6" s="95">
        <f>(($W$13*R3)+($W$19*R4))*(1+R5)</f>
        <v>6645.758778665172</v>
      </c>
      <c r="T6" s="76" t="s">
        <v>55</v>
      </c>
      <c r="U6" s="177">
        <v>2.5000000000000001E-2</v>
      </c>
      <c r="V6" s="177">
        <v>0.04</v>
      </c>
      <c r="W6" s="98">
        <v>0.01</v>
      </c>
      <c r="Y6" s="64" t="s">
        <v>56</v>
      </c>
      <c r="Z6" s="64" t="s">
        <v>57</v>
      </c>
      <c r="AA6" s="64" t="s">
        <v>58</v>
      </c>
    </row>
    <row r="7" spans="1:32" x14ac:dyDescent="0.25">
      <c r="A7" s="92" t="s">
        <v>59</v>
      </c>
      <c r="B7" s="99">
        <f>B8/$W$1</f>
        <v>16.482594687809996</v>
      </c>
      <c r="C7" s="5">
        <f t="shared" ref="C7:R7" si="2">C8/$W$1</f>
        <v>21.415342003139997</v>
      </c>
      <c r="D7" s="5">
        <f t="shared" si="2"/>
        <v>24.158430754103993</v>
      </c>
      <c r="E7" s="5">
        <f t="shared" si="2"/>
        <v>46.788912949557002</v>
      </c>
      <c r="F7" s="5">
        <f t="shared" si="2"/>
        <v>48.124364051999997</v>
      </c>
      <c r="G7" s="5">
        <f t="shared" si="2"/>
        <v>51.312603170445001</v>
      </c>
      <c r="H7" s="5">
        <f t="shared" si="2"/>
        <v>57.749236862399989</v>
      </c>
      <c r="I7" s="100">
        <f t="shared" si="2"/>
        <v>60.155455064999998</v>
      </c>
      <c r="J7" s="99">
        <f t="shared" si="2"/>
        <v>16.150083428927999</v>
      </c>
      <c r="K7" s="5">
        <f t="shared" si="2"/>
        <v>16.268834042376</v>
      </c>
      <c r="L7" s="5">
        <f t="shared" si="2"/>
        <v>34.081426059576003</v>
      </c>
      <c r="M7" s="5">
        <f t="shared" si="2"/>
        <v>47.500245379200003</v>
      </c>
      <c r="N7" s="101">
        <f t="shared" si="2"/>
        <v>57.000294455040006</v>
      </c>
      <c r="O7" s="99">
        <f t="shared" si="2"/>
        <v>16.696355333243996</v>
      </c>
      <c r="P7" s="102">
        <f t="shared" si="2"/>
        <v>21.693074812535997</v>
      </c>
      <c r="Q7" s="5">
        <f t="shared" si="2"/>
        <v>46.311058588559995</v>
      </c>
      <c r="R7" s="100">
        <f t="shared" si="2"/>
        <v>48.748482724799999</v>
      </c>
      <c r="T7" s="76" t="s">
        <v>60</v>
      </c>
      <c r="U7" s="77">
        <v>100.83</v>
      </c>
      <c r="V7" s="77">
        <f>U7</f>
        <v>100.83</v>
      </c>
      <c r="W7" s="78">
        <f>U7</f>
        <v>100.83</v>
      </c>
      <c r="Y7" s="103" t="s">
        <v>61</v>
      </c>
      <c r="Z7" s="79" t="s">
        <v>62</v>
      </c>
      <c r="AA7" s="88">
        <v>0</v>
      </c>
    </row>
    <row r="8" spans="1:32" x14ac:dyDescent="0.25">
      <c r="A8" s="86" t="s">
        <v>63</v>
      </c>
      <c r="B8" s="93">
        <f t="shared" ref="B8:R8" si="3">B6*(B2/1000)</f>
        <v>89.881237092096697</v>
      </c>
      <c r="C8" s="94">
        <f t="shared" si="3"/>
        <v>116.78000147732273</v>
      </c>
      <c r="D8" s="94">
        <f t="shared" si="3"/>
        <v>131.73833874520449</v>
      </c>
      <c r="E8" s="94">
        <f t="shared" si="3"/>
        <v>255.14462120522927</v>
      </c>
      <c r="F8" s="94">
        <f t="shared" si="3"/>
        <v>262.42696961196117</v>
      </c>
      <c r="G8" s="94">
        <f t="shared" si="3"/>
        <v>279.81275634875362</v>
      </c>
      <c r="H8" s="94">
        <f t="shared" si="3"/>
        <v>314.9123635343534</v>
      </c>
      <c r="I8" s="95">
        <f t="shared" si="3"/>
        <v>328.0337120149515</v>
      </c>
      <c r="J8" s="93">
        <f t="shared" si="3"/>
        <v>88.068019946287279</v>
      </c>
      <c r="K8" s="94">
        <f t="shared" si="3"/>
        <v>88.715578916480567</v>
      </c>
      <c r="L8" s="94">
        <f t="shared" si="3"/>
        <v>185.84942444547391</v>
      </c>
      <c r="M8" s="94">
        <f t="shared" si="3"/>
        <v>259.02358807731554</v>
      </c>
      <c r="N8" s="96">
        <f t="shared" si="3"/>
        <v>310.82830569277866</v>
      </c>
      <c r="O8" s="93">
        <f t="shared" si="3"/>
        <v>91.046895267712841</v>
      </c>
      <c r="P8" s="97">
        <f t="shared" si="3"/>
        <v>118.29450626024006</v>
      </c>
      <c r="Q8" s="94">
        <f t="shared" si="3"/>
        <v>252.53883358927652</v>
      </c>
      <c r="R8" s="95">
        <f t="shared" si="3"/>
        <v>265.83035114660686</v>
      </c>
      <c r="T8" s="76" t="s">
        <v>64</v>
      </c>
      <c r="U8" s="104">
        <v>0.06</v>
      </c>
      <c r="V8" s="104">
        <v>0.06</v>
      </c>
      <c r="W8" s="105">
        <v>0.06</v>
      </c>
      <c r="Y8" s="103" t="s">
        <v>61</v>
      </c>
      <c r="Z8" s="79" t="s">
        <v>65</v>
      </c>
      <c r="AA8" s="88">
        <v>0.05</v>
      </c>
    </row>
    <row r="9" spans="1:32" x14ac:dyDescent="0.25">
      <c r="A9" s="86" t="s">
        <v>66</v>
      </c>
      <c r="B9" s="93">
        <v>24.0242662</v>
      </c>
      <c r="C9" s="94">
        <v>29.1358122</v>
      </c>
      <c r="D9" s="94">
        <v>29.1358122</v>
      </c>
      <c r="E9" s="94">
        <v>47.956524571999999</v>
      </c>
      <c r="F9" s="94">
        <v>47.956524571999999</v>
      </c>
      <c r="G9" s="94">
        <v>47.956524571999999</v>
      </c>
      <c r="H9" s="94">
        <v>47.956524571999999</v>
      </c>
      <c r="I9" s="95">
        <v>47.956524571999999</v>
      </c>
      <c r="J9" s="93">
        <v>24.0242662</v>
      </c>
      <c r="K9" s="94">
        <v>24.0242662</v>
      </c>
      <c r="L9" s="94">
        <v>36.291976599999998</v>
      </c>
      <c r="M9" s="94">
        <v>47.956524571999999</v>
      </c>
      <c r="N9" s="96">
        <v>47.956524571999999</v>
      </c>
      <c r="O9" s="93">
        <v>24.0242662</v>
      </c>
      <c r="P9" s="97">
        <v>29.1358122</v>
      </c>
      <c r="Q9" s="94">
        <v>47.956524571999999</v>
      </c>
      <c r="R9" s="95">
        <v>47.956524571999999</v>
      </c>
      <c r="T9" s="76" t="s">
        <v>67</v>
      </c>
      <c r="U9" s="104">
        <v>0.2</v>
      </c>
      <c r="V9" s="104">
        <v>0.2</v>
      </c>
      <c r="W9" s="105">
        <v>0.2</v>
      </c>
      <c r="Y9" s="103" t="s">
        <v>61</v>
      </c>
      <c r="Z9" s="79" t="s">
        <v>68</v>
      </c>
      <c r="AA9" s="88">
        <v>0.1</v>
      </c>
    </row>
    <row r="10" spans="1:32" x14ac:dyDescent="0.25">
      <c r="A10" s="86" t="s">
        <v>69</v>
      </c>
      <c r="B10" s="106"/>
      <c r="C10" s="103"/>
      <c r="D10" s="103"/>
      <c r="E10" s="103"/>
      <c r="F10" s="103"/>
      <c r="G10" s="103"/>
      <c r="H10" s="103"/>
      <c r="I10" s="107"/>
      <c r="J10" s="106"/>
      <c r="K10" s="103"/>
      <c r="L10" s="103"/>
      <c r="M10" s="103"/>
      <c r="N10" s="108"/>
      <c r="O10" s="99"/>
      <c r="P10" s="102">
        <v>2.4300000000000002</v>
      </c>
      <c r="Q10" s="5"/>
      <c r="R10" s="100"/>
      <c r="T10" s="76" t="s">
        <v>13</v>
      </c>
      <c r="U10" s="77">
        <f>85</f>
        <v>85</v>
      </c>
      <c r="V10" s="77">
        <f>85</f>
        <v>85</v>
      </c>
      <c r="W10" s="78">
        <f>85</f>
        <v>85</v>
      </c>
      <c r="Y10" s="103" t="s">
        <v>61</v>
      </c>
      <c r="Z10" s="79" t="s">
        <v>70</v>
      </c>
      <c r="AA10" s="88">
        <v>0.15</v>
      </c>
    </row>
    <row r="11" spans="1:32" x14ac:dyDescent="0.25">
      <c r="A11" s="86" t="s">
        <v>71</v>
      </c>
      <c r="B11" s="109">
        <f>$U$26</f>
        <v>2.5000000000000022E-3</v>
      </c>
      <c r="C11" s="110">
        <f t="shared" ref="C11:R11" si="4">$U$26</f>
        <v>2.5000000000000022E-3</v>
      </c>
      <c r="D11" s="110">
        <f t="shared" si="4"/>
        <v>2.5000000000000022E-3</v>
      </c>
      <c r="E11" s="110">
        <f t="shared" si="4"/>
        <v>2.5000000000000022E-3</v>
      </c>
      <c r="F11" s="110">
        <f t="shared" si="4"/>
        <v>2.5000000000000022E-3</v>
      </c>
      <c r="G11" s="110">
        <f t="shared" si="4"/>
        <v>2.5000000000000022E-3</v>
      </c>
      <c r="H11" s="110">
        <f t="shared" si="4"/>
        <v>2.5000000000000022E-3</v>
      </c>
      <c r="I11" s="111">
        <f t="shared" si="4"/>
        <v>2.5000000000000022E-3</v>
      </c>
      <c r="J11" s="109">
        <f t="shared" si="4"/>
        <v>2.5000000000000022E-3</v>
      </c>
      <c r="K11" s="110">
        <f t="shared" si="4"/>
        <v>2.5000000000000022E-3</v>
      </c>
      <c r="L11" s="110">
        <f t="shared" si="4"/>
        <v>2.5000000000000022E-3</v>
      </c>
      <c r="M11" s="110">
        <f t="shared" si="4"/>
        <v>2.5000000000000022E-3</v>
      </c>
      <c r="N11" s="112">
        <f t="shared" si="4"/>
        <v>2.5000000000000022E-3</v>
      </c>
      <c r="O11" s="109">
        <f t="shared" si="4"/>
        <v>2.5000000000000022E-3</v>
      </c>
      <c r="P11" s="113">
        <f t="shared" si="4"/>
        <v>2.5000000000000022E-3</v>
      </c>
      <c r="Q11" s="110">
        <f t="shared" si="4"/>
        <v>2.5000000000000022E-3</v>
      </c>
      <c r="R11" s="111">
        <f t="shared" si="4"/>
        <v>2.5000000000000022E-3</v>
      </c>
      <c r="T11" s="76" t="s">
        <v>89</v>
      </c>
      <c r="U11" s="77">
        <f>-25</f>
        <v>-25</v>
      </c>
      <c r="V11" s="77">
        <v>-25</v>
      </c>
      <c r="W11" s="78">
        <v>-25</v>
      </c>
    </row>
    <row r="12" spans="1:32" ht="13" x14ac:dyDescent="0.3">
      <c r="A12" s="62" t="s">
        <v>73</v>
      </c>
      <c r="B12" s="116">
        <f>(B8+B9+(B10*$W$1))*(1+B11)</f>
        <v>114.19026705032694</v>
      </c>
      <c r="C12" s="117">
        <f t="shared" ref="C12:R12" si="5">(C8+C9+(C10*$W$1))*(1+C11)</f>
        <v>146.28060321151602</v>
      </c>
      <c r="D12" s="117">
        <f t="shared" si="5"/>
        <v>161.27633632256749</v>
      </c>
      <c r="E12" s="117">
        <f t="shared" si="5"/>
        <v>303.85889864167228</v>
      </c>
      <c r="F12" s="117">
        <f t="shared" si="5"/>
        <v>311.15945291942103</v>
      </c>
      <c r="G12" s="117">
        <f t="shared" si="5"/>
        <v>328.58870412305549</v>
      </c>
      <c r="H12" s="117">
        <f t="shared" si="5"/>
        <v>363.77606032661924</v>
      </c>
      <c r="I12" s="118">
        <f t="shared" si="5"/>
        <v>376.93021217841886</v>
      </c>
      <c r="J12" s="119">
        <f t="shared" si="5"/>
        <v>112.372516861653</v>
      </c>
      <c r="K12" s="120">
        <f t="shared" si="5"/>
        <v>113.02169472927176</v>
      </c>
      <c r="L12" s="120">
        <f t="shared" si="5"/>
        <v>222.6967545480876</v>
      </c>
      <c r="M12" s="120">
        <f t="shared" si="5"/>
        <v>307.74756293093878</v>
      </c>
      <c r="N12" s="121">
        <f t="shared" si="5"/>
        <v>359.68179234044055</v>
      </c>
      <c r="O12" s="122">
        <f t="shared" si="5"/>
        <v>115.35883937138212</v>
      </c>
      <c r="P12" s="123">
        <f t="shared" si="5"/>
        <v>161.08305483889063</v>
      </c>
      <c r="Q12" s="124">
        <f t="shared" si="5"/>
        <v>301.24659655667966</v>
      </c>
      <c r="R12" s="125">
        <f t="shared" si="5"/>
        <v>314.57134290790333</v>
      </c>
      <c r="T12" s="114" t="s">
        <v>72</v>
      </c>
      <c r="U12" s="178">
        <f>(((U5*(1-U6))+U7)*(1+(U8+U9)))+U10+U11</f>
        <v>1191.19713</v>
      </c>
      <c r="V12" s="178">
        <f t="shared" ref="V12:W12" si="6">(((V5*(1-V6))+V7)*(1+(V8+V9)))+V10+V11</f>
        <v>1175.748648</v>
      </c>
      <c r="W12" s="115">
        <f t="shared" si="6"/>
        <v>1206.645612</v>
      </c>
    </row>
    <row r="13" spans="1:32" ht="13.5" thickBot="1" x14ac:dyDescent="0.35">
      <c r="A13" s="86" t="s">
        <v>75</v>
      </c>
      <c r="B13" s="129">
        <v>9.2499999999999999E-2</v>
      </c>
      <c r="C13" s="130">
        <v>9.2499999999999999E-2</v>
      </c>
      <c r="D13" s="130">
        <v>9.2499999999999999E-2</v>
      </c>
      <c r="E13" s="130">
        <v>9.2499999999999999E-2</v>
      </c>
      <c r="F13" s="130">
        <v>9.2499999999999999E-2</v>
      </c>
      <c r="G13" s="130">
        <v>9.2499999999999999E-2</v>
      </c>
      <c r="H13" s="130">
        <v>9.2499999999999999E-2</v>
      </c>
      <c r="I13" s="131">
        <v>9.2499999999999999E-2</v>
      </c>
      <c r="J13" s="129">
        <v>9.2499999999999999E-2</v>
      </c>
      <c r="K13" s="130">
        <v>9.2499999999999999E-2</v>
      </c>
      <c r="L13" s="130">
        <v>9.2499999999999999E-2</v>
      </c>
      <c r="M13" s="130">
        <v>9.2499999999999999E-2</v>
      </c>
      <c r="N13" s="132">
        <v>9.2499999999999999E-2</v>
      </c>
      <c r="O13" s="129">
        <v>9.2499999999999999E-2</v>
      </c>
      <c r="P13" s="133">
        <v>9.2499999999999999E-2</v>
      </c>
      <c r="Q13" s="130">
        <v>9.2499999999999999E-2</v>
      </c>
      <c r="R13" s="131">
        <v>9.2499999999999999E-2</v>
      </c>
      <c r="T13" s="126" t="s">
        <v>74</v>
      </c>
      <c r="U13" s="127">
        <f>U12*$W$1</f>
        <v>6495.7170696029998</v>
      </c>
      <c r="V13" s="127">
        <f>V12*$W$1</f>
        <v>6411.4749524088002</v>
      </c>
      <c r="W13" s="128">
        <f>W12*$W$1</f>
        <v>6579.9591867972003</v>
      </c>
    </row>
    <row r="14" spans="1:32" ht="13" thickBot="1" x14ac:dyDescent="0.3">
      <c r="A14" s="86" t="s">
        <v>36</v>
      </c>
      <c r="B14" s="87">
        <v>0.22</v>
      </c>
      <c r="C14" s="88">
        <v>0.22</v>
      </c>
      <c r="D14" s="88">
        <v>0.22</v>
      </c>
      <c r="E14" s="88">
        <v>0.22</v>
      </c>
      <c r="F14" s="88">
        <v>0.22</v>
      </c>
      <c r="G14" s="88">
        <v>0.22</v>
      </c>
      <c r="H14" s="88">
        <v>0.22</v>
      </c>
      <c r="I14" s="89">
        <v>0.22</v>
      </c>
      <c r="J14" s="135">
        <v>0.20499999999999999</v>
      </c>
      <c r="K14" s="136">
        <v>0.20499999999999999</v>
      </c>
      <c r="L14" s="136">
        <v>0.20499999999999999</v>
      </c>
      <c r="M14" s="136">
        <v>0.20499999999999999</v>
      </c>
      <c r="N14" s="137">
        <v>0.20499999999999999</v>
      </c>
      <c r="O14" s="87">
        <v>0.18</v>
      </c>
      <c r="P14" s="91">
        <v>0.18</v>
      </c>
      <c r="Q14" s="88">
        <v>0.18</v>
      </c>
      <c r="R14" s="89">
        <v>0.18</v>
      </c>
      <c r="U14" s="134"/>
      <c r="V14" s="134"/>
      <c r="W14" s="134"/>
    </row>
    <row r="15" spans="1:32" ht="13" x14ac:dyDescent="0.3">
      <c r="A15" s="62" t="s">
        <v>76</v>
      </c>
      <c r="B15" s="139">
        <f>(B12/(1-B13))/(1-B14)</f>
        <v>161.31986586187318</v>
      </c>
      <c r="C15" s="140">
        <f t="shared" ref="C15:R15" si="7">(C12/(1-C13))/(1-C14)</f>
        <v>206.65480428270965</v>
      </c>
      <c r="D15" s="140">
        <f t="shared" si="7"/>
        <v>227.83970660813375</v>
      </c>
      <c r="E15" s="140">
        <f t="shared" si="7"/>
        <v>429.27018244214497</v>
      </c>
      <c r="F15" s="140">
        <f t="shared" si="7"/>
        <v>439.58388489004881</v>
      </c>
      <c r="G15" s="140">
        <f t="shared" si="7"/>
        <v>464.20668803144099</v>
      </c>
      <c r="H15" s="140">
        <f t="shared" si="7"/>
        <v>513.91687550557208</v>
      </c>
      <c r="I15" s="141">
        <f t="shared" si="7"/>
        <v>532.5001231594531</v>
      </c>
      <c r="J15" s="139">
        <f t="shared" si="7"/>
        <v>155.75655957399448</v>
      </c>
      <c r="K15" s="140">
        <f t="shared" si="7"/>
        <v>156.65636776585305</v>
      </c>
      <c r="L15" s="140">
        <f t="shared" si="7"/>
        <v>308.67405381165008</v>
      </c>
      <c r="M15" s="140">
        <f t="shared" si="7"/>
        <v>426.56071927638482</v>
      </c>
      <c r="N15" s="142">
        <f t="shared" si="7"/>
        <v>498.54537462507136</v>
      </c>
      <c r="O15" s="139">
        <f t="shared" si="7"/>
        <v>155.02094923252318</v>
      </c>
      <c r="P15" s="143">
        <f t="shared" si="7"/>
        <v>216.46584000388447</v>
      </c>
      <c r="Q15" s="140">
        <f t="shared" si="7"/>
        <v>404.81972257835071</v>
      </c>
      <c r="R15" s="141">
        <f t="shared" si="7"/>
        <v>422.72571780945151</v>
      </c>
      <c r="T15" s="138" t="s">
        <v>52</v>
      </c>
      <c r="U15" s="67" t="s">
        <v>47</v>
      </c>
      <c r="V15" s="68" t="s">
        <v>48</v>
      </c>
      <c r="W15" s="69" t="s">
        <v>49</v>
      </c>
    </row>
    <row r="16" spans="1:32" x14ac:dyDescent="0.25">
      <c r="A16" s="76"/>
      <c r="B16" s="146"/>
      <c r="I16" s="147"/>
      <c r="J16" s="146"/>
      <c r="O16" s="106"/>
      <c r="P16" s="148"/>
      <c r="Q16" s="103"/>
      <c r="R16" s="107"/>
      <c r="T16" s="76" t="s">
        <v>77</v>
      </c>
      <c r="U16" s="144">
        <f>4.1*1000</f>
        <v>4100</v>
      </c>
      <c r="V16" s="144">
        <f>4.5*1000</f>
        <v>4500</v>
      </c>
      <c r="W16" s="145">
        <f>U16</f>
        <v>4100</v>
      </c>
    </row>
    <row r="17" spans="1:25" x14ac:dyDescent="0.25">
      <c r="A17" s="86" t="s">
        <v>75</v>
      </c>
      <c r="B17" s="129">
        <v>9.2499999999999999E-2</v>
      </c>
      <c r="C17" s="130">
        <v>9.2499999999999999E-2</v>
      </c>
      <c r="D17" s="130">
        <v>9.2499999999999999E-2</v>
      </c>
      <c r="E17" s="130">
        <v>9.2499999999999999E-2</v>
      </c>
      <c r="F17" s="130">
        <v>9.2499999999999999E-2</v>
      </c>
      <c r="G17" s="130">
        <v>9.2499999999999999E-2</v>
      </c>
      <c r="H17" s="130">
        <v>9.2499999999999999E-2</v>
      </c>
      <c r="I17" s="131">
        <v>9.2499999999999999E-2</v>
      </c>
      <c r="J17" s="129">
        <v>9.2499999999999999E-2</v>
      </c>
      <c r="K17" s="130">
        <v>9.2499999999999999E-2</v>
      </c>
      <c r="L17" s="130">
        <v>9.2499999999999999E-2</v>
      </c>
      <c r="M17" s="130">
        <v>9.2499999999999999E-2</v>
      </c>
      <c r="N17" s="132">
        <v>9.2499999999999999E-2</v>
      </c>
      <c r="O17" s="129">
        <v>9.2499999999999999E-2</v>
      </c>
      <c r="P17" s="133">
        <v>9.2499999999999999E-2</v>
      </c>
      <c r="Q17" s="130">
        <v>9.2499999999999999E-2</v>
      </c>
      <c r="R17" s="131">
        <v>9.2499999999999999E-2</v>
      </c>
      <c r="T17" s="76" t="s">
        <v>78</v>
      </c>
      <c r="U17" s="104">
        <v>0.7</v>
      </c>
      <c r="V17" s="104">
        <v>0.7</v>
      </c>
      <c r="W17" s="105">
        <v>0.7</v>
      </c>
    </row>
    <row r="18" spans="1:25" x14ac:dyDescent="0.25">
      <c r="A18" s="86" t="s">
        <v>36</v>
      </c>
      <c r="B18" s="87">
        <v>0.12</v>
      </c>
      <c r="C18" s="88">
        <v>0.12</v>
      </c>
      <c r="D18" s="88">
        <v>0.12</v>
      </c>
      <c r="E18" s="88">
        <v>0.12</v>
      </c>
      <c r="F18" s="88">
        <v>0.12</v>
      </c>
      <c r="G18" s="88">
        <v>0.12</v>
      </c>
      <c r="H18" s="88">
        <v>0.12</v>
      </c>
      <c r="I18" s="89">
        <v>0.12</v>
      </c>
      <c r="J18" s="87">
        <v>0.12</v>
      </c>
      <c r="K18" s="88">
        <v>0.12</v>
      </c>
      <c r="L18" s="88">
        <v>0.12</v>
      </c>
      <c r="M18" s="88">
        <v>0.12</v>
      </c>
      <c r="N18" s="90">
        <v>0.12</v>
      </c>
      <c r="O18" s="87">
        <v>0.12</v>
      </c>
      <c r="P18" s="91">
        <v>0.12</v>
      </c>
      <c r="Q18" s="88">
        <v>0.12</v>
      </c>
      <c r="R18" s="89">
        <v>0.12</v>
      </c>
      <c r="T18" s="76" t="s">
        <v>79</v>
      </c>
      <c r="U18" s="144">
        <v>2476.738275748</v>
      </c>
      <c r="V18" s="144">
        <v>2476.738275748</v>
      </c>
      <c r="W18" s="145">
        <v>2476.738275748</v>
      </c>
    </row>
    <row r="19" spans="1:25" ht="13" x14ac:dyDescent="0.3">
      <c r="A19" s="62" t="s">
        <v>76</v>
      </c>
      <c r="B19" s="139">
        <f>(B12/(1-B17))/(1-B18)</f>
        <v>142.98806292302396</v>
      </c>
      <c r="C19" s="140">
        <f t="shared" ref="C19:R19" si="8">(C12/(1-C17))/(1-C18)</f>
        <v>183.1713037960381</v>
      </c>
      <c r="D19" s="140">
        <f t="shared" si="8"/>
        <v>201.94883085720949</v>
      </c>
      <c r="E19" s="140">
        <f t="shared" si="8"/>
        <v>380.48947989190123</v>
      </c>
      <c r="F19" s="140">
        <f t="shared" si="8"/>
        <v>389.63117069799779</v>
      </c>
      <c r="G19" s="140">
        <f t="shared" si="8"/>
        <v>411.4559280278682</v>
      </c>
      <c r="H19" s="140">
        <f t="shared" si="8"/>
        <v>455.51723056175712</v>
      </c>
      <c r="I19" s="141">
        <f t="shared" si="8"/>
        <v>471.98874552769706</v>
      </c>
      <c r="J19" s="139">
        <f t="shared" si="8"/>
        <v>140.71189188787002</v>
      </c>
      <c r="K19" s="140">
        <f t="shared" si="8"/>
        <v>141.52478678846953</v>
      </c>
      <c r="L19" s="140">
        <f t="shared" si="8"/>
        <v>278.8589463412066</v>
      </c>
      <c r="M19" s="140">
        <f t="shared" si="8"/>
        <v>385.35883161900671</v>
      </c>
      <c r="N19" s="142">
        <f t="shared" si="8"/>
        <v>450.39042366696788</v>
      </c>
      <c r="O19" s="139">
        <f t="shared" si="8"/>
        <v>144.45133905757842</v>
      </c>
      <c r="P19" s="143">
        <f t="shared" si="8"/>
        <v>201.70680545816509</v>
      </c>
      <c r="Q19" s="140">
        <f t="shared" si="8"/>
        <v>377.21837785709954</v>
      </c>
      <c r="R19" s="141">
        <f t="shared" si="8"/>
        <v>393.90350977698893</v>
      </c>
      <c r="T19" s="149" t="s">
        <v>80</v>
      </c>
      <c r="U19" s="150">
        <f>(U16/U17)+U18</f>
        <v>8333.8811328908578</v>
      </c>
      <c r="V19" s="150">
        <f t="shared" ref="V19:W19" si="9">(V16/V17)+V18</f>
        <v>8905.3097043194284</v>
      </c>
      <c r="W19" s="151">
        <f t="shared" si="9"/>
        <v>8333.8811328908578</v>
      </c>
      <c r="Y19" s="155"/>
    </row>
    <row r="20" spans="1:25" ht="13.5" thickBot="1" x14ac:dyDescent="0.35">
      <c r="A20" s="76"/>
      <c r="B20" s="146"/>
      <c r="I20" s="147"/>
      <c r="J20" s="156"/>
      <c r="K20" s="157"/>
      <c r="L20" s="157"/>
      <c r="M20" s="157"/>
      <c r="N20" s="157"/>
      <c r="O20" s="156"/>
      <c r="P20" s="157"/>
      <c r="Q20" s="157"/>
      <c r="R20" s="158"/>
      <c r="T20" s="152" t="s">
        <v>81</v>
      </c>
      <c r="U20" s="153">
        <f>U19/$W$1</f>
        <v>1528.2832027453849</v>
      </c>
      <c r="V20" s="153">
        <f>V19/$W$1</f>
        <v>1633.0728767709061</v>
      </c>
      <c r="W20" s="154">
        <f>W19/$W$1</f>
        <v>1528.2832027453849</v>
      </c>
      <c r="Y20" s="159"/>
    </row>
    <row r="21" spans="1:25" x14ac:dyDescent="0.25">
      <c r="A21" s="86" t="s">
        <v>75</v>
      </c>
      <c r="B21" s="129">
        <v>9.2499999999999999E-2</v>
      </c>
      <c r="C21" s="130">
        <v>9.2499999999999999E-2</v>
      </c>
      <c r="D21" s="130">
        <v>9.2499999999999999E-2</v>
      </c>
      <c r="E21" s="130">
        <v>9.2499999999999999E-2</v>
      </c>
      <c r="F21" s="130">
        <v>9.2499999999999999E-2</v>
      </c>
      <c r="G21" s="130">
        <v>9.2499999999999999E-2</v>
      </c>
      <c r="H21" s="130">
        <v>9.2499999999999999E-2</v>
      </c>
      <c r="I21" s="131">
        <v>9.2499999999999999E-2</v>
      </c>
      <c r="J21" s="76"/>
      <c r="K21"/>
      <c r="L21" s="103" t="s">
        <v>82</v>
      </c>
      <c r="M21"/>
      <c r="N21"/>
      <c r="O21" s="129">
        <v>9.2499999999999999E-2</v>
      </c>
      <c r="P21" s="133">
        <v>9.2499999999999999E-2</v>
      </c>
      <c r="Q21" s="130">
        <v>9.2499999999999999E-2</v>
      </c>
      <c r="R21" s="131">
        <v>9.2499999999999999E-2</v>
      </c>
      <c r="U21" s="196">
        <f>(U19-U13)/U13</f>
        <v>0.28298093091055787</v>
      </c>
      <c r="V21" s="196">
        <f t="shared" ref="V21:W21" si="10">(V19-V13)/V13</f>
        <v>0.38896428207579459</v>
      </c>
      <c r="W21" s="196">
        <f t="shared" si="10"/>
        <v>0.26655514058703156</v>
      </c>
    </row>
    <row r="22" spans="1:25" x14ac:dyDescent="0.25">
      <c r="A22" s="86" t="s">
        <v>36</v>
      </c>
      <c r="B22" s="87">
        <v>7.0000000000000007E-2</v>
      </c>
      <c r="C22" s="88">
        <v>7.0000000000000007E-2</v>
      </c>
      <c r="D22" s="88">
        <v>7.0000000000000007E-2</v>
      </c>
      <c r="E22" s="88">
        <v>7.0000000000000007E-2</v>
      </c>
      <c r="F22" s="88">
        <v>7.0000000000000007E-2</v>
      </c>
      <c r="G22" s="88">
        <v>7.0000000000000007E-2</v>
      </c>
      <c r="H22" s="88">
        <v>7.0000000000000007E-2</v>
      </c>
      <c r="I22" s="89">
        <v>7.0000000000000007E-2</v>
      </c>
      <c r="J22" s="76"/>
      <c r="K22"/>
      <c r="L22" s="94">
        <f>L12*(1+12%)</f>
        <v>249.42036509385812</v>
      </c>
      <c r="M22"/>
      <c r="N22"/>
      <c r="O22" s="87">
        <v>7.0000000000000007E-2</v>
      </c>
      <c r="P22" s="91">
        <v>7.0000000000000007E-2</v>
      </c>
      <c r="Q22" s="88">
        <v>7.0000000000000007E-2</v>
      </c>
      <c r="R22" s="89">
        <v>7.0000000000000007E-2</v>
      </c>
      <c r="T22" s="160" t="s">
        <v>83</v>
      </c>
      <c r="U22" s="103">
        <v>120</v>
      </c>
    </row>
    <row r="23" spans="1:25" ht="13.5" thickBot="1" x14ac:dyDescent="0.35">
      <c r="A23" s="163" t="s">
        <v>76</v>
      </c>
      <c r="B23" s="164">
        <f>(B12/(1-B21))/(1-B22)</f>
        <v>135.30053265834528</v>
      </c>
      <c r="C23" s="165">
        <f t="shared" ref="C23:I23" si="11">(C12/(1-C21))/(1-C22)</f>
        <v>173.32338423711133</v>
      </c>
      <c r="D23" s="165">
        <f t="shared" si="11"/>
        <v>191.09136683262832</v>
      </c>
      <c r="E23" s="165">
        <f t="shared" si="11"/>
        <v>360.03305624179904</v>
      </c>
      <c r="F23" s="165">
        <f t="shared" si="11"/>
        <v>368.68325829487969</v>
      </c>
      <c r="G23" s="165">
        <f t="shared" si="11"/>
        <v>389.33464157475703</v>
      </c>
      <c r="H23" s="165">
        <f t="shared" si="11"/>
        <v>431.02705687564116</v>
      </c>
      <c r="I23" s="166">
        <f t="shared" si="11"/>
        <v>446.61300652083168</v>
      </c>
      <c r="J23" s="167"/>
      <c r="K23" s="168"/>
      <c r="L23" s="168"/>
      <c r="M23" s="168"/>
      <c r="N23" s="168"/>
      <c r="O23" s="164">
        <f>(O12/(1-O21))/(1-O22)</f>
        <v>136.68513803297745</v>
      </c>
      <c r="P23" s="195">
        <f t="shared" ref="P23:R23" si="12">(P12/(1-P21))/(1-P22)</f>
        <v>190.86235355181213</v>
      </c>
      <c r="Q23" s="165">
        <f t="shared" si="12"/>
        <v>356.93781990779314</v>
      </c>
      <c r="R23" s="166">
        <f t="shared" si="12"/>
        <v>372.72590172446269</v>
      </c>
      <c r="T23" s="161" t="s">
        <v>84</v>
      </c>
      <c r="U23" s="162">
        <v>0.15</v>
      </c>
    </row>
    <row r="24" spans="1:25" ht="13" thickBot="1" x14ac:dyDescent="0.3">
      <c r="T24" s="161" t="s">
        <v>85</v>
      </c>
      <c r="U24" s="162">
        <v>0.14249999999999999</v>
      </c>
      <c r="V24" s="169"/>
      <c r="W24" s="170"/>
      <c r="Y24" s="77"/>
    </row>
    <row r="25" spans="1:25" ht="13" x14ac:dyDescent="0.3">
      <c r="A25" s="47" t="s">
        <v>40</v>
      </c>
      <c r="B25" s="48" t="s">
        <v>41</v>
      </c>
      <c r="C25" s="49" t="s">
        <v>41</v>
      </c>
      <c r="D25" s="49" t="s">
        <v>41</v>
      </c>
      <c r="E25" s="49" t="s">
        <v>41</v>
      </c>
      <c r="F25" s="49" t="s">
        <v>41</v>
      </c>
      <c r="G25" s="49" t="s">
        <v>41</v>
      </c>
      <c r="H25" s="49" t="s">
        <v>41</v>
      </c>
      <c r="I25" s="50" t="s">
        <v>41</v>
      </c>
      <c r="J25" s="51" t="s">
        <v>42</v>
      </c>
      <c r="K25" s="52" t="s">
        <v>42</v>
      </c>
      <c r="L25" s="52" t="s">
        <v>42</v>
      </c>
      <c r="M25" s="52" t="s">
        <v>42</v>
      </c>
      <c r="N25" s="172" t="s">
        <v>42</v>
      </c>
      <c r="O25" s="54" t="s">
        <v>43</v>
      </c>
      <c r="P25" s="55" t="s">
        <v>43</v>
      </c>
      <c r="Q25" s="56" t="s">
        <v>43</v>
      </c>
      <c r="R25" s="57" t="s">
        <v>43</v>
      </c>
      <c r="T25" s="161" t="s">
        <v>86</v>
      </c>
      <c r="U25" s="162">
        <f>IF((U23-U24)&lt;0,0,(U23-U24))</f>
        <v>7.5000000000000067E-3</v>
      </c>
      <c r="V25" s="77"/>
      <c r="W25" s="171"/>
    </row>
    <row r="26" spans="1:25" ht="13" x14ac:dyDescent="0.3">
      <c r="A26" s="62" t="s">
        <v>45</v>
      </c>
      <c r="B26" s="63">
        <v>13.7</v>
      </c>
      <c r="C26" s="64">
        <v>17.8</v>
      </c>
      <c r="D26" s="64">
        <v>20.079999999999998</v>
      </c>
      <c r="E26" s="64">
        <v>38.89</v>
      </c>
      <c r="F26" s="64">
        <v>40</v>
      </c>
      <c r="G26" s="64">
        <v>42.65</v>
      </c>
      <c r="H26" s="64">
        <v>48</v>
      </c>
      <c r="I26" s="65">
        <v>50</v>
      </c>
      <c r="J26" s="63">
        <v>13.6</v>
      </c>
      <c r="K26" s="64">
        <v>13.7</v>
      </c>
      <c r="L26" s="64">
        <v>28.7</v>
      </c>
      <c r="M26" s="64">
        <v>40</v>
      </c>
      <c r="N26" s="65">
        <v>48</v>
      </c>
      <c r="O26" s="63">
        <v>13.7</v>
      </c>
      <c r="P26" s="18">
        <v>17.8</v>
      </c>
      <c r="Q26" s="64">
        <v>38</v>
      </c>
      <c r="R26" s="65">
        <v>40</v>
      </c>
      <c r="T26" s="173" t="s">
        <v>87</v>
      </c>
      <c r="U26" s="174">
        <f>(U25/360)*U22</f>
        <v>2.5000000000000022E-3</v>
      </c>
      <c r="W26" s="170"/>
    </row>
    <row r="27" spans="1:25" x14ac:dyDescent="0.25">
      <c r="A27" s="70" t="s">
        <v>46</v>
      </c>
      <c r="B27" s="71">
        <f t="shared" ref="B27:R27" si="13">1-B28</f>
        <v>0</v>
      </c>
      <c r="C27" s="72">
        <f t="shared" si="13"/>
        <v>0</v>
      </c>
      <c r="D27" s="72">
        <f t="shared" si="13"/>
        <v>0</v>
      </c>
      <c r="E27" s="72">
        <f t="shared" si="13"/>
        <v>0</v>
      </c>
      <c r="F27" s="72">
        <f t="shared" si="13"/>
        <v>0</v>
      </c>
      <c r="G27" s="72">
        <f t="shared" si="13"/>
        <v>0</v>
      </c>
      <c r="H27" s="72">
        <f t="shared" si="13"/>
        <v>0</v>
      </c>
      <c r="I27" s="73">
        <f t="shared" si="13"/>
        <v>0</v>
      </c>
      <c r="J27" s="71">
        <f t="shared" si="13"/>
        <v>0</v>
      </c>
      <c r="K27" s="72">
        <f t="shared" si="13"/>
        <v>0</v>
      </c>
      <c r="L27" s="72">
        <f t="shared" si="13"/>
        <v>0</v>
      </c>
      <c r="M27" s="72">
        <f t="shared" si="13"/>
        <v>0</v>
      </c>
      <c r="N27" s="73">
        <f t="shared" si="13"/>
        <v>0</v>
      </c>
      <c r="O27" s="71">
        <f t="shared" si="13"/>
        <v>0</v>
      </c>
      <c r="P27" s="75">
        <f t="shared" si="13"/>
        <v>0</v>
      </c>
      <c r="Q27" s="72">
        <f t="shared" si="13"/>
        <v>0</v>
      </c>
      <c r="R27" s="73">
        <f t="shared" si="13"/>
        <v>0</v>
      </c>
      <c r="V27" s="169"/>
    </row>
    <row r="28" spans="1:25" x14ac:dyDescent="0.25">
      <c r="A28" s="80" t="s">
        <v>52</v>
      </c>
      <c r="B28" s="81">
        <v>1</v>
      </c>
      <c r="C28" s="82">
        <v>1</v>
      </c>
      <c r="D28" s="82">
        <v>1</v>
      </c>
      <c r="E28" s="82">
        <v>1</v>
      </c>
      <c r="F28" s="82">
        <v>1</v>
      </c>
      <c r="G28" s="82">
        <v>1</v>
      </c>
      <c r="H28" s="82">
        <v>1</v>
      </c>
      <c r="I28" s="83">
        <v>1</v>
      </c>
      <c r="J28" s="81">
        <v>1</v>
      </c>
      <c r="K28" s="82">
        <v>1</v>
      </c>
      <c r="L28" s="82">
        <v>1</v>
      </c>
      <c r="M28" s="82">
        <v>1</v>
      </c>
      <c r="N28" s="83">
        <v>1</v>
      </c>
      <c r="O28" s="81">
        <v>1</v>
      </c>
      <c r="P28" s="85">
        <v>1</v>
      </c>
      <c r="Q28" s="82">
        <v>1</v>
      </c>
      <c r="R28" s="83">
        <v>1</v>
      </c>
    </row>
    <row r="29" spans="1:25" x14ac:dyDescent="0.25">
      <c r="A29" s="86" t="s">
        <v>32</v>
      </c>
      <c r="B29" s="87">
        <v>0.01</v>
      </c>
      <c r="C29" s="88">
        <v>0.01</v>
      </c>
      <c r="D29" s="88">
        <v>0.01</v>
      </c>
      <c r="E29" s="88">
        <v>0.01</v>
      </c>
      <c r="F29" s="88">
        <v>0.01</v>
      </c>
      <c r="G29" s="88">
        <v>0.01</v>
      </c>
      <c r="H29" s="88">
        <v>0.01</v>
      </c>
      <c r="I29" s="89">
        <v>0.01</v>
      </c>
      <c r="J29" s="87">
        <v>0.01</v>
      </c>
      <c r="K29" s="88">
        <v>0.01</v>
      </c>
      <c r="L29" s="88">
        <v>0.01</v>
      </c>
      <c r="M29" s="88">
        <v>0.01</v>
      </c>
      <c r="N29" s="89">
        <v>0.01</v>
      </c>
      <c r="O29" s="87">
        <v>0.01</v>
      </c>
      <c r="P29" s="91">
        <v>0.01</v>
      </c>
      <c r="Q29" s="88">
        <v>0.01</v>
      </c>
      <c r="R29" s="89">
        <v>0.01</v>
      </c>
    </row>
    <row r="30" spans="1:25" x14ac:dyDescent="0.25">
      <c r="A30" s="92" t="s">
        <v>54</v>
      </c>
      <c r="B30" s="93">
        <f>(($U$13*B27)+($U$19*B28))*(1+B29)</f>
        <v>8417.2199442197671</v>
      </c>
      <c r="C30" s="94">
        <f t="shared" ref="C30:I30" si="14">(($U$13*C27)+($U$19*C28))*(1+C29)</f>
        <v>8417.2199442197671</v>
      </c>
      <c r="D30" s="94">
        <f t="shared" si="14"/>
        <v>8417.2199442197671</v>
      </c>
      <c r="E30" s="94">
        <f t="shared" si="14"/>
        <v>8417.2199442197671</v>
      </c>
      <c r="F30" s="94">
        <f t="shared" si="14"/>
        <v>8417.2199442197671</v>
      </c>
      <c r="G30" s="94">
        <f t="shared" si="14"/>
        <v>8417.2199442197671</v>
      </c>
      <c r="H30" s="94">
        <f t="shared" si="14"/>
        <v>8417.2199442197671</v>
      </c>
      <c r="I30" s="95">
        <f t="shared" si="14"/>
        <v>8417.2199442197671</v>
      </c>
      <c r="J30" s="93">
        <f>(($V$13*J27)+($V$19*J28))*(1+J29)</f>
        <v>8994.3628013626221</v>
      </c>
      <c r="K30" s="94">
        <f t="shared" ref="K30:N30" si="15">(($V$13*K27)+($V$19*K28))*(1+K29)</f>
        <v>8994.3628013626221</v>
      </c>
      <c r="L30" s="94">
        <f t="shared" si="15"/>
        <v>8994.3628013626221</v>
      </c>
      <c r="M30" s="94">
        <f t="shared" si="15"/>
        <v>8994.3628013626221</v>
      </c>
      <c r="N30" s="95">
        <f t="shared" si="15"/>
        <v>8994.3628013626221</v>
      </c>
      <c r="O30" s="93">
        <f>(($W$13*O27)+($W$19*O28))*(1+O29)</f>
        <v>8417.2199442197671</v>
      </c>
      <c r="P30" s="97">
        <f>(($W$13*P27)+($W$19*P28))*(1+P29)</f>
        <v>8417.2199442197671</v>
      </c>
      <c r="Q30" s="94">
        <f>(($W$13*Q27)+($W$19*Q28))*(1+Q29)</f>
        <v>8417.2199442197671</v>
      </c>
      <c r="R30" s="95">
        <f>(($W$13*R27)+($W$19*R28))*(1+R29)</f>
        <v>8417.2199442197671</v>
      </c>
      <c r="U30" s="169"/>
    </row>
    <row r="31" spans="1:25" x14ac:dyDescent="0.25">
      <c r="A31" s="92" t="s">
        <v>59</v>
      </c>
      <c r="B31" s="99">
        <f>B32/$W$1</f>
        <v>21.146854676387889</v>
      </c>
      <c r="C31" s="5">
        <f t="shared" ref="C31:R31" si="16">C32/$W$1</f>
        <v>27.475475418956528</v>
      </c>
      <c r="D31" s="5">
        <f t="shared" si="16"/>
        <v>30.994805978238599</v>
      </c>
      <c r="E31" s="5">
        <f t="shared" si="16"/>
        <v>60.029283092315694</v>
      </c>
      <c r="F31" s="5">
        <f t="shared" si="16"/>
        <v>61.742641390913548</v>
      </c>
      <c r="G31" s="5">
        <f t="shared" si="16"/>
        <v>65.833091383061571</v>
      </c>
      <c r="H31" s="5">
        <f t="shared" si="16"/>
        <v>74.09116966909626</v>
      </c>
      <c r="I31" s="100">
        <f t="shared" si="16"/>
        <v>77.178301738641949</v>
      </c>
      <c r="J31" s="99">
        <f t="shared" si="16"/>
        <v>22.431889035325167</v>
      </c>
      <c r="K31" s="5">
        <f t="shared" si="16"/>
        <v>22.596829395879027</v>
      </c>
      <c r="L31" s="5">
        <f t="shared" si="16"/>
        <v>47.337883478958254</v>
      </c>
      <c r="M31" s="5">
        <f t="shared" si="16"/>
        <v>65.976144221544601</v>
      </c>
      <c r="N31" s="100">
        <f t="shared" si="16"/>
        <v>79.17137306585353</v>
      </c>
      <c r="O31" s="99">
        <f t="shared" si="16"/>
        <v>21.146854676387889</v>
      </c>
      <c r="P31" s="102">
        <f t="shared" si="16"/>
        <v>27.475475418956528</v>
      </c>
      <c r="Q31" s="5">
        <f t="shared" si="16"/>
        <v>58.655509321367866</v>
      </c>
      <c r="R31" s="100">
        <f t="shared" si="16"/>
        <v>61.742641390913548</v>
      </c>
    </row>
    <row r="32" spans="1:25" x14ac:dyDescent="0.25">
      <c r="A32" s="86" t="s">
        <v>63</v>
      </c>
      <c r="B32" s="93">
        <f t="shared" ref="B32:R32" si="17">B30*(B26/1000)</f>
        <v>115.3159132358108</v>
      </c>
      <c r="C32" s="94">
        <f t="shared" si="17"/>
        <v>149.82651500711185</v>
      </c>
      <c r="D32" s="94">
        <f t="shared" si="17"/>
        <v>169.01777647993291</v>
      </c>
      <c r="E32" s="94">
        <f t="shared" si="17"/>
        <v>327.34568363070673</v>
      </c>
      <c r="F32" s="94">
        <f t="shared" si="17"/>
        <v>336.68879776879066</v>
      </c>
      <c r="G32" s="94">
        <f t="shared" si="17"/>
        <v>358.99443062097305</v>
      </c>
      <c r="H32" s="94">
        <f t="shared" si="17"/>
        <v>404.02655732254885</v>
      </c>
      <c r="I32" s="95">
        <f t="shared" si="17"/>
        <v>420.86099721098839</v>
      </c>
      <c r="J32" s="93">
        <f t="shared" si="17"/>
        <v>122.32333409853166</v>
      </c>
      <c r="K32" s="94">
        <f t="shared" si="17"/>
        <v>123.22277037866792</v>
      </c>
      <c r="L32" s="94">
        <f t="shared" si="17"/>
        <v>258.13821239910726</v>
      </c>
      <c r="M32" s="94">
        <f t="shared" si="17"/>
        <v>359.7745120545049</v>
      </c>
      <c r="N32" s="95">
        <f t="shared" si="17"/>
        <v>431.72941446540585</v>
      </c>
      <c r="O32" s="93">
        <f t="shared" si="17"/>
        <v>115.3159132358108</v>
      </c>
      <c r="P32" s="97">
        <f t="shared" si="17"/>
        <v>149.82651500711185</v>
      </c>
      <c r="Q32" s="94">
        <f t="shared" si="17"/>
        <v>319.85435788035113</v>
      </c>
      <c r="R32" s="95">
        <f t="shared" si="17"/>
        <v>336.68879776879066</v>
      </c>
    </row>
    <row r="33" spans="1:18" x14ac:dyDescent="0.25">
      <c r="A33" s="86" t="s">
        <v>66</v>
      </c>
      <c r="B33" s="93">
        <v>24.0242662</v>
      </c>
      <c r="C33" s="94">
        <v>29.1358122</v>
      </c>
      <c r="D33" s="94">
        <v>29.1358122</v>
      </c>
      <c r="E33" s="94">
        <v>47.956524571999999</v>
      </c>
      <c r="F33" s="94">
        <v>47.956524571999999</v>
      </c>
      <c r="G33" s="94">
        <v>47.956524571999999</v>
      </c>
      <c r="H33" s="94">
        <v>47.956524571999999</v>
      </c>
      <c r="I33" s="95">
        <v>47.956524571999999</v>
      </c>
      <c r="J33" s="93">
        <v>24.0242662</v>
      </c>
      <c r="K33" s="94">
        <v>24.0242662</v>
      </c>
      <c r="L33" s="94">
        <v>36.291976599999998</v>
      </c>
      <c r="M33" s="94">
        <v>47.956524571999999</v>
      </c>
      <c r="N33" s="96">
        <v>47.956524571999999</v>
      </c>
      <c r="O33" s="93">
        <v>24.0242662</v>
      </c>
      <c r="P33" s="97">
        <v>29.1358122</v>
      </c>
      <c r="Q33" s="94">
        <v>47.956524571999999</v>
      </c>
      <c r="R33" s="95">
        <v>47.956524571999999</v>
      </c>
    </row>
    <row r="34" spans="1:18" x14ac:dyDescent="0.25">
      <c r="A34" s="86" t="s">
        <v>69</v>
      </c>
      <c r="B34" s="106"/>
      <c r="C34" s="103"/>
      <c r="D34" s="103"/>
      <c r="E34" s="103"/>
      <c r="F34" s="103"/>
      <c r="G34" s="103"/>
      <c r="H34" s="103"/>
      <c r="I34" s="107"/>
      <c r="J34" s="106"/>
      <c r="K34" s="103"/>
      <c r="L34" s="103"/>
      <c r="M34" s="103"/>
      <c r="N34" s="107"/>
      <c r="O34" s="99"/>
      <c r="P34" s="102">
        <v>2.4300000000000002</v>
      </c>
      <c r="Q34" s="5"/>
      <c r="R34" s="100"/>
    </row>
    <row r="35" spans="1:18" x14ac:dyDescent="0.25">
      <c r="A35" s="86" t="s">
        <v>71</v>
      </c>
      <c r="B35" s="109">
        <f>$U$26</f>
        <v>2.5000000000000022E-3</v>
      </c>
      <c r="C35" s="110">
        <f t="shared" ref="C35:R35" si="18">$U$26</f>
        <v>2.5000000000000022E-3</v>
      </c>
      <c r="D35" s="110">
        <f t="shared" si="18"/>
        <v>2.5000000000000022E-3</v>
      </c>
      <c r="E35" s="110">
        <f t="shared" si="18"/>
        <v>2.5000000000000022E-3</v>
      </c>
      <c r="F35" s="110">
        <f t="shared" si="18"/>
        <v>2.5000000000000022E-3</v>
      </c>
      <c r="G35" s="110">
        <f t="shared" si="18"/>
        <v>2.5000000000000022E-3</v>
      </c>
      <c r="H35" s="110">
        <f t="shared" si="18"/>
        <v>2.5000000000000022E-3</v>
      </c>
      <c r="I35" s="111">
        <f t="shared" si="18"/>
        <v>2.5000000000000022E-3</v>
      </c>
      <c r="J35" s="109">
        <f t="shared" si="18"/>
        <v>2.5000000000000022E-3</v>
      </c>
      <c r="K35" s="110">
        <f t="shared" si="18"/>
        <v>2.5000000000000022E-3</v>
      </c>
      <c r="L35" s="110">
        <f t="shared" si="18"/>
        <v>2.5000000000000022E-3</v>
      </c>
      <c r="M35" s="110">
        <f t="shared" si="18"/>
        <v>2.5000000000000022E-3</v>
      </c>
      <c r="N35" s="111">
        <f t="shared" si="18"/>
        <v>2.5000000000000022E-3</v>
      </c>
      <c r="O35" s="109">
        <f t="shared" si="18"/>
        <v>2.5000000000000022E-3</v>
      </c>
      <c r="P35" s="113">
        <f t="shared" si="18"/>
        <v>2.5000000000000022E-3</v>
      </c>
      <c r="Q35" s="110">
        <f t="shared" si="18"/>
        <v>2.5000000000000022E-3</v>
      </c>
      <c r="R35" s="111">
        <f t="shared" si="18"/>
        <v>2.5000000000000022E-3</v>
      </c>
    </row>
    <row r="36" spans="1:18" ht="13" x14ac:dyDescent="0.3">
      <c r="A36" s="62" t="s">
        <v>73</v>
      </c>
      <c r="B36" s="116">
        <f>(B32+B33+(B34*$W$1))*(1+B35)</f>
        <v>139.68852988440031</v>
      </c>
      <c r="C36" s="117">
        <f t="shared" ref="C36:R36" si="19">(C32+C33+(C34*$W$1))*(1+C35)</f>
        <v>179.40973302512961</v>
      </c>
      <c r="D36" s="117">
        <f t="shared" si="19"/>
        <v>198.64897265163273</v>
      </c>
      <c r="E36" s="117">
        <f t="shared" si="19"/>
        <v>376.24046372321345</v>
      </c>
      <c r="F36" s="117">
        <f t="shared" si="19"/>
        <v>385.60693564664263</v>
      </c>
      <c r="G36" s="117">
        <f t="shared" si="19"/>
        <v>407.96833258095546</v>
      </c>
      <c r="H36" s="117">
        <f t="shared" si="19"/>
        <v>453.11303959928517</v>
      </c>
      <c r="I36" s="118">
        <f t="shared" si="19"/>
        <v>469.98956558744584</v>
      </c>
      <c r="J36" s="119">
        <f t="shared" si="19"/>
        <v>146.71346929927799</v>
      </c>
      <c r="K36" s="120">
        <f t="shared" si="19"/>
        <v>147.61515417011458</v>
      </c>
      <c r="L36" s="120">
        <f t="shared" si="19"/>
        <v>295.16626447160502</v>
      </c>
      <c r="M36" s="120">
        <f t="shared" si="19"/>
        <v>408.75036421807113</v>
      </c>
      <c r="N36" s="175">
        <f t="shared" si="19"/>
        <v>480.88515388499934</v>
      </c>
      <c r="O36" s="122">
        <f t="shared" si="19"/>
        <v>139.68852988440031</v>
      </c>
      <c r="P36" s="123">
        <f t="shared" si="19"/>
        <v>192.69389360762963</v>
      </c>
      <c r="Q36" s="124">
        <f t="shared" si="19"/>
        <v>368.73040965848196</v>
      </c>
      <c r="R36" s="125">
        <f t="shared" si="19"/>
        <v>385.60693564664263</v>
      </c>
    </row>
    <row r="37" spans="1:18" x14ac:dyDescent="0.25">
      <c r="A37" s="86" t="s">
        <v>75</v>
      </c>
      <c r="B37" s="129">
        <v>9.2499999999999999E-2</v>
      </c>
      <c r="C37" s="130">
        <v>9.2499999999999999E-2</v>
      </c>
      <c r="D37" s="130">
        <v>9.2499999999999999E-2</v>
      </c>
      <c r="E37" s="130">
        <v>9.2499999999999999E-2</v>
      </c>
      <c r="F37" s="130">
        <v>9.2499999999999999E-2</v>
      </c>
      <c r="G37" s="130">
        <v>9.2499999999999999E-2</v>
      </c>
      <c r="H37" s="130">
        <v>9.2499999999999999E-2</v>
      </c>
      <c r="I37" s="131">
        <v>9.2499999999999999E-2</v>
      </c>
      <c r="J37" s="129">
        <v>9.2499999999999999E-2</v>
      </c>
      <c r="K37" s="130">
        <v>9.2499999999999999E-2</v>
      </c>
      <c r="L37" s="130">
        <v>9.2499999999999999E-2</v>
      </c>
      <c r="M37" s="130">
        <v>9.2499999999999999E-2</v>
      </c>
      <c r="N37" s="131">
        <v>9.2499999999999999E-2</v>
      </c>
      <c r="O37" s="129">
        <v>9.2499999999999999E-2</v>
      </c>
      <c r="P37" s="133">
        <v>9.2499999999999999E-2</v>
      </c>
      <c r="Q37" s="130">
        <v>9.2499999999999999E-2</v>
      </c>
      <c r="R37" s="131">
        <v>9.2499999999999999E-2</v>
      </c>
    </row>
    <row r="38" spans="1:18" x14ac:dyDescent="0.25">
      <c r="A38" s="86" t="s">
        <v>36</v>
      </c>
      <c r="B38" s="87">
        <v>0.22</v>
      </c>
      <c r="C38" s="88">
        <v>0.22</v>
      </c>
      <c r="D38" s="88">
        <v>0.22</v>
      </c>
      <c r="E38" s="88">
        <v>0.22</v>
      </c>
      <c r="F38" s="88">
        <v>0.22</v>
      </c>
      <c r="G38" s="88">
        <v>0.22</v>
      </c>
      <c r="H38" s="88">
        <v>0.22</v>
      </c>
      <c r="I38" s="89">
        <v>0.22</v>
      </c>
      <c r="J38" s="135">
        <v>0.20499999999999999</v>
      </c>
      <c r="K38" s="136">
        <v>0.20499999999999999</v>
      </c>
      <c r="L38" s="136">
        <v>0.20499999999999999</v>
      </c>
      <c r="M38" s="136">
        <v>0.20499999999999999</v>
      </c>
      <c r="N38" s="176">
        <v>0.20499999999999999</v>
      </c>
      <c r="O38" s="87">
        <v>0.18</v>
      </c>
      <c r="P38" s="91">
        <v>0.18</v>
      </c>
      <c r="Q38" s="88">
        <v>0.18</v>
      </c>
      <c r="R38" s="89">
        <v>0.18</v>
      </c>
    </row>
    <row r="39" spans="1:18" ht="13" x14ac:dyDescent="0.3">
      <c r="A39" s="62" t="s">
        <v>76</v>
      </c>
      <c r="B39" s="139">
        <f>(B36/(1-B37))/(1-B38)</f>
        <v>197.34199319686419</v>
      </c>
      <c r="C39" s="140">
        <f t="shared" ref="C39:R39" si="20">(C36/(1-C37))/(1-C38)</f>
        <v>253.45727629459577</v>
      </c>
      <c r="D39" s="140">
        <f t="shared" si="20"/>
        <v>280.63710200131771</v>
      </c>
      <c r="E39" s="140">
        <f t="shared" si="20"/>
        <v>531.5256957310354</v>
      </c>
      <c r="F39" s="140">
        <f t="shared" si="20"/>
        <v>544.75797929878172</v>
      </c>
      <c r="G39" s="140">
        <f t="shared" si="20"/>
        <v>576.34856619475238</v>
      </c>
      <c r="H39" s="140">
        <f t="shared" si="20"/>
        <v>640.12578879605167</v>
      </c>
      <c r="I39" s="141">
        <f t="shared" si="20"/>
        <v>663.96774117036921</v>
      </c>
      <c r="J39" s="139">
        <f t="shared" si="20"/>
        <v>203.3556412138926</v>
      </c>
      <c r="K39" s="140">
        <f t="shared" si="20"/>
        <v>204.60544265310335</v>
      </c>
      <c r="L39" s="140">
        <f t="shared" si="20"/>
        <v>409.12211580172919</v>
      </c>
      <c r="M39" s="140">
        <f t="shared" si="20"/>
        <v>566.55801821726163</v>
      </c>
      <c r="N39" s="141">
        <f t="shared" si="20"/>
        <v>666.54213335412351</v>
      </c>
      <c r="O39" s="139">
        <f t="shared" si="20"/>
        <v>187.71555450433422</v>
      </c>
      <c r="P39" s="143">
        <f t="shared" si="20"/>
        <v>258.94496218185799</v>
      </c>
      <c r="Q39" s="140">
        <f t="shared" si="20"/>
        <v>495.50548902570984</v>
      </c>
      <c r="R39" s="141">
        <f t="shared" si="20"/>
        <v>518.18441933298743</v>
      </c>
    </row>
    <row r="40" spans="1:18" x14ac:dyDescent="0.25">
      <c r="A40" s="76"/>
      <c r="B40" s="146"/>
      <c r="I40" s="147"/>
      <c r="J40" s="146"/>
      <c r="N40" s="147"/>
      <c r="O40" s="106"/>
      <c r="P40" s="148"/>
      <c r="Q40" s="103"/>
      <c r="R40" s="107"/>
    </row>
    <row r="41" spans="1:18" x14ac:dyDescent="0.25">
      <c r="A41" s="86" t="s">
        <v>75</v>
      </c>
      <c r="B41" s="129">
        <v>9.2499999999999999E-2</v>
      </c>
      <c r="C41" s="130">
        <v>9.2499999999999999E-2</v>
      </c>
      <c r="D41" s="130">
        <v>9.2499999999999999E-2</v>
      </c>
      <c r="E41" s="130">
        <v>9.2499999999999999E-2</v>
      </c>
      <c r="F41" s="130">
        <v>9.2499999999999999E-2</v>
      </c>
      <c r="G41" s="130">
        <v>9.2499999999999999E-2</v>
      </c>
      <c r="H41" s="130">
        <v>9.2499999999999999E-2</v>
      </c>
      <c r="I41" s="131">
        <v>9.2499999999999999E-2</v>
      </c>
      <c r="J41" s="129">
        <v>9.2499999999999999E-2</v>
      </c>
      <c r="K41" s="130">
        <v>9.2499999999999999E-2</v>
      </c>
      <c r="L41" s="130">
        <v>9.2499999999999999E-2</v>
      </c>
      <c r="M41" s="130">
        <v>9.2499999999999999E-2</v>
      </c>
      <c r="N41" s="131">
        <v>9.2499999999999999E-2</v>
      </c>
      <c r="O41" s="129">
        <v>9.2499999999999999E-2</v>
      </c>
      <c r="P41" s="133">
        <v>9.2499999999999999E-2</v>
      </c>
      <c r="Q41" s="130">
        <v>9.2499999999999999E-2</v>
      </c>
      <c r="R41" s="131">
        <v>9.2499999999999999E-2</v>
      </c>
    </row>
    <row r="42" spans="1:18" x14ac:dyDescent="0.25">
      <c r="A42" s="86" t="s">
        <v>36</v>
      </c>
      <c r="B42" s="87">
        <v>0.12</v>
      </c>
      <c r="C42" s="88">
        <v>0.12</v>
      </c>
      <c r="D42" s="88">
        <v>0.12</v>
      </c>
      <c r="E42" s="88">
        <v>0.12</v>
      </c>
      <c r="F42" s="88">
        <v>0.12</v>
      </c>
      <c r="G42" s="88">
        <v>0.12</v>
      </c>
      <c r="H42" s="88">
        <v>0.12</v>
      </c>
      <c r="I42" s="89">
        <v>0.12</v>
      </c>
      <c r="J42" s="87">
        <v>0.12</v>
      </c>
      <c r="K42" s="88">
        <v>0.12</v>
      </c>
      <c r="L42" s="88">
        <v>0.12</v>
      </c>
      <c r="M42" s="88">
        <v>0.12</v>
      </c>
      <c r="N42" s="89">
        <v>0.12</v>
      </c>
      <c r="O42" s="87">
        <v>0.12</v>
      </c>
      <c r="P42" s="91">
        <v>0.12</v>
      </c>
      <c r="Q42" s="88">
        <v>0.12</v>
      </c>
      <c r="R42" s="89">
        <v>0.12</v>
      </c>
    </row>
    <row r="43" spans="1:18" ht="13" x14ac:dyDescent="0.3">
      <c r="A43" s="62" t="s">
        <v>76</v>
      </c>
      <c r="B43" s="139">
        <f>(B36/(1-B41))/(1-B42)</f>
        <v>174.91676669722054</v>
      </c>
      <c r="C43" s="140">
        <f t="shared" ref="C43:R43" si="21">(C36/(1-C41))/(1-C42)</f>
        <v>224.65531307930081</v>
      </c>
      <c r="D43" s="140">
        <f t="shared" si="21"/>
        <v>248.74652222844068</v>
      </c>
      <c r="E43" s="140">
        <f t="shared" si="21"/>
        <v>471.12504848887232</v>
      </c>
      <c r="F43" s="140">
        <f t="shared" si="21"/>
        <v>482.85366346937474</v>
      </c>
      <c r="G43" s="140">
        <f t="shared" si="21"/>
        <v>510.85441094534866</v>
      </c>
      <c r="H43" s="140">
        <f t="shared" si="21"/>
        <v>567.38422188740947</v>
      </c>
      <c r="I43" s="141">
        <f t="shared" si="21"/>
        <v>588.51686149191823</v>
      </c>
      <c r="J43" s="139">
        <f t="shared" si="21"/>
        <v>183.71333496027799</v>
      </c>
      <c r="K43" s="140">
        <f t="shared" si="21"/>
        <v>184.84241694229223</v>
      </c>
      <c r="L43" s="140">
        <f t="shared" si="21"/>
        <v>369.60463870724396</v>
      </c>
      <c r="M43" s="140">
        <f t="shared" si="21"/>
        <v>511.83366418491255</v>
      </c>
      <c r="N43" s="141">
        <f t="shared" si="21"/>
        <v>602.16022274605473</v>
      </c>
      <c r="O43" s="139">
        <f t="shared" si="21"/>
        <v>174.91676669722054</v>
      </c>
      <c r="P43" s="143">
        <f t="shared" si="21"/>
        <v>241.28962385127679</v>
      </c>
      <c r="Q43" s="140">
        <f t="shared" si="21"/>
        <v>461.72102386486597</v>
      </c>
      <c r="R43" s="141">
        <f t="shared" si="21"/>
        <v>482.85366346937474</v>
      </c>
    </row>
    <row r="44" spans="1:18" x14ac:dyDescent="0.25">
      <c r="A44" s="76"/>
      <c r="B44" s="146"/>
      <c r="I44" s="147"/>
      <c r="J44" s="156"/>
      <c r="K44" s="157"/>
      <c r="L44" s="157"/>
      <c r="M44" s="157"/>
      <c r="N44" s="157"/>
      <c r="O44" s="156"/>
      <c r="P44" s="157"/>
      <c r="Q44" s="157"/>
      <c r="R44" s="158"/>
    </row>
    <row r="45" spans="1:18" x14ac:dyDescent="0.25">
      <c r="A45" s="86" t="s">
        <v>75</v>
      </c>
      <c r="B45" s="129">
        <v>9.2499999999999999E-2</v>
      </c>
      <c r="C45" s="130">
        <v>9.2499999999999999E-2</v>
      </c>
      <c r="D45" s="130">
        <v>9.2499999999999999E-2</v>
      </c>
      <c r="E45" s="130">
        <v>9.2499999999999999E-2</v>
      </c>
      <c r="F45" s="130">
        <v>9.2499999999999999E-2</v>
      </c>
      <c r="G45" s="130">
        <v>9.2499999999999999E-2</v>
      </c>
      <c r="H45" s="130">
        <v>9.2499999999999999E-2</v>
      </c>
      <c r="I45" s="131">
        <v>9.2499999999999999E-2</v>
      </c>
      <c r="J45" s="76"/>
      <c r="K45"/>
      <c r="L45" s="103" t="s">
        <v>82</v>
      </c>
      <c r="M45"/>
      <c r="N45"/>
      <c r="O45" s="129">
        <v>9.2499999999999999E-2</v>
      </c>
      <c r="P45" s="133">
        <v>9.2499999999999999E-2</v>
      </c>
      <c r="Q45" s="130">
        <v>9.2499999999999999E-2</v>
      </c>
      <c r="R45" s="131">
        <v>9.2499999999999999E-2</v>
      </c>
    </row>
    <row r="46" spans="1:18" x14ac:dyDescent="0.25">
      <c r="A46" s="86" t="s">
        <v>36</v>
      </c>
      <c r="B46" s="87">
        <v>7.0000000000000007E-2</v>
      </c>
      <c r="C46" s="88">
        <v>7.0000000000000007E-2</v>
      </c>
      <c r="D46" s="88">
        <v>7.0000000000000007E-2</v>
      </c>
      <c r="E46" s="88">
        <v>7.0000000000000007E-2</v>
      </c>
      <c r="F46" s="88">
        <v>7.0000000000000007E-2</v>
      </c>
      <c r="G46" s="88">
        <v>7.0000000000000007E-2</v>
      </c>
      <c r="H46" s="88">
        <v>7.0000000000000007E-2</v>
      </c>
      <c r="I46" s="89">
        <v>7.0000000000000007E-2</v>
      </c>
      <c r="J46" s="76"/>
      <c r="K46"/>
      <c r="L46" s="94">
        <f>L36*(1+12%)</f>
        <v>330.58621620819764</v>
      </c>
      <c r="M46"/>
      <c r="N46"/>
      <c r="O46" s="87">
        <v>7.0000000000000007E-2</v>
      </c>
      <c r="P46" s="91">
        <v>7.0000000000000007E-2</v>
      </c>
      <c r="Q46" s="88">
        <v>7.0000000000000007E-2</v>
      </c>
      <c r="R46" s="89">
        <v>7.0000000000000007E-2</v>
      </c>
    </row>
    <row r="47" spans="1:18" ht="13.5" thickBot="1" x14ac:dyDescent="0.35">
      <c r="A47" s="163" t="s">
        <v>76</v>
      </c>
      <c r="B47" s="164">
        <f>(B36/(1-B45))/(1-B46)</f>
        <v>165.51263945543451</v>
      </c>
      <c r="C47" s="165">
        <f t="shared" ref="C47:I47" si="22">(C36/(1-C45))/(1-C46)</f>
        <v>212.57707044062875</v>
      </c>
      <c r="D47" s="165">
        <f t="shared" si="22"/>
        <v>235.37305329142777</v>
      </c>
      <c r="E47" s="165">
        <f t="shared" si="22"/>
        <v>445.79574480667492</v>
      </c>
      <c r="F47" s="165">
        <f t="shared" si="22"/>
        <v>456.89378908930087</v>
      </c>
      <c r="G47" s="165">
        <f t="shared" si="22"/>
        <v>483.38912003430846</v>
      </c>
      <c r="H47" s="165">
        <f t="shared" si="22"/>
        <v>536.87969382894664</v>
      </c>
      <c r="I47" s="166">
        <f t="shared" si="22"/>
        <v>556.87617001385809</v>
      </c>
      <c r="J47" s="167"/>
      <c r="K47" s="168"/>
      <c r="L47" s="168"/>
      <c r="M47" s="168"/>
      <c r="N47" s="168"/>
      <c r="O47" s="164">
        <f>(O36/(1-O45))/(1-O46)</f>
        <v>165.51263945543451</v>
      </c>
      <c r="P47" s="195">
        <f t="shared" ref="P47:R47" si="23">(P36/(1-P45))/(1-P46)</f>
        <v>228.31706342916516</v>
      </c>
      <c r="Q47" s="165">
        <f t="shared" si="23"/>
        <v>436.89731290438937</v>
      </c>
      <c r="R47" s="166">
        <f t="shared" si="23"/>
        <v>456.89378908930087</v>
      </c>
    </row>
    <row r="48" spans="1:18" ht="13" thickBot="1" x14ac:dyDescent="0.3"/>
    <row r="49" spans="1:18" ht="13" x14ac:dyDescent="0.3">
      <c r="A49" s="47" t="s">
        <v>40</v>
      </c>
      <c r="B49" s="48" t="s">
        <v>41</v>
      </c>
      <c r="C49" s="49" t="s">
        <v>41</v>
      </c>
      <c r="D49" s="49" t="s">
        <v>41</v>
      </c>
      <c r="E49" s="49" t="s">
        <v>41</v>
      </c>
      <c r="F49" s="49" t="s">
        <v>41</v>
      </c>
      <c r="G49" s="49" t="s">
        <v>41</v>
      </c>
      <c r="H49" s="49" t="s">
        <v>41</v>
      </c>
      <c r="I49" s="50" t="s">
        <v>41</v>
      </c>
      <c r="J49" s="51" t="s">
        <v>42</v>
      </c>
      <c r="K49" s="52" t="s">
        <v>42</v>
      </c>
      <c r="L49" s="52" t="s">
        <v>42</v>
      </c>
      <c r="M49" s="52" t="s">
        <v>42</v>
      </c>
      <c r="N49" s="172" t="s">
        <v>42</v>
      </c>
      <c r="O49" s="54" t="s">
        <v>43</v>
      </c>
      <c r="P49" s="55" t="s">
        <v>43</v>
      </c>
      <c r="Q49" s="56" t="s">
        <v>43</v>
      </c>
      <c r="R49" s="57" t="s">
        <v>43</v>
      </c>
    </row>
    <row r="50" spans="1:18" ht="13" x14ac:dyDescent="0.3">
      <c r="A50" s="62" t="s">
        <v>45</v>
      </c>
      <c r="B50" s="63">
        <v>13.7</v>
      </c>
      <c r="C50" s="64">
        <v>17.8</v>
      </c>
      <c r="D50" s="64">
        <v>20.079999999999998</v>
      </c>
      <c r="E50" s="64">
        <v>38.89</v>
      </c>
      <c r="F50" s="64">
        <v>40</v>
      </c>
      <c r="G50" s="64">
        <v>42.65</v>
      </c>
      <c r="H50" s="64">
        <v>48</v>
      </c>
      <c r="I50" s="65">
        <v>50</v>
      </c>
      <c r="J50" s="63">
        <v>13.6</v>
      </c>
      <c r="K50" s="64">
        <v>13.7</v>
      </c>
      <c r="L50" s="64">
        <v>28.7</v>
      </c>
      <c r="M50" s="64">
        <v>40</v>
      </c>
      <c r="N50" s="65">
        <v>48</v>
      </c>
      <c r="O50" s="63">
        <v>13.7</v>
      </c>
      <c r="P50" s="18">
        <v>17.8</v>
      </c>
      <c r="Q50" s="64">
        <v>38</v>
      </c>
      <c r="R50" s="65">
        <v>40</v>
      </c>
    </row>
    <row r="51" spans="1:18" x14ac:dyDescent="0.25">
      <c r="A51" s="70" t="s">
        <v>46</v>
      </c>
      <c r="B51" s="71">
        <f t="shared" ref="B51:R51" si="24">1-B52</f>
        <v>0.6</v>
      </c>
      <c r="C51" s="72">
        <f t="shared" si="24"/>
        <v>0.6</v>
      </c>
      <c r="D51" s="72">
        <f t="shared" si="24"/>
        <v>0.6</v>
      </c>
      <c r="E51" s="72">
        <f t="shared" si="24"/>
        <v>0.6</v>
      </c>
      <c r="F51" s="72">
        <f t="shared" si="24"/>
        <v>0.6</v>
      </c>
      <c r="G51" s="72">
        <f t="shared" si="24"/>
        <v>0.6</v>
      </c>
      <c r="H51" s="72">
        <f t="shared" si="24"/>
        <v>0.6</v>
      </c>
      <c r="I51" s="73">
        <f t="shared" si="24"/>
        <v>0.6</v>
      </c>
      <c r="J51" s="71">
        <f t="shared" si="24"/>
        <v>0.6</v>
      </c>
      <c r="K51" s="72">
        <f t="shared" si="24"/>
        <v>0.6</v>
      </c>
      <c r="L51" s="72">
        <f t="shared" si="24"/>
        <v>0.6</v>
      </c>
      <c r="M51" s="72">
        <f t="shared" si="24"/>
        <v>0.6</v>
      </c>
      <c r="N51" s="73">
        <f t="shared" si="24"/>
        <v>0.6</v>
      </c>
      <c r="O51" s="71">
        <f t="shared" si="24"/>
        <v>0.6</v>
      </c>
      <c r="P51" s="75">
        <f t="shared" si="24"/>
        <v>0.6</v>
      </c>
      <c r="Q51" s="72">
        <f t="shared" si="24"/>
        <v>0.6</v>
      </c>
      <c r="R51" s="73">
        <f t="shared" si="24"/>
        <v>0.6</v>
      </c>
    </row>
    <row r="52" spans="1:18" x14ac:dyDescent="0.25">
      <c r="A52" s="80" t="s">
        <v>52</v>
      </c>
      <c r="B52" s="81">
        <v>0.4</v>
      </c>
      <c r="C52" s="82">
        <v>0.4</v>
      </c>
      <c r="D52" s="82">
        <v>0.4</v>
      </c>
      <c r="E52" s="82">
        <v>0.4</v>
      </c>
      <c r="F52" s="82">
        <v>0.4</v>
      </c>
      <c r="G52" s="82">
        <v>0.4</v>
      </c>
      <c r="H52" s="82">
        <v>0.4</v>
      </c>
      <c r="I52" s="83">
        <v>0.4</v>
      </c>
      <c r="J52" s="81">
        <v>0.4</v>
      </c>
      <c r="K52" s="82">
        <v>0.4</v>
      </c>
      <c r="L52" s="82">
        <v>0.4</v>
      </c>
      <c r="M52" s="82">
        <v>0.4</v>
      </c>
      <c r="N52" s="83">
        <v>0.4</v>
      </c>
      <c r="O52" s="81">
        <v>0.4</v>
      </c>
      <c r="P52" s="85">
        <v>0.4</v>
      </c>
      <c r="Q52" s="82">
        <v>0.4</v>
      </c>
      <c r="R52" s="83">
        <v>0.4</v>
      </c>
    </row>
    <row r="53" spans="1:18" x14ac:dyDescent="0.25">
      <c r="A53" s="86" t="s">
        <v>32</v>
      </c>
      <c r="B53" s="87">
        <v>0.01</v>
      </c>
      <c r="C53" s="88">
        <v>0.01</v>
      </c>
      <c r="D53" s="88">
        <v>0.01</v>
      </c>
      <c r="E53" s="88">
        <v>0.01</v>
      </c>
      <c r="F53" s="88">
        <v>0.01</v>
      </c>
      <c r="G53" s="88">
        <v>0.01</v>
      </c>
      <c r="H53" s="88">
        <v>0.01</v>
      </c>
      <c r="I53" s="89">
        <v>0.01</v>
      </c>
      <c r="J53" s="87">
        <v>0.01</v>
      </c>
      <c r="K53" s="88">
        <v>0.01</v>
      </c>
      <c r="L53" s="88">
        <v>0.01</v>
      </c>
      <c r="M53" s="88">
        <v>0.01</v>
      </c>
      <c r="N53" s="89">
        <v>0.01</v>
      </c>
      <c r="O53" s="87">
        <v>0.01</v>
      </c>
      <c r="P53" s="91">
        <v>0.01</v>
      </c>
      <c r="Q53" s="88">
        <v>0.01</v>
      </c>
      <c r="R53" s="89">
        <v>0.01</v>
      </c>
    </row>
    <row r="54" spans="1:18" x14ac:dyDescent="0.25">
      <c r="A54" s="92" t="s">
        <v>54</v>
      </c>
      <c r="B54" s="93">
        <f>(($U$13*B51)+($U$19*B52))*(1+B53)</f>
        <v>7303.2925218673236</v>
      </c>
      <c r="C54" s="94">
        <f t="shared" ref="C54:I54" si="25">(($U$13*C51)+($U$19*C52))*(1+C53)</f>
        <v>7303.2925218673236</v>
      </c>
      <c r="D54" s="94">
        <f t="shared" si="25"/>
        <v>7303.2925218673236</v>
      </c>
      <c r="E54" s="94">
        <f t="shared" si="25"/>
        <v>7303.2925218673236</v>
      </c>
      <c r="F54" s="94">
        <f t="shared" si="25"/>
        <v>7303.2925218673236</v>
      </c>
      <c r="G54" s="94">
        <f t="shared" si="25"/>
        <v>7303.2925218673236</v>
      </c>
      <c r="H54" s="94">
        <f t="shared" si="25"/>
        <v>7303.2925218673236</v>
      </c>
      <c r="I54" s="95">
        <f t="shared" si="25"/>
        <v>7303.2925218673236</v>
      </c>
      <c r="J54" s="93">
        <f>(($V$13*J51)+($V$19*J52))*(1+J53)</f>
        <v>7483.0989417047822</v>
      </c>
      <c r="K54" s="94">
        <f t="shared" ref="K54:N54" si="26">(($V$13*K51)+($V$19*K52))*(1+K53)</f>
        <v>7483.0989417047822</v>
      </c>
      <c r="L54" s="94">
        <f t="shared" si="26"/>
        <v>7483.0989417047822</v>
      </c>
      <c r="M54" s="94">
        <f t="shared" si="26"/>
        <v>7483.0989417047822</v>
      </c>
      <c r="N54" s="95">
        <f t="shared" si="26"/>
        <v>7483.0989417047822</v>
      </c>
      <c r="O54" s="93">
        <f>(($W$13*O51)+($W$19*O52))*(1+O53)</f>
        <v>7354.3432448870099</v>
      </c>
      <c r="P54" s="97">
        <f>(($W$13*P51)+($W$19*P52))*(1+P53)</f>
        <v>7354.3432448870099</v>
      </c>
      <c r="Q54" s="94">
        <f>(($W$13*Q51)+($W$19*Q52))*(1+Q53)</f>
        <v>7354.3432448870099</v>
      </c>
      <c r="R54" s="95">
        <f>(($W$13*R51)+($W$19*R52))*(1+R53)</f>
        <v>7354.3432448870099</v>
      </c>
    </row>
    <row r="55" spans="1:18" x14ac:dyDescent="0.25">
      <c r="A55" s="92" t="s">
        <v>59</v>
      </c>
      <c r="B55" s="99">
        <f>B56/$W$1</f>
        <v>18.348298683241151</v>
      </c>
      <c r="C55" s="5">
        <f t="shared" ref="C55:R55" si="27">C56/$W$1</f>
        <v>23.839395369466605</v>
      </c>
      <c r="D55" s="5">
        <f t="shared" si="27"/>
        <v>26.892980843757833</v>
      </c>
      <c r="E55" s="5">
        <f t="shared" si="27"/>
        <v>52.085061006660474</v>
      </c>
      <c r="F55" s="5">
        <f t="shared" si="27"/>
        <v>53.571674987565416</v>
      </c>
      <c r="G55" s="5">
        <f t="shared" si="27"/>
        <v>57.120798455491617</v>
      </c>
      <c r="H55" s="5">
        <f t="shared" si="27"/>
        <v>64.286009985078493</v>
      </c>
      <c r="I55" s="100">
        <f t="shared" si="27"/>
        <v>66.96459373445677</v>
      </c>
      <c r="J55" s="99">
        <f t="shared" si="27"/>
        <v>18.662805671486865</v>
      </c>
      <c r="K55" s="5">
        <f t="shared" si="27"/>
        <v>18.800032183777208</v>
      </c>
      <c r="L55" s="5">
        <f t="shared" si="27"/>
        <v>39.384009027328908</v>
      </c>
      <c r="M55" s="5">
        <f t="shared" si="27"/>
        <v>54.890604916137839</v>
      </c>
      <c r="N55" s="100">
        <f t="shared" si="27"/>
        <v>65.868725899365415</v>
      </c>
      <c r="O55" s="99">
        <f t="shared" si="27"/>
        <v>18.476555070501554</v>
      </c>
      <c r="P55" s="102">
        <f t="shared" si="27"/>
        <v>24.006035055104213</v>
      </c>
      <c r="Q55" s="5">
        <f t="shared" si="27"/>
        <v>51.248838881683149</v>
      </c>
      <c r="R55" s="100">
        <f t="shared" si="27"/>
        <v>53.946146191245425</v>
      </c>
    </row>
    <row r="56" spans="1:18" x14ac:dyDescent="0.25">
      <c r="A56" s="86" t="s">
        <v>63</v>
      </c>
      <c r="B56" s="93">
        <f t="shared" ref="B56:R56" si="28">B54*(B50/1000)</f>
        <v>100.05510754958232</v>
      </c>
      <c r="C56" s="94">
        <f t="shared" si="28"/>
        <v>129.99860688923835</v>
      </c>
      <c r="D56" s="94">
        <f t="shared" si="28"/>
        <v>146.65011383909584</v>
      </c>
      <c r="E56" s="94">
        <f t="shared" si="28"/>
        <v>284.02504617542024</v>
      </c>
      <c r="F56" s="94">
        <f t="shared" si="28"/>
        <v>292.13170087469297</v>
      </c>
      <c r="G56" s="94">
        <f t="shared" si="28"/>
        <v>311.48542605764135</v>
      </c>
      <c r="H56" s="94">
        <f t="shared" si="28"/>
        <v>350.55804104963153</v>
      </c>
      <c r="I56" s="95">
        <f t="shared" si="28"/>
        <v>365.16462609336622</v>
      </c>
      <c r="J56" s="93">
        <f t="shared" si="28"/>
        <v>101.77014560718503</v>
      </c>
      <c r="K56" s="94">
        <f t="shared" si="28"/>
        <v>102.5184555013555</v>
      </c>
      <c r="L56" s="94">
        <f t="shared" si="28"/>
        <v>214.76493962692726</v>
      </c>
      <c r="M56" s="94">
        <f t="shared" si="28"/>
        <v>299.32395766819127</v>
      </c>
      <c r="N56" s="95">
        <f t="shared" si="28"/>
        <v>359.18874920182958</v>
      </c>
      <c r="O56" s="93">
        <f t="shared" si="28"/>
        <v>100.75450245495203</v>
      </c>
      <c r="P56" s="97">
        <f t="shared" si="28"/>
        <v>130.90730975898879</v>
      </c>
      <c r="Q56" s="94">
        <f t="shared" si="28"/>
        <v>279.46504330570639</v>
      </c>
      <c r="R56" s="95">
        <f t="shared" si="28"/>
        <v>294.17372979548043</v>
      </c>
    </row>
    <row r="57" spans="1:18" x14ac:dyDescent="0.25">
      <c r="A57" s="86" t="s">
        <v>66</v>
      </c>
      <c r="B57" s="93">
        <v>24.0242662</v>
      </c>
      <c r="C57" s="94">
        <v>29.1358122</v>
      </c>
      <c r="D57" s="94">
        <v>29.1358122</v>
      </c>
      <c r="E57" s="94">
        <v>47.956524571999999</v>
      </c>
      <c r="F57" s="94">
        <v>47.956524571999999</v>
      </c>
      <c r="G57" s="94">
        <v>47.956524571999999</v>
      </c>
      <c r="H57" s="94">
        <v>47.956524571999999</v>
      </c>
      <c r="I57" s="95">
        <v>47.956524571999999</v>
      </c>
      <c r="J57" s="93">
        <v>24.0242662</v>
      </c>
      <c r="K57" s="94">
        <v>24.0242662</v>
      </c>
      <c r="L57" s="94">
        <v>36.291976599999998</v>
      </c>
      <c r="M57" s="94">
        <v>47.956524571999999</v>
      </c>
      <c r="N57" s="96">
        <v>47.956524571999999</v>
      </c>
      <c r="O57" s="93">
        <v>24.0242662</v>
      </c>
      <c r="P57" s="97">
        <v>29.1358122</v>
      </c>
      <c r="Q57" s="94">
        <v>47.956524571999999</v>
      </c>
      <c r="R57" s="95">
        <v>47.956524571999999</v>
      </c>
    </row>
    <row r="58" spans="1:18" x14ac:dyDescent="0.25">
      <c r="A58" s="86" t="s">
        <v>69</v>
      </c>
      <c r="B58" s="106"/>
      <c r="C58" s="103"/>
      <c r="D58" s="103"/>
      <c r="E58" s="103"/>
      <c r="F58" s="103"/>
      <c r="G58" s="103"/>
      <c r="H58" s="103"/>
      <c r="I58" s="107"/>
      <c r="J58" s="106"/>
      <c r="K58" s="103"/>
      <c r="L58" s="103"/>
      <c r="M58" s="103"/>
      <c r="N58" s="107"/>
      <c r="O58" s="99"/>
      <c r="P58" s="102">
        <v>2.4300000000000002</v>
      </c>
      <c r="Q58" s="5"/>
      <c r="R58" s="100"/>
    </row>
    <row r="59" spans="1:18" x14ac:dyDescent="0.25">
      <c r="A59" s="86" t="s">
        <v>71</v>
      </c>
      <c r="B59" s="109">
        <f>$U$26</f>
        <v>2.5000000000000022E-3</v>
      </c>
      <c r="C59" s="110">
        <f t="shared" ref="C59:R59" si="29">$U$26</f>
        <v>2.5000000000000022E-3</v>
      </c>
      <c r="D59" s="110">
        <f t="shared" si="29"/>
        <v>2.5000000000000022E-3</v>
      </c>
      <c r="E59" s="110">
        <f t="shared" si="29"/>
        <v>2.5000000000000022E-3</v>
      </c>
      <c r="F59" s="110">
        <f t="shared" si="29"/>
        <v>2.5000000000000022E-3</v>
      </c>
      <c r="G59" s="110">
        <f t="shared" si="29"/>
        <v>2.5000000000000022E-3</v>
      </c>
      <c r="H59" s="110">
        <f t="shared" si="29"/>
        <v>2.5000000000000022E-3</v>
      </c>
      <c r="I59" s="111">
        <f t="shared" si="29"/>
        <v>2.5000000000000022E-3</v>
      </c>
      <c r="J59" s="109">
        <f t="shared" si="29"/>
        <v>2.5000000000000022E-3</v>
      </c>
      <c r="K59" s="110">
        <f t="shared" si="29"/>
        <v>2.5000000000000022E-3</v>
      </c>
      <c r="L59" s="110">
        <f t="shared" si="29"/>
        <v>2.5000000000000022E-3</v>
      </c>
      <c r="M59" s="110">
        <f t="shared" si="29"/>
        <v>2.5000000000000022E-3</v>
      </c>
      <c r="N59" s="111">
        <f t="shared" si="29"/>
        <v>2.5000000000000022E-3</v>
      </c>
      <c r="O59" s="109">
        <f t="shared" si="29"/>
        <v>2.5000000000000022E-3</v>
      </c>
      <c r="P59" s="113">
        <f t="shared" si="29"/>
        <v>2.5000000000000022E-3</v>
      </c>
      <c r="Q59" s="110">
        <f t="shared" si="29"/>
        <v>2.5000000000000022E-3</v>
      </c>
      <c r="R59" s="111">
        <f t="shared" si="29"/>
        <v>2.5000000000000022E-3</v>
      </c>
    </row>
    <row r="60" spans="1:18" ht="13" x14ac:dyDescent="0.3">
      <c r="A60" s="62" t="s">
        <v>73</v>
      </c>
      <c r="B60" s="116">
        <f>(B56+B57+(B58*$W$1))*(1+B59)</f>
        <v>124.38957218395626</v>
      </c>
      <c r="C60" s="117">
        <f t="shared" ref="C60:R60" si="30">(C56+C57+(C58*$W$1))*(1+C59)</f>
        <v>159.53225513696142</v>
      </c>
      <c r="D60" s="117">
        <f t="shared" si="30"/>
        <v>176.22539085419356</v>
      </c>
      <c r="E60" s="117">
        <f t="shared" si="30"/>
        <v>332.81152467428876</v>
      </c>
      <c r="F60" s="117">
        <f t="shared" si="30"/>
        <v>340.93844601030963</v>
      </c>
      <c r="G60" s="117">
        <f t="shared" si="30"/>
        <v>360.34055550621542</v>
      </c>
      <c r="H60" s="117">
        <f t="shared" si="30"/>
        <v>399.51085203568556</v>
      </c>
      <c r="I60" s="118">
        <f t="shared" si="30"/>
        <v>414.15395354202957</v>
      </c>
      <c r="J60" s="119">
        <f t="shared" si="30"/>
        <v>126.10889783670298</v>
      </c>
      <c r="K60" s="120">
        <f t="shared" si="30"/>
        <v>126.85907850560889</v>
      </c>
      <c r="L60" s="120">
        <f t="shared" si="30"/>
        <v>251.68455851749457</v>
      </c>
      <c r="M60" s="120">
        <f t="shared" si="30"/>
        <v>348.14868344579173</v>
      </c>
      <c r="N60" s="175">
        <f t="shared" si="30"/>
        <v>408.16313695826409</v>
      </c>
      <c r="O60" s="122">
        <f t="shared" si="30"/>
        <v>125.0907155765894</v>
      </c>
      <c r="P60" s="123">
        <f t="shared" si="30"/>
        <v>173.72739034638627</v>
      </c>
      <c r="Q60" s="124">
        <f t="shared" si="30"/>
        <v>328.2401217974006</v>
      </c>
      <c r="R60" s="125">
        <f t="shared" si="30"/>
        <v>342.98558000339909</v>
      </c>
    </row>
    <row r="61" spans="1:18" x14ac:dyDescent="0.25">
      <c r="A61" s="86" t="s">
        <v>75</v>
      </c>
      <c r="B61" s="129">
        <v>9.2499999999999999E-2</v>
      </c>
      <c r="C61" s="130">
        <v>9.2499999999999999E-2</v>
      </c>
      <c r="D61" s="130">
        <v>9.2499999999999999E-2</v>
      </c>
      <c r="E61" s="130">
        <v>9.2499999999999999E-2</v>
      </c>
      <c r="F61" s="130">
        <v>9.2499999999999999E-2</v>
      </c>
      <c r="G61" s="130">
        <v>9.2499999999999999E-2</v>
      </c>
      <c r="H61" s="130">
        <v>9.2499999999999999E-2</v>
      </c>
      <c r="I61" s="131">
        <v>9.2499999999999999E-2</v>
      </c>
      <c r="J61" s="129">
        <v>9.2499999999999999E-2</v>
      </c>
      <c r="K61" s="130">
        <v>9.2499999999999999E-2</v>
      </c>
      <c r="L61" s="130">
        <v>9.2499999999999999E-2</v>
      </c>
      <c r="M61" s="130">
        <v>9.2499999999999999E-2</v>
      </c>
      <c r="N61" s="131">
        <v>9.2499999999999999E-2</v>
      </c>
      <c r="O61" s="129">
        <v>9.2499999999999999E-2</v>
      </c>
      <c r="P61" s="133">
        <v>9.2499999999999999E-2</v>
      </c>
      <c r="Q61" s="130">
        <v>9.2499999999999999E-2</v>
      </c>
      <c r="R61" s="131">
        <v>9.2499999999999999E-2</v>
      </c>
    </row>
    <row r="62" spans="1:18" x14ac:dyDescent="0.25">
      <c r="A62" s="86" t="s">
        <v>36</v>
      </c>
      <c r="B62" s="87">
        <v>0.22</v>
      </c>
      <c r="C62" s="88">
        <v>0.22</v>
      </c>
      <c r="D62" s="88">
        <v>0.22</v>
      </c>
      <c r="E62" s="88">
        <v>0.22</v>
      </c>
      <c r="F62" s="88">
        <v>0.22</v>
      </c>
      <c r="G62" s="88">
        <v>0.22</v>
      </c>
      <c r="H62" s="88">
        <v>0.22</v>
      </c>
      <c r="I62" s="89">
        <v>0.22</v>
      </c>
      <c r="J62" s="135">
        <v>0.20499999999999999</v>
      </c>
      <c r="K62" s="136">
        <v>0.20499999999999999</v>
      </c>
      <c r="L62" s="136">
        <v>0.20499999999999999</v>
      </c>
      <c r="M62" s="136">
        <v>0.20499999999999999</v>
      </c>
      <c r="N62" s="176">
        <v>0.20499999999999999</v>
      </c>
      <c r="O62" s="87">
        <v>0.18</v>
      </c>
      <c r="P62" s="91">
        <v>0.18</v>
      </c>
      <c r="Q62" s="88">
        <v>0.18</v>
      </c>
      <c r="R62" s="89">
        <v>0.18</v>
      </c>
    </row>
    <row r="63" spans="1:18" ht="13" x14ac:dyDescent="0.3">
      <c r="A63" s="62" t="s">
        <v>76</v>
      </c>
      <c r="B63" s="139">
        <f>(B60/(1-B61))/(1-B62)</f>
        <v>175.72871679586956</v>
      </c>
      <c r="C63" s="140">
        <f t="shared" ref="C63:R63" si="31">(C60/(1-C61))/(1-C62)</f>
        <v>225.37579308746405</v>
      </c>
      <c r="D63" s="140">
        <f t="shared" si="31"/>
        <v>248.95866476540729</v>
      </c>
      <c r="E63" s="140">
        <f t="shared" si="31"/>
        <v>470.17238775770113</v>
      </c>
      <c r="F63" s="140">
        <f t="shared" si="31"/>
        <v>481.65352265354193</v>
      </c>
      <c r="G63" s="140">
        <f t="shared" si="31"/>
        <v>509.06343929676547</v>
      </c>
      <c r="H63" s="140">
        <f t="shared" si="31"/>
        <v>564.40044082176382</v>
      </c>
      <c r="I63" s="141">
        <f t="shared" si="31"/>
        <v>585.08717036381938</v>
      </c>
      <c r="J63" s="139">
        <f t="shared" si="31"/>
        <v>174.79619222995373</v>
      </c>
      <c r="K63" s="140">
        <f t="shared" si="31"/>
        <v>175.83599772075317</v>
      </c>
      <c r="L63" s="140">
        <f t="shared" si="31"/>
        <v>348.85327860768172</v>
      </c>
      <c r="M63" s="140">
        <f t="shared" si="31"/>
        <v>482.55963885273553</v>
      </c>
      <c r="N63" s="141">
        <f t="shared" si="31"/>
        <v>565.74407811669221</v>
      </c>
      <c r="O63" s="139">
        <f t="shared" si="31"/>
        <v>168.09879134124759</v>
      </c>
      <c r="P63" s="143">
        <f t="shared" si="31"/>
        <v>233.45748887507392</v>
      </c>
      <c r="Q63" s="140">
        <f t="shared" si="31"/>
        <v>441.0940291572943</v>
      </c>
      <c r="R63" s="141">
        <f t="shared" si="31"/>
        <v>460.90919841886591</v>
      </c>
    </row>
    <row r="64" spans="1:18" x14ac:dyDescent="0.25">
      <c r="A64" s="76"/>
      <c r="B64" s="146"/>
      <c r="I64" s="147"/>
      <c r="J64" s="146"/>
      <c r="N64" s="147"/>
      <c r="O64" s="106"/>
      <c r="P64" s="148"/>
      <c r="Q64" s="103"/>
      <c r="R64" s="107"/>
    </row>
    <row r="65" spans="1:18" x14ac:dyDescent="0.25">
      <c r="A65" s="86" t="s">
        <v>75</v>
      </c>
      <c r="B65" s="129">
        <v>9.2499999999999999E-2</v>
      </c>
      <c r="C65" s="130">
        <v>9.2499999999999999E-2</v>
      </c>
      <c r="D65" s="130">
        <v>9.2499999999999999E-2</v>
      </c>
      <c r="E65" s="130">
        <v>9.2499999999999999E-2</v>
      </c>
      <c r="F65" s="130">
        <v>9.2499999999999999E-2</v>
      </c>
      <c r="G65" s="130">
        <v>9.2499999999999999E-2</v>
      </c>
      <c r="H65" s="130">
        <v>9.2499999999999999E-2</v>
      </c>
      <c r="I65" s="131">
        <v>9.2499999999999999E-2</v>
      </c>
      <c r="J65" s="129">
        <v>9.2499999999999999E-2</v>
      </c>
      <c r="K65" s="130">
        <v>9.2499999999999999E-2</v>
      </c>
      <c r="L65" s="130">
        <v>9.2499999999999999E-2</v>
      </c>
      <c r="M65" s="130">
        <v>9.2499999999999999E-2</v>
      </c>
      <c r="N65" s="131">
        <v>9.2499999999999999E-2</v>
      </c>
      <c r="O65" s="129">
        <v>9.2499999999999999E-2</v>
      </c>
      <c r="P65" s="133">
        <v>9.2499999999999999E-2</v>
      </c>
      <c r="Q65" s="130">
        <v>9.2499999999999999E-2</v>
      </c>
      <c r="R65" s="131">
        <v>9.2499999999999999E-2</v>
      </c>
    </row>
    <row r="66" spans="1:18" x14ac:dyDescent="0.25">
      <c r="A66" s="86" t="s">
        <v>36</v>
      </c>
      <c r="B66" s="87">
        <v>0.12</v>
      </c>
      <c r="C66" s="88">
        <v>0.12</v>
      </c>
      <c r="D66" s="88">
        <v>0.12</v>
      </c>
      <c r="E66" s="88">
        <v>0.12</v>
      </c>
      <c r="F66" s="88">
        <v>0.12</v>
      </c>
      <c r="G66" s="88">
        <v>0.12</v>
      </c>
      <c r="H66" s="88">
        <v>0.12</v>
      </c>
      <c r="I66" s="89">
        <v>0.12</v>
      </c>
      <c r="J66" s="87">
        <v>0.12</v>
      </c>
      <c r="K66" s="88">
        <v>0.12</v>
      </c>
      <c r="L66" s="88">
        <v>0.12</v>
      </c>
      <c r="M66" s="88">
        <v>0.12</v>
      </c>
      <c r="N66" s="89">
        <v>0.12</v>
      </c>
      <c r="O66" s="87">
        <v>0.12</v>
      </c>
      <c r="P66" s="91">
        <v>0.12</v>
      </c>
      <c r="Q66" s="88">
        <v>0.12</v>
      </c>
      <c r="R66" s="89">
        <v>0.12</v>
      </c>
    </row>
    <row r="67" spans="1:18" ht="13" x14ac:dyDescent="0.3">
      <c r="A67" s="62" t="s">
        <v>76</v>
      </c>
      <c r="B67" s="139">
        <f>(B60/(1-B65))/(1-B66)</f>
        <v>155.75954443270257</v>
      </c>
      <c r="C67" s="140">
        <f t="shared" ref="C67:R67" si="32">(C60/(1-C65))/(1-C66)</f>
        <v>199.76490750934315</v>
      </c>
      <c r="D67" s="140">
        <f t="shared" si="32"/>
        <v>220.66790740570192</v>
      </c>
      <c r="E67" s="140">
        <f t="shared" si="32"/>
        <v>416.74370733068963</v>
      </c>
      <c r="F67" s="140">
        <f t="shared" si="32"/>
        <v>426.92016780654853</v>
      </c>
      <c r="G67" s="140">
        <f t="shared" si="32"/>
        <v>451.21532119486034</v>
      </c>
      <c r="H67" s="140">
        <f t="shared" si="32"/>
        <v>500.26402709201801</v>
      </c>
      <c r="I67" s="141">
        <f t="shared" si="32"/>
        <v>518.59999191338545</v>
      </c>
      <c r="J67" s="139">
        <f t="shared" si="32"/>
        <v>157.91246911683319</v>
      </c>
      <c r="K67" s="140">
        <f t="shared" si="32"/>
        <v>158.85183884999861</v>
      </c>
      <c r="L67" s="140">
        <f t="shared" si="32"/>
        <v>315.15722328762155</v>
      </c>
      <c r="M67" s="140">
        <f t="shared" si="32"/>
        <v>435.94876464536907</v>
      </c>
      <c r="N67" s="141">
        <f t="shared" si="32"/>
        <v>511.09834329860269</v>
      </c>
      <c r="O67" s="139">
        <f t="shared" si="32"/>
        <v>156.63751011343527</v>
      </c>
      <c r="P67" s="143">
        <f t="shared" si="32"/>
        <v>217.5399328154098</v>
      </c>
      <c r="Q67" s="140">
        <f t="shared" si="32"/>
        <v>411.01943626020613</v>
      </c>
      <c r="R67" s="141">
        <f t="shared" si="32"/>
        <v>429.4835712539433</v>
      </c>
    </row>
    <row r="68" spans="1:18" x14ac:dyDescent="0.25">
      <c r="A68" s="76"/>
      <c r="B68" s="146"/>
      <c r="I68" s="147"/>
      <c r="J68" s="156"/>
      <c r="K68" s="157"/>
      <c r="L68" s="157"/>
      <c r="M68" s="157"/>
      <c r="N68" s="157"/>
      <c r="O68" s="156"/>
      <c r="P68" s="157"/>
      <c r="Q68" s="157"/>
      <c r="R68" s="158"/>
    </row>
    <row r="69" spans="1:18" x14ac:dyDescent="0.25">
      <c r="A69" s="86" t="s">
        <v>75</v>
      </c>
      <c r="B69" s="129">
        <v>9.2499999999999999E-2</v>
      </c>
      <c r="C69" s="130">
        <v>9.2499999999999999E-2</v>
      </c>
      <c r="D69" s="130">
        <v>9.2499999999999999E-2</v>
      </c>
      <c r="E69" s="130">
        <v>9.2499999999999999E-2</v>
      </c>
      <c r="F69" s="130">
        <v>9.2499999999999999E-2</v>
      </c>
      <c r="G69" s="130">
        <v>9.2499999999999999E-2</v>
      </c>
      <c r="H69" s="130">
        <v>9.2499999999999999E-2</v>
      </c>
      <c r="I69" s="131">
        <v>9.2499999999999999E-2</v>
      </c>
      <c r="J69" s="76"/>
      <c r="K69"/>
      <c r="L69" s="103" t="s">
        <v>82</v>
      </c>
      <c r="M69"/>
      <c r="N69"/>
      <c r="O69" s="129">
        <v>9.2499999999999999E-2</v>
      </c>
      <c r="P69" s="133">
        <v>9.2499999999999999E-2</v>
      </c>
      <c r="Q69" s="130">
        <v>9.2499999999999999E-2</v>
      </c>
      <c r="R69" s="131">
        <v>9.2499999999999999E-2</v>
      </c>
    </row>
    <row r="70" spans="1:18" x14ac:dyDescent="0.25">
      <c r="A70" s="86" t="s">
        <v>36</v>
      </c>
      <c r="B70" s="87">
        <v>7.0000000000000007E-2</v>
      </c>
      <c r="C70" s="88">
        <v>7.0000000000000007E-2</v>
      </c>
      <c r="D70" s="88">
        <v>7.0000000000000007E-2</v>
      </c>
      <c r="E70" s="88">
        <v>7.0000000000000007E-2</v>
      </c>
      <c r="F70" s="88">
        <v>7.0000000000000007E-2</v>
      </c>
      <c r="G70" s="88">
        <v>7.0000000000000007E-2</v>
      </c>
      <c r="H70" s="88">
        <v>7.0000000000000007E-2</v>
      </c>
      <c r="I70" s="89">
        <v>7.0000000000000007E-2</v>
      </c>
      <c r="J70" s="76"/>
      <c r="K70"/>
      <c r="L70" s="94">
        <f>L60*(1+12%)</f>
        <v>281.88670553959395</v>
      </c>
      <c r="M70"/>
      <c r="N70"/>
      <c r="O70" s="87">
        <v>7.0000000000000007E-2</v>
      </c>
      <c r="P70" s="91">
        <v>7.0000000000000007E-2</v>
      </c>
      <c r="Q70" s="88">
        <v>7.0000000000000007E-2</v>
      </c>
      <c r="R70" s="89">
        <v>7.0000000000000007E-2</v>
      </c>
    </row>
    <row r="71" spans="1:18" ht="13.5" thickBot="1" x14ac:dyDescent="0.35">
      <c r="A71" s="163" t="s">
        <v>76</v>
      </c>
      <c r="B71" s="164">
        <f>(B60/(1-B69))/(1-B70)</f>
        <v>147.38537537718094</v>
      </c>
      <c r="C71" s="165">
        <f t="shared" ref="C71:I71" si="33">(C60/(1-C69))/(1-C70)</f>
        <v>189.02485871851826</v>
      </c>
      <c r="D71" s="165">
        <f t="shared" si="33"/>
        <v>208.80404141614807</v>
      </c>
      <c r="E71" s="165">
        <f t="shared" si="33"/>
        <v>394.33813166774939</v>
      </c>
      <c r="F71" s="165">
        <f t="shared" si="33"/>
        <v>403.96747061264813</v>
      </c>
      <c r="G71" s="165">
        <f t="shared" si="33"/>
        <v>426.95643295857752</v>
      </c>
      <c r="H71" s="165">
        <f t="shared" si="33"/>
        <v>473.36811165696326</v>
      </c>
      <c r="I71" s="166">
        <f t="shared" si="33"/>
        <v>490.71827191804215</v>
      </c>
      <c r="J71" s="167"/>
      <c r="K71" s="168"/>
      <c r="L71" s="168"/>
      <c r="M71" s="168"/>
      <c r="N71" s="168"/>
      <c r="O71" s="164">
        <f>(O60/(1-O69))/(1-O70)</f>
        <v>148.21613860196027</v>
      </c>
      <c r="P71" s="195">
        <f t="shared" ref="P71:R71" si="34">(P60/(1-P69))/(1-P70)</f>
        <v>205.84423750275337</v>
      </c>
      <c r="Q71" s="165">
        <f t="shared" si="34"/>
        <v>388.9216171064316</v>
      </c>
      <c r="R71" s="166">
        <f t="shared" si="34"/>
        <v>406.39305667039798</v>
      </c>
    </row>
    <row r="72" spans="1:18" ht="13" thickBot="1" x14ac:dyDescent="0.3"/>
    <row r="73" spans="1:18" ht="13" x14ac:dyDescent="0.3">
      <c r="A73" s="47" t="s">
        <v>40</v>
      </c>
      <c r="B73" s="48" t="s">
        <v>41</v>
      </c>
      <c r="C73" s="49" t="s">
        <v>41</v>
      </c>
      <c r="D73" s="49" t="s">
        <v>41</v>
      </c>
      <c r="E73" s="49" t="s">
        <v>41</v>
      </c>
      <c r="F73" s="49" t="s">
        <v>41</v>
      </c>
      <c r="G73" s="49" t="s">
        <v>41</v>
      </c>
      <c r="H73" s="49" t="s">
        <v>41</v>
      </c>
      <c r="I73" s="50" t="s">
        <v>41</v>
      </c>
      <c r="J73" s="51" t="s">
        <v>42</v>
      </c>
      <c r="K73" s="52" t="s">
        <v>42</v>
      </c>
      <c r="L73" s="52" t="s">
        <v>42</v>
      </c>
      <c r="M73" s="52" t="s">
        <v>42</v>
      </c>
      <c r="N73" s="172" t="s">
        <v>42</v>
      </c>
      <c r="O73" s="54" t="s">
        <v>43</v>
      </c>
      <c r="P73" s="55" t="s">
        <v>43</v>
      </c>
      <c r="Q73" s="56" t="s">
        <v>43</v>
      </c>
      <c r="R73" s="57" t="s">
        <v>43</v>
      </c>
    </row>
    <row r="74" spans="1:18" ht="13" x14ac:dyDescent="0.3">
      <c r="A74" s="62" t="s">
        <v>45</v>
      </c>
      <c r="B74" s="63">
        <v>13.7</v>
      </c>
      <c r="C74" s="64">
        <v>17.8</v>
      </c>
      <c r="D74" s="64">
        <v>20.079999999999998</v>
      </c>
      <c r="E74" s="64">
        <v>38.89</v>
      </c>
      <c r="F74" s="64">
        <v>40</v>
      </c>
      <c r="G74" s="64">
        <v>42.65</v>
      </c>
      <c r="H74" s="64">
        <v>48</v>
      </c>
      <c r="I74" s="65">
        <v>50</v>
      </c>
      <c r="J74" s="63">
        <v>13.6</v>
      </c>
      <c r="K74" s="64">
        <v>13.7</v>
      </c>
      <c r="L74" s="64">
        <v>28.7</v>
      </c>
      <c r="M74" s="64">
        <v>40</v>
      </c>
      <c r="N74" s="65">
        <v>48</v>
      </c>
      <c r="O74" s="63">
        <v>13.7</v>
      </c>
      <c r="P74" s="18">
        <v>17.8</v>
      </c>
      <c r="Q74" s="64">
        <v>38</v>
      </c>
      <c r="R74" s="65">
        <v>40</v>
      </c>
    </row>
    <row r="75" spans="1:18" x14ac:dyDescent="0.25">
      <c r="A75" s="70" t="s">
        <v>46</v>
      </c>
      <c r="B75" s="71">
        <f t="shared" ref="B75:R75" si="35">1-B76</f>
        <v>0.4</v>
      </c>
      <c r="C75" s="72">
        <f t="shared" si="35"/>
        <v>0.4</v>
      </c>
      <c r="D75" s="72">
        <f t="shared" si="35"/>
        <v>0.4</v>
      </c>
      <c r="E75" s="72">
        <f t="shared" si="35"/>
        <v>0.4</v>
      </c>
      <c r="F75" s="72">
        <f t="shared" si="35"/>
        <v>0.4</v>
      </c>
      <c r="G75" s="72">
        <f t="shared" si="35"/>
        <v>0.4</v>
      </c>
      <c r="H75" s="72">
        <f t="shared" si="35"/>
        <v>0.4</v>
      </c>
      <c r="I75" s="73">
        <f t="shared" si="35"/>
        <v>0.4</v>
      </c>
      <c r="J75" s="71">
        <f t="shared" si="35"/>
        <v>0.4</v>
      </c>
      <c r="K75" s="72">
        <f t="shared" si="35"/>
        <v>0.4</v>
      </c>
      <c r="L75" s="72">
        <f t="shared" si="35"/>
        <v>0.4</v>
      </c>
      <c r="M75" s="72">
        <f t="shared" si="35"/>
        <v>0.4</v>
      </c>
      <c r="N75" s="73">
        <f t="shared" si="35"/>
        <v>0.4</v>
      </c>
      <c r="O75" s="71">
        <f t="shared" si="35"/>
        <v>0.4</v>
      </c>
      <c r="P75" s="75">
        <f t="shared" si="35"/>
        <v>0.4</v>
      </c>
      <c r="Q75" s="72">
        <f t="shared" si="35"/>
        <v>0.4</v>
      </c>
      <c r="R75" s="73">
        <f t="shared" si="35"/>
        <v>0.4</v>
      </c>
    </row>
    <row r="76" spans="1:18" x14ac:dyDescent="0.25">
      <c r="A76" s="80" t="s">
        <v>52</v>
      </c>
      <c r="B76" s="81">
        <v>0.6</v>
      </c>
      <c r="C76" s="82">
        <v>0.6</v>
      </c>
      <c r="D76" s="82">
        <v>0.6</v>
      </c>
      <c r="E76" s="82">
        <v>0.6</v>
      </c>
      <c r="F76" s="82">
        <v>0.6</v>
      </c>
      <c r="G76" s="82">
        <v>0.6</v>
      </c>
      <c r="H76" s="82">
        <v>0.6</v>
      </c>
      <c r="I76" s="83">
        <v>0.6</v>
      </c>
      <c r="J76" s="81">
        <v>0.6</v>
      </c>
      <c r="K76" s="82">
        <v>0.6</v>
      </c>
      <c r="L76" s="82">
        <v>0.6</v>
      </c>
      <c r="M76" s="82">
        <v>0.6</v>
      </c>
      <c r="N76" s="83">
        <v>0.6</v>
      </c>
      <c r="O76" s="81">
        <v>0.6</v>
      </c>
      <c r="P76" s="85">
        <v>0.6</v>
      </c>
      <c r="Q76" s="82">
        <v>0.6</v>
      </c>
      <c r="R76" s="83">
        <v>0.6</v>
      </c>
    </row>
    <row r="77" spans="1:18" x14ac:dyDescent="0.25">
      <c r="A77" s="86" t="s">
        <v>32</v>
      </c>
      <c r="B77" s="87">
        <v>0.01</v>
      </c>
      <c r="C77" s="88">
        <v>0.01</v>
      </c>
      <c r="D77" s="88">
        <v>0.01</v>
      </c>
      <c r="E77" s="88">
        <v>0.01</v>
      </c>
      <c r="F77" s="88">
        <v>0.01</v>
      </c>
      <c r="G77" s="88">
        <v>0.01</v>
      </c>
      <c r="H77" s="88">
        <v>0.01</v>
      </c>
      <c r="I77" s="89">
        <v>0.01</v>
      </c>
      <c r="J77" s="87">
        <v>0.01</v>
      </c>
      <c r="K77" s="88">
        <v>0.01</v>
      </c>
      <c r="L77" s="88">
        <v>0.01</v>
      </c>
      <c r="M77" s="88">
        <v>0.01</v>
      </c>
      <c r="N77" s="89">
        <v>0.01</v>
      </c>
      <c r="O77" s="87">
        <v>0.01</v>
      </c>
      <c r="P77" s="91">
        <v>0.01</v>
      </c>
      <c r="Q77" s="88">
        <v>0.01</v>
      </c>
      <c r="R77" s="89">
        <v>0.01</v>
      </c>
    </row>
    <row r="78" spans="1:18" x14ac:dyDescent="0.25">
      <c r="A78" s="92" t="s">
        <v>54</v>
      </c>
      <c r="B78" s="93">
        <f>(($U$13*B75)+($U$19*B76))*(1+B77)</f>
        <v>7674.6016626514711</v>
      </c>
      <c r="C78" s="94">
        <f t="shared" ref="C78:I78" si="36">(($U$13*C75)+($U$19*C76))*(1+C77)</f>
        <v>7674.6016626514711</v>
      </c>
      <c r="D78" s="94">
        <f t="shared" si="36"/>
        <v>7674.6016626514711</v>
      </c>
      <c r="E78" s="94">
        <f t="shared" si="36"/>
        <v>7674.6016626514711</v>
      </c>
      <c r="F78" s="94">
        <f t="shared" si="36"/>
        <v>7674.6016626514711</v>
      </c>
      <c r="G78" s="94">
        <f t="shared" si="36"/>
        <v>7674.6016626514711</v>
      </c>
      <c r="H78" s="94">
        <f t="shared" si="36"/>
        <v>7674.6016626514711</v>
      </c>
      <c r="I78" s="95">
        <f t="shared" si="36"/>
        <v>7674.6016626514711</v>
      </c>
      <c r="J78" s="93">
        <f>(($V$13*J75)+($V$19*J76))*(1+J77)</f>
        <v>7986.8535615907285</v>
      </c>
      <c r="K78" s="94">
        <f t="shared" ref="K78:N78" si="37">(($V$13*K75)+($V$19*K76))*(1+K77)</f>
        <v>7986.8535615907285</v>
      </c>
      <c r="L78" s="94">
        <f t="shared" si="37"/>
        <v>7986.8535615907285</v>
      </c>
      <c r="M78" s="94">
        <f t="shared" si="37"/>
        <v>7986.8535615907285</v>
      </c>
      <c r="N78" s="95">
        <f t="shared" si="37"/>
        <v>7986.8535615907285</v>
      </c>
      <c r="O78" s="93">
        <f>(($W$13*O75)+($W$19*O76))*(1+O77)</f>
        <v>7708.6354779979283</v>
      </c>
      <c r="P78" s="97">
        <f>(($W$13*P75)+($W$19*P76))*(1+P77)</f>
        <v>7708.6354779979283</v>
      </c>
      <c r="Q78" s="94">
        <f>(($W$13*Q75)+($W$19*Q76))*(1+Q77)</f>
        <v>7708.6354779979283</v>
      </c>
      <c r="R78" s="95">
        <f>(($W$13*R75)+($W$19*R76))*(1+R77)</f>
        <v>7708.6354779979283</v>
      </c>
    </row>
    <row r="79" spans="1:18" x14ac:dyDescent="0.25">
      <c r="A79" s="92" t="s">
        <v>59</v>
      </c>
      <c r="B79" s="99">
        <f>B80/$W$1</f>
        <v>19.281150680956731</v>
      </c>
      <c r="C79" s="5">
        <f t="shared" ref="C79:R79" si="38">C80/$W$1</f>
        <v>25.051422052629913</v>
      </c>
      <c r="D79" s="5">
        <f t="shared" si="38"/>
        <v>28.260255888584755</v>
      </c>
      <c r="E79" s="5">
        <f t="shared" si="38"/>
        <v>54.733135035212207</v>
      </c>
      <c r="F79" s="5">
        <f t="shared" si="38"/>
        <v>56.295330455348129</v>
      </c>
      <c r="G79" s="5">
        <f t="shared" si="38"/>
        <v>60.024896098014942</v>
      </c>
      <c r="H79" s="5">
        <f t="shared" si="38"/>
        <v>67.554396546417749</v>
      </c>
      <c r="I79" s="100">
        <f t="shared" si="38"/>
        <v>70.369163069185149</v>
      </c>
      <c r="J79" s="99">
        <f t="shared" si="38"/>
        <v>19.919166792766298</v>
      </c>
      <c r="K79" s="5">
        <f t="shared" si="38"/>
        <v>20.065631254477815</v>
      </c>
      <c r="L79" s="5">
        <f t="shared" si="38"/>
        <v>42.035300511205357</v>
      </c>
      <c r="M79" s="5">
        <f t="shared" si="38"/>
        <v>58.585784684606764</v>
      </c>
      <c r="N79" s="100">
        <f t="shared" si="38"/>
        <v>70.30294162152812</v>
      </c>
      <c r="O79" s="99">
        <f t="shared" si="38"/>
        <v>19.366654939130331</v>
      </c>
      <c r="P79" s="102">
        <f t="shared" si="38"/>
        <v>25.162515176388318</v>
      </c>
      <c r="Q79" s="5">
        <f t="shared" si="38"/>
        <v>53.717729028244719</v>
      </c>
      <c r="R79" s="100">
        <f t="shared" si="38"/>
        <v>56.544977924468128</v>
      </c>
    </row>
    <row r="80" spans="1:18" x14ac:dyDescent="0.25">
      <c r="A80" s="86" t="s">
        <v>63</v>
      </c>
      <c r="B80" s="93">
        <f t="shared" ref="B80:R80" si="39">B78*(B74/1000)</f>
        <v>105.14204277832515</v>
      </c>
      <c r="C80" s="94">
        <f t="shared" si="39"/>
        <v>136.60790959519619</v>
      </c>
      <c r="D80" s="94">
        <f t="shared" si="39"/>
        <v>154.10600138604153</v>
      </c>
      <c r="E80" s="94">
        <f t="shared" si="39"/>
        <v>298.4652586605157</v>
      </c>
      <c r="F80" s="94">
        <f t="shared" si="39"/>
        <v>306.98406650605887</v>
      </c>
      <c r="G80" s="94">
        <f t="shared" si="39"/>
        <v>327.32176091208527</v>
      </c>
      <c r="H80" s="94">
        <f t="shared" si="39"/>
        <v>368.38087980727062</v>
      </c>
      <c r="I80" s="95">
        <f t="shared" si="39"/>
        <v>383.73008313257355</v>
      </c>
      <c r="J80" s="93">
        <f t="shared" si="39"/>
        <v>108.6212084376339</v>
      </c>
      <c r="K80" s="94">
        <f t="shared" si="39"/>
        <v>109.41989379379297</v>
      </c>
      <c r="L80" s="94">
        <f t="shared" si="39"/>
        <v>229.22269721765392</v>
      </c>
      <c r="M80" s="94">
        <f t="shared" si="39"/>
        <v>319.47414246362916</v>
      </c>
      <c r="N80" s="95">
        <f t="shared" si="39"/>
        <v>383.36897095635499</v>
      </c>
      <c r="O80" s="93">
        <f t="shared" si="39"/>
        <v>105.60830604857161</v>
      </c>
      <c r="P80" s="97">
        <f t="shared" si="39"/>
        <v>137.21371150836313</v>
      </c>
      <c r="Q80" s="94">
        <f t="shared" si="39"/>
        <v>292.92814816392126</v>
      </c>
      <c r="R80" s="95">
        <f t="shared" si="39"/>
        <v>308.34541911991715</v>
      </c>
    </row>
    <row r="81" spans="1:18" x14ac:dyDescent="0.25">
      <c r="A81" s="86" t="s">
        <v>66</v>
      </c>
      <c r="B81" s="93">
        <v>24.0242662</v>
      </c>
      <c r="C81" s="94">
        <v>29.1358122</v>
      </c>
      <c r="D81" s="94">
        <v>29.1358122</v>
      </c>
      <c r="E81" s="94">
        <v>47.956524571999999</v>
      </c>
      <c r="F81" s="94">
        <v>47.956524571999999</v>
      </c>
      <c r="G81" s="94">
        <v>47.956524571999999</v>
      </c>
      <c r="H81" s="94">
        <v>47.956524571999999</v>
      </c>
      <c r="I81" s="95">
        <v>47.956524571999999</v>
      </c>
      <c r="J81" s="93">
        <v>24.0242662</v>
      </c>
      <c r="K81" s="94">
        <v>24.0242662</v>
      </c>
      <c r="L81" s="94">
        <v>36.291976599999998</v>
      </c>
      <c r="M81" s="94">
        <v>47.956524571999999</v>
      </c>
      <c r="N81" s="96">
        <v>47.956524571999999</v>
      </c>
      <c r="O81" s="93">
        <v>24.0242662</v>
      </c>
      <c r="P81" s="97">
        <v>29.1358122</v>
      </c>
      <c r="Q81" s="94">
        <v>47.956524571999999</v>
      </c>
      <c r="R81" s="95">
        <v>47.956524571999999</v>
      </c>
    </row>
    <row r="82" spans="1:18" x14ac:dyDescent="0.25">
      <c r="A82" s="86" t="s">
        <v>69</v>
      </c>
      <c r="B82" s="106"/>
      <c r="C82" s="103"/>
      <c r="D82" s="103"/>
      <c r="E82" s="103"/>
      <c r="F82" s="103"/>
      <c r="G82" s="103"/>
      <c r="H82" s="103"/>
      <c r="I82" s="107"/>
      <c r="J82" s="106"/>
      <c r="K82" s="103"/>
      <c r="L82" s="103"/>
      <c r="M82" s="103"/>
      <c r="N82" s="107"/>
      <c r="O82" s="99"/>
      <c r="P82" s="102">
        <v>2.4300000000000002</v>
      </c>
      <c r="Q82" s="5"/>
      <c r="R82" s="100"/>
    </row>
    <row r="83" spans="1:18" x14ac:dyDescent="0.25">
      <c r="A83" s="86" t="s">
        <v>71</v>
      </c>
      <c r="B83" s="109">
        <f>$U$26</f>
        <v>2.5000000000000022E-3</v>
      </c>
      <c r="C83" s="110">
        <f t="shared" ref="C83:R83" si="40">$U$26</f>
        <v>2.5000000000000022E-3</v>
      </c>
      <c r="D83" s="110">
        <f t="shared" si="40"/>
        <v>2.5000000000000022E-3</v>
      </c>
      <c r="E83" s="110">
        <f t="shared" si="40"/>
        <v>2.5000000000000022E-3</v>
      </c>
      <c r="F83" s="110">
        <f t="shared" si="40"/>
        <v>2.5000000000000022E-3</v>
      </c>
      <c r="G83" s="110">
        <f t="shared" si="40"/>
        <v>2.5000000000000022E-3</v>
      </c>
      <c r="H83" s="110">
        <f t="shared" si="40"/>
        <v>2.5000000000000022E-3</v>
      </c>
      <c r="I83" s="111">
        <f t="shared" si="40"/>
        <v>2.5000000000000022E-3</v>
      </c>
      <c r="J83" s="109">
        <f t="shared" si="40"/>
        <v>2.5000000000000022E-3</v>
      </c>
      <c r="K83" s="110">
        <f t="shared" si="40"/>
        <v>2.5000000000000022E-3</v>
      </c>
      <c r="L83" s="110">
        <f t="shared" si="40"/>
        <v>2.5000000000000022E-3</v>
      </c>
      <c r="M83" s="110">
        <f t="shared" si="40"/>
        <v>2.5000000000000022E-3</v>
      </c>
      <c r="N83" s="111">
        <f t="shared" si="40"/>
        <v>2.5000000000000022E-3</v>
      </c>
      <c r="O83" s="109">
        <f t="shared" si="40"/>
        <v>2.5000000000000022E-3</v>
      </c>
      <c r="P83" s="113">
        <f t="shared" si="40"/>
        <v>2.5000000000000022E-3</v>
      </c>
      <c r="Q83" s="110">
        <f t="shared" si="40"/>
        <v>2.5000000000000022E-3</v>
      </c>
      <c r="R83" s="111">
        <f t="shared" si="40"/>
        <v>2.5000000000000022E-3</v>
      </c>
    </row>
    <row r="84" spans="1:18" ht="13" x14ac:dyDescent="0.3">
      <c r="A84" s="62" t="s">
        <v>73</v>
      </c>
      <c r="B84" s="116">
        <f t="shared" ref="B84:R84" si="41">(B80+B81+(B82*$W$1))*(1+B83)</f>
        <v>129.48922475077097</v>
      </c>
      <c r="C84" s="117">
        <f t="shared" si="41"/>
        <v>166.15808109968418</v>
      </c>
      <c r="D84" s="117">
        <f t="shared" si="41"/>
        <v>183.69991812000663</v>
      </c>
      <c r="E84" s="117">
        <f t="shared" si="41"/>
        <v>347.28783769059697</v>
      </c>
      <c r="F84" s="117">
        <f t="shared" si="41"/>
        <v>355.82794255575396</v>
      </c>
      <c r="G84" s="117">
        <f t="shared" si="41"/>
        <v>376.21648119779542</v>
      </c>
      <c r="H84" s="117">
        <f t="shared" si="41"/>
        <v>417.37824789021874</v>
      </c>
      <c r="I84" s="118">
        <f t="shared" si="41"/>
        <v>432.76582422383495</v>
      </c>
      <c r="J84" s="119">
        <f t="shared" si="41"/>
        <v>132.97708832422796</v>
      </c>
      <c r="K84" s="120">
        <f t="shared" si="41"/>
        <v>133.77777039377744</v>
      </c>
      <c r="L84" s="120">
        <f t="shared" si="41"/>
        <v>266.17846050219805</v>
      </c>
      <c r="M84" s="120">
        <f t="shared" si="41"/>
        <v>368.34924370321818</v>
      </c>
      <c r="N84" s="175">
        <f t="shared" si="41"/>
        <v>432.4038092671758</v>
      </c>
      <c r="O84" s="122">
        <f t="shared" si="41"/>
        <v>129.95665367919301</v>
      </c>
      <c r="P84" s="123">
        <f t="shared" si="41"/>
        <v>180.04955810013405</v>
      </c>
      <c r="Q84" s="124">
        <f t="shared" si="41"/>
        <v>341.73688441776102</v>
      </c>
      <c r="R84" s="125">
        <f t="shared" si="41"/>
        <v>357.19269855114692</v>
      </c>
    </row>
    <row r="85" spans="1:18" x14ac:dyDescent="0.25">
      <c r="A85" s="86" t="s">
        <v>75</v>
      </c>
      <c r="B85" s="129">
        <v>9.2499999999999999E-2</v>
      </c>
      <c r="C85" s="130">
        <v>9.2499999999999999E-2</v>
      </c>
      <c r="D85" s="130">
        <v>9.2499999999999999E-2</v>
      </c>
      <c r="E85" s="130">
        <v>9.2499999999999999E-2</v>
      </c>
      <c r="F85" s="130">
        <v>9.2499999999999999E-2</v>
      </c>
      <c r="G85" s="130">
        <v>9.2499999999999999E-2</v>
      </c>
      <c r="H85" s="130">
        <v>9.2499999999999999E-2</v>
      </c>
      <c r="I85" s="131">
        <v>9.2499999999999999E-2</v>
      </c>
      <c r="J85" s="129">
        <v>9.2499999999999999E-2</v>
      </c>
      <c r="K85" s="130">
        <v>9.2499999999999999E-2</v>
      </c>
      <c r="L85" s="130">
        <v>9.2499999999999999E-2</v>
      </c>
      <c r="M85" s="130">
        <v>9.2499999999999999E-2</v>
      </c>
      <c r="N85" s="131">
        <v>9.2499999999999999E-2</v>
      </c>
      <c r="O85" s="129">
        <v>9.2499999999999999E-2</v>
      </c>
      <c r="P85" s="133">
        <v>9.2499999999999999E-2</v>
      </c>
      <c r="Q85" s="130">
        <v>9.2499999999999999E-2</v>
      </c>
      <c r="R85" s="131">
        <v>9.2499999999999999E-2</v>
      </c>
    </row>
    <row r="86" spans="1:18" x14ac:dyDescent="0.25">
      <c r="A86" s="86" t="s">
        <v>36</v>
      </c>
      <c r="B86" s="87">
        <v>0.22</v>
      </c>
      <c r="C86" s="88">
        <v>0.22</v>
      </c>
      <c r="D86" s="88">
        <v>0.22</v>
      </c>
      <c r="E86" s="88">
        <v>0.22</v>
      </c>
      <c r="F86" s="88">
        <v>0.22</v>
      </c>
      <c r="G86" s="88">
        <v>0.22</v>
      </c>
      <c r="H86" s="88">
        <v>0.22</v>
      </c>
      <c r="I86" s="89">
        <v>0.22</v>
      </c>
      <c r="J86" s="135">
        <v>0.20499999999999999</v>
      </c>
      <c r="K86" s="136">
        <v>0.20499999999999999</v>
      </c>
      <c r="L86" s="136">
        <v>0.20499999999999999</v>
      </c>
      <c r="M86" s="136">
        <v>0.20499999999999999</v>
      </c>
      <c r="N86" s="176">
        <v>0.20499999999999999</v>
      </c>
      <c r="O86" s="87">
        <v>0.18</v>
      </c>
      <c r="P86" s="91">
        <v>0.18</v>
      </c>
      <c r="Q86" s="88">
        <v>0.18</v>
      </c>
      <c r="R86" s="89">
        <v>0.18</v>
      </c>
    </row>
    <row r="87" spans="1:18" ht="13" x14ac:dyDescent="0.3">
      <c r="A87" s="62" t="s">
        <v>76</v>
      </c>
      <c r="B87" s="139">
        <f>(B84/(1-B85))/(1-B86)</f>
        <v>182.93314226286779</v>
      </c>
      <c r="C87" s="140">
        <f t="shared" ref="C87:R87" si="42">(C84/(1-C85))/(1-C86)</f>
        <v>234.73628748984135</v>
      </c>
      <c r="D87" s="140">
        <f t="shared" si="42"/>
        <v>259.51814384404412</v>
      </c>
      <c r="E87" s="140">
        <f t="shared" si="42"/>
        <v>490.62349041547924</v>
      </c>
      <c r="F87" s="140">
        <f t="shared" si="42"/>
        <v>502.68834153528854</v>
      </c>
      <c r="G87" s="140">
        <f t="shared" si="42"/>
        <v>531.49181492942773</v>
      </c>
      <c r="H87" s="140">
        <f t="shared" si="42"/>
        <v>589.64222347985981</v>
      </c>
      <c r="I87" s="141">
        <f t="shared" si="42"/>
        <v>611.38069396600258</v>
      </c>
      <c r="J87" s="139">
        <f t="shared" si="42"/>
        <v>184.31600855793332</v>
      </c>
      <c r="K87" s="140">
        <f t="shared" si="42"/>
        <v>185.4258126982032</v>
      </c>
      <c r="L87" s="140">
        <f t="shared" si="42"/>
        <v>368.9428910056975</v>
      </c>
      <c r="M87" s="140">
        <f t="shared" si="42"/>
        <v>510.55909864091092</v>
      </c>
      <c r="N87" s="141">
        <f t="shared" si="42"/>
        <v>599.3434298625026</v>
      </c>
      <c r="O87" s="139">
        <f t="shared" si="42"/>
        <v>174.63771239560975</v>
      </c>
      <c r="P87" s="143">
        <f t="shared" si="42"/>
        <v>241.95331331066862</v>
      </c>
      <c r="Q87" s="140">
        <f t="shared" si="42"/>
        <v>459.23118244676613</v>
      </c>
      <c r="R87" s="141">
        <f t="shared" si="42"/>
        <v>480.00093872357303</v>
      </c>
    </row>
    <row r="88" spans="1:18" x14ac:dyDescent="0.25">
      <c r="A88" s="76"/>
      <c r="B88" s="146"/>
      <c r="I88" s="147"/>
      <c r="J88" s="146"/>
      <c r="N88" s="147"/>
      <c r="O88" s="106"/>
      <c r="P88" s="148"/>
      <c r="Q88" s="103"/>
      <c r="R88" s="107"/>
    </row>
    <row r="89" spans="1:18" x14ac:dyDescent="0.25">
      <c r="A89" s="86" t="s">
        <v>75</v>
      </c>
      <c r="B89" s="129">
        <v>9.2499999999999999E-2</v>
      </c>
      <c r="C89" s="130">
        <v>9.2499999999999999E-2</v>
      </c>
      <c r="D89" s="130">
        <v>9.2499999999999999E-2</v>
      </c>
      <c r="E89" s="130">
        <v>9.2499999999999999E-2</v>
      </c>
      <c r="F89" s="130">
        <v>9.2499999999999999E-2</v>
      </c>
      <c r="G89" s="130">
        <v>9.2499999999999999E-2</v>
      </c>
      <c r="H89" s="130">
        <v>9.2499999999999999E-2</v>
      </c>
      <c r="I89" s="131">
        <v>9.2499999999999999E-2</v>
      </c>
      <c r="J89" s="129">
        <v>9.2499999999999999E-2</v>
      </c>
      <c r="K89" s="130">
        <v>9.2499999999999999E-2</v>
      </c>
      <c r="L89" s="130">
        <v>9.2499999999999999E-2</v>
      </c>
      <c r="M89" s="130">
        <v>9.2499999999999999E-2</v>
      </c>
      <c r="N89" s="131">
        <v>9.2499999999999999E-2</v>
      </c>
      <c r="O89" s="129">
        <v>9.2499999999999999E-2</v>
      </c>
      <c r="P89" s="133">
        <v>9.2499999999999999E-2</v>
      </c>
      <c r="Q89" s="130">
        <v>9.2499999999999999E-2</v>
      </c>
      <c r="R89" s="131">
        <v>9.2499999999999999E-2</v>
      </c>
    </row>
    <row r="90" spans="1:18" x14ac:dyDescent="0.25">
      <c r="A90" s="86" t="s">
        <v>36</v>
      </c>
      <c r="B90" s="87">
        <v>0.12</v>
      </c>
      <c r="C90" s="88">
        <v>0.12</v>
      </c>
      <c r="D90" s="88">
        <v>0.12</v>
      </c>
      <c r="E90" s="88">
        <v>0.12</v>
      </c>
      <c r="F90" s="88">
        <v>0.12</v>
      </c>
      <c r="G90" s="88">
        <v>0.12</v>
      </c>
      <c r="H90" s="88">
        <v>0.12</v>
      </c>
      <c r="I90" s="89">
        <v>0.12</v>
      </c>
      <c r="J90" s="87">
        <v>0.12</v>
      </c>
      <c r="K90" s="88">
        <v>0.12</v>
      </c>
      <c r="L90" s="88">
        <v>0.12</v>
      </c>
      <c r="M90" s="88">
        <v>0.12</v>
      </c>
      <c r="N90" s="89">
        <v>0.12</v>
      </c>
      <c r="O90" s="87">
        <v>0.12</v>
      </c>
      <c r="P90" s="91">
        <v>0.12</v>
      </c>
      <c r="Q90" s="88">
        <v>0.12</v>
      </c>
      <c r="R90" s="89">
        <v>0.12</v>
      </c>
    </row>
    <row r="91" spans="1:18" ht="13" x14ac:dyDescent="0.3">
      <c r="A91" s="62" t="s">
        <v>76</v>
      </c>
      <c r="B91" s="139">
        <f>(B84/(1-B89))/(1-B90)</f>
        <v>162.14528518754193</v>
      </c>
      <c r="C91" s="140">
        <f t="shared" ref="C91:R91" si="43">(C84/(1-C89))/(1-C90)</f>
        <v>208.06170936599574</v>
      </c>
      <c r="D91" s="140">
        <f t="shared" si="43"/>
        <v>230.02744567994822</v>
      </c>
      <c r="E91" s="140">
        <f t="shared" si="43"/>
        <v>434.87082105008392</v>
      </c>
      <c r="F91" s="140">
        <f t="shared" si="43"/>
        <v>445.56466636082394</v>
      </c>
      <c r="G91" s="140">
        <f t="shared" si="43"/>
        <v>471.09501777835641</v>
      </c>
      <c r="H91" s="140">
        <f t="shared" si="43"/>
        <v>522.63742535714846</v>
      </c>
      <c r="I91" s="141">
        <f t="shared" si="43"/>
        <v>541.90561510622956</v>
      </c>
      <c r="J91" s="139">
        <f t="shared" si="43"/>
        <v>166.51275773131476</v>
      </c>
      <c r="K91" s="140">
        <f t="shared" si="43"/>
        <v>167.51536488076314</v>
      </c>
      <c r="L91" s="140">
        <f t="shared" si="43"/>
        <v>333.30636176082902</v>
      </c>
      <c r="M91" s="140">
        <f t="shared" si="43"/>
        <v>461.24373115855019</v>
      </c>
      <c r="N91" s="141">
        <f t="shared" si="43"/>
        <v>541.45230311442003</v>
      </c>
      <c r="O91" s="139">
        <f t="shared" si="43"/>
        <v>162.73059564136364</v>
      </c>
      <c r="P91" s="143">
        <f t="shared" si="43"/>
        <v>225.45649649403214</v>
      </c>
      <c r="Q91" s="140">
        <f t="shared" si="43"/>
        <v>427.91996546175938</v>
      </c>
      <c r="R91" s="141">
        <f t="shared" si="43"/>
        <v>447.27360199242037</v>
      </c>
    </row>
    <row r="92" spans="1:18" x14ac:dyDescent="0.25">
      <c r="A92" s="76"/>
      <c r="B92" s="146"/>
      <c r="I92" s="147"/>
      <c r="J92" s="156"/>
      <c r="K92" s="157"/>
      <c r="L92" s="157"/>
      <c r="M92" s="157"/>
      <c r="N92" s="157"/>
      <c r="O92" s="156"/>
      <c r="P92" s="157"/>
      <c r="Q92" s="157"/>
      <c r="R92" s="158"/>
    </row>
    <row r="93" spans="1:18" x14ac:dyDescent="0.25">
      <c r="A93" s="86" t="s">
        <v>75</v>
      </c>
      <c r="B93" s="129">
        <v>9.2499999999999999E-2</v>
      </c>
      <c r="C93" s="130">
        <v>9.2499999999999999E-2</v>
      </c>
      <c r="D93" s="130">
        <v>9.2499999999999999E-2</v>
      </c>
      <c r="E93" s="130">
        <v>9.2499999999999999E-2</v>
      </c>
      <c r="F93" s="130">
        <v>9.2499999999999999E-2</v>
      </c>
      <c r="G93" s="130">
        <v>9.2499999999999999E-2</v>
      </c>
      <c r="H93" s="130">
        <v>9.2499999999999999E-2</v>
      </c>
      <c r="I93" s="131">
        <v>9.2499999999999999E-2</v>
      </c>
      <c r="J93" s="76"/>
      <c r="K93"/>
      <c r="L93" s="103" t="s">
        <v>82</v>
      </c>
      <c r="M93"/>
      <c r="N93"/>
      <c r="O93" s="129">
        <v>9.2499999999999999E-2</v>
      </c>
      <c r="P93" s="133">
        <v>9.2499999999999999E-2</v>
      </c>
      <c r="Q93" s="130">
        <v>9.2499999999999999E-2</v>
      </c>
      <c r="R93" s="131">
        <v>9.2499999999999999E-2</v>
      </c>
    </row>
    <row r="94" spans="1:18" x14ac:dyDescent="0.25">
      <c r="A94" s="86" t="s">
        <v>36</v>
      </c>
      <c r="B94" s="87">
        <v>7.0000000000000007E-2</v>
      </c>
      <c r="C94" s="88">
        <v>7.0000000000000007E-2</v>
      </c>
      <c r="D94" s="88">
        <v>7.0000000000000007E-2</v>
      </c>
      <c r="E94" s="88">
        <v>7.0000000000000007E-2</v>
      </c>
      <c r="F94" s="88">
        <v>7.0000000000000007E-2</v>
      </c>
      <c r="G94" s="88">
        <v>7.0000000000000007E-2</v>
      </c>
      <c r="H94" s="88">
        <v>7.0000000000000007E-2</v>
      </c>
      <c r="I94" s="89">
        <v>7.0000000000000007E-2</v>
      </c>
      <c r="J94" s="76"/>
      <c r="K94"/>
      <c r="L94" s="94">
        <f>L84*(1+12%)</f>
        <v>298.11987576246185</v>
      </c>
      <c r="M94"/>
      <c r="N94"/>
      <c r="O94" s="87">
        <v>7.0000000000000007E-2</v>
      </c>
      <c r="P94" s="91">
        <v>7.0000000000000007E-2</v>
      </c>
      <c r="Q94" s="88">
        <v>7.0000000000000007E-2</v>
      </c>
      <c r="R94" s="89">
        <v>7.0000000000000007E-2</v>
      </c>
    </row>
    <row r="95" spans="1:18" ht="13.5" thickBot="1" x14ac:dyDescent="0.35">
      <c r="A95" s="163" t="s">
        <v>76</v>
      </c>
      <c r="B95" s="164">
        <f>(B84/(1-B93))/(1-B94)</f>
        <v>153.42779673659882</v>
      </c>
      <c r="C95" s="165">
        <f t="shared" ref="C95:I95" si="44">(C84/(1-C93))/(1-C94)</f>
        <v>196.87559595922178</v>
      </c>
      <c r="D95" s="165">
        <f t="shared" si="44"/>
        <v>217.660378707908</v>
      </c>
      <c r="E95" s="165">
        <f t="shared" si="44"/>
        <v>411.49066938072457</v>
      </c>
      <c r="F95" s="165">
        <f t="shared" si="44"/>
        <v>421.60957677153237</v>
      </c>
      <c r="G95" s="165">
        <f t="shared" si="44"/>
        <v>445.7673286504878</v>
      </c>
      <c r="H95" s="165">
        <f t="shared" si="44"/>
        <v>494.53863904762443</v>
      </c>
      <c r="I95" s="166">
        <f t="shared" si="44"/>
        <v>512.77090461664739</v>
      </c>
      <c r="J95" s="167"/>
      <c r="K95" s="168"/>
      <c r="L95" s="168"/>
      <c r="M95" s="168"/>
      <c r="N95" s="168"/>
      <c r="O95" s="164">
        <f>(O84/(1-O93))/(1-O94)</f>
        <v>153.98163888645163</v>
      </c>
      <c r="P95" s="195">
        <f t="shared" ref="P95:R95" si="45">(P84/(1-P93))/(1-P94)</f>
        <v>213.33517947822398</v>
      </c>
      <c r="Q95" s="165">
        <f t="shared" si="45"/>
        <v>404.9135157057508</v>
      </c>
      <c r="R95" s="166">
        <f t="shared" si="45"/>
        <v>423.22663414336552</v>
      </c>
    </row>
  </sheetData>
  <mergeCells count="3">
    <mergeCell ref="Y2:AF2"/>
    <mergeCell ref="Y3:AF3"/>
    <mergeCell ref="Y4:AF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07D9-371E-4924-9D8E-E7F9DD098F43}">
  <dimension ref="A1:AG95"/>
  <sheetViews>
    <sheetView topLeftCell="A2" workbookViewId="0">
      <selection activeCell="A2" sqref="A1:XFD1048576"/>
    </sheetView>
  </sheetViews>
  <sheetFormatPr defaultRowHeight="12.5" x14ac:dyDescent="0.25"/>
  <cols>
    <col min="1" max="1" width="37.54296875" bestFit="1" customWidth="1"/>
    <col min="2" max="2" width="10.81640625" style="134" customWidth="1"/>
    <col min="3" max="3" width="12.1796875" style="134" customWidth="1"/>
    <col min="4" max="11" width="10.81640625" style="134" customWidth="1"/>
    <col min="12" max="12" width="10.81640625" style="134" bestFit="1" customWidth="1"/>
    <col min="13" max="19" width="10.81640625" style="134" customWidth="1"/>
    <col min="20" max="20" width="4.7265625" customWidth="1"/>
    <col min="21" max="21" width="30.1796875" bestFit="1" customWidth="1"/>
    <col min="22" max="24" width="12.54296875" bestFit="1" customWidth="1"/>
    <col min="25" max="25" width="3.7265625" customWidth="1"/>
    <col min="26" max="26" width="18" bestFit="1" customWidth="1"/>
    <col min="27" max="27" width="27.1796875" bestFit="1" customWidth="1"/>
    <col min="28" max="28" width="11.81640625" bestFit="1" customWidth="1"/>
  </cols>
  <sheetData>
    <row r="1" spans="1:33" ht="13.5" thickBot="1" x14ac:dyDescent="0.35">
      <c r="A1" s="47" t="s">
        <v>40</v>
      </c>
      <c r="B1" s="48" t="s">
        <v>41</v>
      </c>
      <c r="C1" s="49" t="s">
        <v>41</v>
      </c>
      <c r="D1" s="49" t="s">
        <v>41</v>
      </c>
      <c r="E1" s="49" t="s">
        <v>41</v>
      </c>
      <c r="F1" s="49" t="s">
        <v>41</v>
      </c>
      <c r="G1" s="49" t="s">
        <v>41</v>
      </c>
      <c r="H1" s="49" t="s">
        <v>41</v>
      </c>
      <c r="I1" s="50" t="s">
        <v>41</v>
      </c>
      <c r="J1" s="51" t="s">
        <v>42</v>
      </c>
      <c r="K1" s="52" t="s">
        <v>42</v>
      </c>
      <c r="L1" s="52" t="s">
        <v>42</v>
      </c>
      <c r="M1" s="52" t="s">
        <v>42</v>
      </c>
      <c r="N1" s="52" t="s">
        <v>42</v>
      </c>
      <c r="O1" s="53" t="s">
        <v>42</v>
      </c>
      <c r="P1" s="54" t="s">
        <v>43</v>
      </c>
      <c r="Q1" s="55" t="s">
        <v>43</v>
      </c>
      <c r="R1" s="56" t="s">
        <v>43</v>
      </c>
      <c r="S1" s="57" t="s">
        <v>43</v>
      </c>
      <c r="U1" s="58" t="s">
        <v>98</v>
      </c>
      <c r="V1" s="59"/>
      <c r="W1" s="60" t="s">
        <v>44</v>
      </c>
      <c r="X1" s="61">
        <v>5.3380000000000001</v>
      </c>
    </row>
    <row r="2" spans="1:33" ht="13.15" customHeight="1" x14ac:dyDescent="0.3">
      <c r="A2" s="62" t="s">
        <v>45</v>
      </c>
      <c r="B2" s="63">
        <v>13.7</v>
      </c>
      <c r="C2" s="64">
        <v>17.8</v>
      </c>
      <c r="D2" s="64">
        <v>20.079999999999998</v>
      </c>
      <c r="E2" s="64">
        <v>38.89</v>
      </c>
      <c r="F2" s="64">
        <v>40</v>
      </c>
      <c r="G2" s="64">
        <v>42.65</v>
      </c>
      <c r="H2" s="64">
        <v>48</v>
      </c>
      <c r="I2" s="65">
        <v>50</v>
      </c>
      <c r="J2" s="63">
        <v>13.6</v>
      </c>
      <c r="K2" s="64">
        <v>13.7</v>
      </c>
      <c r="L2" s="64">
        <v>28.7</v>
      </c>
      <c r="M2" s="64">
        <v>38</v>
      </c>
      <c r="N2" s="64">
        <v>40</v>
      </c>
      <c r="O2" s="17">
        <v>48</v>
      </c>
      <c r="P2" s="63">
        <v>13.7</v>
      </c>
      <c r="Q2" s="18">
        <v>17.8</v>
      </c>
      <c r="R2" s="64">
        <v>38</v>
      </c>
      <c r="S2" s="65">
        <v>40</v>
      </c>
      <c r="U2" s="66" t="s">
        <v>46</v>
      </c>
      <c r="V2" s="67" t="s">
        <v>47</v>
      </c>
      <c r="W2" s="68" t="s">
        <v>48</v>
      </c>
      <c r="X2" s="69" t="s">
        <v>49</v>
      </c>
      <c r="Z2" s="198" t="s">
        <v>50</v>
      </c>
      <c r="AA2" s="198"/>
      <c r="AB2" s="198"/>
      <c r="AC2" s="198"/>
      <c r="AD2" s="198"/>
      <c r="AE2" s="198"/>
      <c r="AF2" s="198"/>
      <c r="AG2" s="198"/>
    </row>
    <row r="3" spans="1:33" x14ac:dyDescent="0.25">
      <c r="A3" s="70" t="s">
        <v>46</v>
      </c>
      <c r="B3" s="71">
        <f t="shared" ref="B3:S3" si="0">1-B4</f>
        <v>1</v>
      </c>
      <c r="C3" s="72">
        <f t="shared" si="0"/>
        <v>1</v>
      </c>
      <c r="D3" s="72">
        <f t="shared" si="0"/>
        <v>1</v>
      </c>
      <c r="E3" s="72">
        <f t="shared" si="0"/>
        <v>1</v>
      </c>
      <c r="F3" s="72">
        <f t="shared" si="0"/>
        <v>1</v>
      </c>
      <c r="G3" s="72">
        <f t="shared" si="0"/>
        <v>1</v>
      </c>
      <c r="H3" s="72">
        <f t="shared" si="0"/>
        <v>1</v>
      </c>
      <c r="I3" s="73">
        <f t="shared" si="0"/>
        <v>1</v>
      </c>
      <c r="J3" s="71">
        <f t="shared" si="0"/>
        <v>1</v>
      </c>
      <c r="K3" s="72">
        <f t="shared" si="0"/>
        <v>1</v>
      </c>
      <c r="L3" s="72">
        <f t="shared" si="0"/>
        <v>1</v>
      </c>
      <c r="M3" s="72">
        <f t="shared" si="0"/>
        <v>1</v>
      </c>
      <c r="N3" s="72">
        <f t="shared" si="0"/>
        <v>1</v>
      </c>
      <c r="O3" s="74">
        <f t="shared" si="0"/>
        <v>1</v>
      </c>
      <c r="P3" s="71">
        <f t="shared" si="0"/>
        <v>1</v>
      </c>
      <c r="Q3" s="75">
        <f t="shared" si="0"/>
        <v>1</v>
      </c>
      <c r="R3" s="72">
        <f t="shared" si="0"/>
        <v>1</v>
      </c>
      <c r="S3" s="73">
        <f t="shared" si="0"/>
        <v>1</v>
      </c>
      <c r="U3" s="76" t="s">
        <v>1</v>
      </c>
      <c r="V3" s="77">
        <v>830</v>
      </c>
      <c r="W3" s="77">
        <f>V3</f>
        <v>830</v>
      </c>
      <c r="X3" s="78">
        <f>V3</f>
        <v>830</v>
      </c>
      <c r="Z3" s="199" t="s">
        <v>51</v>
      </c>
      <c r="AA3" s="199"/>
      <c r="AB3" s="199"/>
      <c r="AC3" s="199"/>
      <c r="AD3" s="199"/>
      <c r="AE3" s="199"/>
      <c r="AF3" s="199"/>
      <c r="AG3" s="199"/>
    </row>
    <row r="4" spans="1:33" x14ac:dyDescent="0.25">
      <c r="A4" s="80" t="s">
        <v>52</v>
      </c>
      <c r="B4" s="81">
        <v>0</v>
      </c>
      <c r="C4" s="82">
        <v>0</v>
      </c>
      <c r="D4" s="82">
        <v>0</v>
      </c>
      <c r="E4" s="82">
        <v>0</v>
      </c>
      <c r="F4" s="82">
        <v>0</v>
      </c>
      <c r="G4" s="82">
        <v>0</v>
      </c>
      <c r="H4" s="82">
        <v>0</v>
      </c>
      <c r="I4" s="83">
        <v>0</v>
      </c>
      <c r="J4" s="81">
        <v>0</v>
      </c>
      <c r="K4" s="82">
        <v>0</v>
      </c>
      <c r="L4" s="82">
        <v>0</v>
      </c>
      <c r="M4" s="82">
        <v>0</v>
      </c>
      <c r="N4" s="82">
        <v>0</v>
      </c>
      <c r="O4" s="84">
        <v>0</v>
      </c>
      <c r="P4" s="81">
        <v>0</v>
      </c>
      <c r="Q4" s="85">
        <v>0</v>
      </c>
      <c r="R4" s="82">
        <v>0</v>
      </c>
      <c r="S4" s="83">
        <v>0</v>
      </c>
      <c r="U4" s="76" t="s">
        <v>3</v>
      </c>
      <c r="V4" s="77">
        <v>925</v>
      </c>
      <c r="W4" s="77">
        <f>V4</f>
        <v>925</v>
      </c>
      <c r="X4" s="78">
        <f>V4</f>
        <v>925</v>
      </c>
      <c r="Z4" s="199" t="s">
        <v>53</v>
      </c>
      <c r="AA4" s="199"/>
      <c r="AB4" s="199"/>
      <c r="AC4" s="199"/>
      <c r="AD4" s="199"/>
      <c r="AE4" s="199"/>
      <c r="AF4" s="199"/>
      <c r="AG4" s="199"/>
    </row>
    <row r="5" spans="1:33" x14ac:dyDescent="0.25">
      <c r="A5" s="86" t="s">
        <v>32</v>
      </c>
      <c r="B5" s="87">
        <v>0.01</v>
      </c>
      <c r="C5" s="88">
        <v>0.01</v>
      </c>
      <c r="D5" s="88">
        <v>0.01</v>
      </c>
      <c r="E5" s="88">
        <v>0.01</v>
      </c>
      <c r="F5" s="88">
        <v>0.01</v>
      </c>
      <c r="G5" s="88">
        <v>0.01</v>
      </c>
      <c r="H5" s="88">
        <v>0.01</v>
      </c>
      <c r="I5" s="89">
        <v>0.01</v>
      </c>
      <c r="J5" s="87">
        <v>0.01</v>
      </c>
      <c r="K5" s="88">
        <v>0.01</v>
      </c>
      <c r="L5" s="88">
        <v>0.01</v>
      </c>
      <c r="M5" s="88">
        <v>0.01</v>
      </c>
      <c r="N5" s="88">
        <v>0.01</v>
      </c>
      <c r="O5" s="90">
        <v>0.01</v>
      </c>
      <c r="P5" s="87">
        <v>0.01</v>
      </c>
      <c r="Q5" s="91">
        <v>0.01</v>
      </c>
      <c r="R5" s="88">
        <v>0.01</v>
      </c>
      <c r="S5" s="89">
        <v>0.01</v>
      </c>
      <c r="U5" s="76" t="s">
        <v>5</v>
      </c>
      <c r="V5" s="77">
        <f>IF(V3&gt;V4,V4,IF((V4-V3)&gt;75,(V4-75),V3))</f>
        <v>850</v>
      </c>
      <c r="W5" s="77">
        <f>IF((W4-W3)&gt;75,(W4-75),W3)</f>
        <v>850</v>
      </c>
      <c r="X5" s="78">
        <f>IF((X4-X3)&gt;75,(X4-75),X3)</f>
        <v>850</v>
      </c>
    </row>
    <row r="6" spans="1:33" ht="13" x14ac:dyDescent="0.3">
      <c r="A6" s="92" t="s">
        <v>54</v>
      </c>
      <c r="B6" s="93">
        <f t="shared" ref="B6:I6" si="1">(($V$13*B3)+($V$19*B4))*(1+B5)</f>
        <v>6510.8774132039998</v>
      </c>
      <c r="C6" s="94">
        <f t="shared" si="1"/>
        <v>6510.8774132039998</v>
      </c>
      <c r="D6" s="94">
        <f t="shared" si="1"/>
        <v>6510.8774132039998</v>
      </c>
      <c r="E6" s="94">
        <f t="shared" si="1"/>
        <v>6510.8774132039998</v>
      </c>
      <c r="F6" s="94">
        <f t="shared" si="1"/>
        <v>6510.8774132039998</v>
      </c>
      <c r="G6" s="94">
        <f t="shared" si="1"/>
        <v>6510.8774132039998</v>
      </c>
      <c r="H6" s="94">
        <f t="shared" si="1"/>
        <v>6510.8774132039998</v>
      </c>
      <c r="I6" s="95">
        <f t="shared" si="1"/>
        <v>6510.8774132039998</v>
      </c>
      <c r="J6" s="93">
        <f t="shared" ref="J6:O6" si="2">(($W$13*J3)+($W$19*J4))*(1+J5)</f>
        <v>6424.2648935040006</v>
      </c>
      <c r="K6" s="94">
        <f t="shared" si="2"/>
        <v>6424.2648935040006</v>
      </c>
      <c r="L6" s="94">
        <f t="shared" si="2"/>
        <v>6424.2648935040006</v>
      </c>
      <c r="M6" s="94">
        <f t="shared" si="2"/>
        <v>6424.2648935040006</v>
      </c>
      <c r="N6" s="94">
        <f t="shared" si="2"/>
        <v>6424.2648935040006</v>
      </c>
      <c r="O6" s="96">
        <f t="shared" si="2"/>
        <v>6424.2648935040006</v>
      </c>
      <c r="P6" s="93">
        <f>(($X$13*P3)+($X$19*P4))*(1+P5)</f>
        <v>6597.4899329039999</v>
      </c>
      <c r="Q6" s="97">
        <f>(($X$13*Q3)+($X$19*Q4))*(1+Q5)</f>
        <v>6597.4899329039999</v>
      </c>
      <c r="R6" s="94">
        <f>(($X$13*R3)+($X$19*R4))*(1+R5)</f>
        <v>6597.4899329039999</v>
      </c>
      <c r="S6" s="95">
        <f>(($X$13*S3)+($X$19*S4))*(1+S5)</f>
        <v>6597.4899329039999</v>
      </c>
      <c r="U6" s="76" t="s">
        <v>55</v>
      </c>
      <c r="V6" s="177">
        <v>2.5000000000000001E-2</v>
      </c>
      <c r="W6" s="177">
        <v>0.04</v>
      </c>
      <c r="X6" s="98">
        <v>0.01</v>
      </c>
      <c r="Z6" s="64" t="s">
        <v>56</v>
      </c>
      <c r="AA6" s="64" t="s">
        <v>57</v>
      </c>
      <c r="AB6" s="64" t="s">
        <v>58</v>
      </c>
    </row>
    <row r="7" spans="1:33" x14ac:dyDescent="0.25">
      <c r="A7" s="92" t="s">
        <v>59</v>
      </c>
      <c r="B7" s="99">
        <f>B8/$X$1</f>
        <v>16.7101949346</v>
      </c>
      <c r="C7" s="5">
        <f t="shared" ref="C7:S7" si="3">C8/$X$1</f>
        <v>21.711056192399997</v>
      </c>
      <c r="D7" s="5">
        <f t="shared" si="3"/>
        <v>24.492022940639998</v>
      </c>
      <c r="E7" s="5">
        <f t="shared" si="3"/>
        <v>47.434998613619996</v>
      </c>
      <c r="F7" s="5">
        <f t="shared" si="3"/>
        <v>48.78889032</v>
      </c>
      <c r="G7" s="5">
        <f t="shared" si="3"/>
        <v>52.021154303700001</v>
      </c>
      <c r="H7" s="5">
        <f t="shared" si="3"/>
        <v>58.546668383999993</v>
      </c>
      <c r="I7" s="100">
        <f t="shared" si="3"/>
        <v>60.986112900000002</v>
      </c>
      <c r="J7" s="99">
        <f t="shared" si="3"/>
        <v>16.367553868800002</v>
      </c>
      <c r="K7" s="5">
        <f t="shared" si="3"/>
        <v>16.487903529599997</v>
      </c>
      <c r="L7" s="5">
        <f t="shared" si="3"/>
        <v>34.540352649600003</v>
      </c>
      <c r="M7" s="5">
        <f t="shared" si="3"/>
        <v>45.732871104000004</v>
      </c>
      <c r="N7" s="5">
        <f t="shared" si="3"/>
        <v>48.139864320000008</v>
      </c>
      <c r="O7" s="101">
        <f t="shared" si="3"/>
        <v>57.767837184000008</v>
      </c>
      <c r="P7" s="99">
        <f t="shared" si="3"/>
        <v>16.9324863396</v>
      </c>
      <c r="Q7" s="102">
        <f t="shared" si="3"/>
        <v>21.999872762399999</v>
      </c>
      <c r="R7" s="5">
        <f t="shared" si="3"/>
        <v>46.966020503999999</v>
      </c>
      <c r="S7" s="100">
        <f t="shared" si="3"/>
        <v>49.437916319999999</v>
      </c>
      <c r="U7" s="76" t="s">
        <v>60</v>
      </c>
      <c r="V7" s="77">
        <v>82.08</v>
      </c>
      <c r="W7" s="77">
        <f>V7</f>
        <v>82.08</v>
      </c>
      <c r="X7" s="78">
        <f>V7</f>
        <v>82.08</v>
      </c>
      <c r="Z7" s="103" t="s">
        <v>61</v>
      </c>
      <c r="AA7" s="79" t="s">
        <v>62</v>
      </c>
      <c r="AB7" s="88">
        <v>0</v>
      </c>
    </row>
    <row r="8" spans="1:33" x14ac:dyDescent="0.25">
      <c r="A8" s="86" t="s">
        <v>63</v>
      </c>
      <c r="B8" s="93">
        <f t="shared" ref="B8:S8" si="4">B6*(B2/1000)</f>
        <v>89.199020560894795</v>
      </c>
      <c r="C8" s="94">
        <f t="shared" si="4"/>
        <v>115.89361795503119</v>
      </c>
      <c r="D8" s="94">
        <f t="shared" si="4"/>
        <v>130.73841845713631</v>
      </c>
      <c r="E8" s="94">
        <f t="shared" si="4"/>
        <v>253.20802259950355</v>
      </c>
      <c r="F8" s="94">
        <f t="shared" si="4"/>
        <v>260.43509652815999</v>
      </c>
      <c r="G8" s="94">
        <f t="shared" si="4"/>
        <v>277.68892167315062</v>
      </c>
      <c r="H8" s="94">
        <f t="shared" si="4"/>
        <v>312.52211583379199</v>
      </c>
      <c r="I8" s="95">
        <f t="shared" si="4"/>
        <v>325.54387066020001</v>
      </c>
      <c r="J8" s="93">
        <f t="shared" si="4"/>
        <v>87.370002551654409</v>
      </c>
      <c r="K8" s="94">
        <f t="shared" si="4"/>
        <v>88.012429041004793</v>
      </c>
      <c r="L8" s="94">
        <f t="shared" si="4"/>
        <v>184.37640244356481</v>
      </c>
      <c r="M8" s="94">
        <f t="shared" ref="M8" si="5">M6*(M2/1000)</f>
        <v>244.12206595315203</v>
      </c>
      <c r="N8" s="94">
        <f t="shared" si="4"/>
        <v>256.97059574016004</v>
      </c>
      <c r="O8" s="96">
        <f t="shared" si="4"/>
        <v>308.36471488819205</v>
      </c>
      <c r="P8" s="93">
        <f t="shared" si="4"/>
        <v>90.385612080784796</v>
      </c>
      <c r="Q8" s="97">
        <f t="shared" si="4"/>
        <v>117.43532080569119</v>
      </c>
      <c r="R8" s="94">
        <f t="shared" si="4"/>
        <v>250.704617450352</v>
      </c>
      <c r="S8" s="95">
        <f t="shared" si="4"/>
        <v>263.89959731616</v>
      </c>
      <c r="U8" s="76" t="s">
        <v>64</v>
      </c>
      <c r="V8" s="104">
        <v>0.06</v>
      </c>
      <c r="W8" s="104">
        <v>0.06</v>
      </c>
      <c r="X8" s="105">
        <v>0.06</v>
      </c>
      <c r="Z8" s="103" t="s">
        <v>61</v>
      </c>
      <c r="AA8" s="79" t="s">
        <v>65</v>
      </c>
      <c r="AB8" s="88">
        <v>0.05</v>
      </c>
    </row>
    <row r="9" spans="1:33" x14ac:dyDescent="0.25">
      <c r="A9" s="86" t="s">
        <v>66</v>
      </c>
      <c r="B9" s="93">
        <v>24.0242662</v>
      </c>
      <c r="C9" s="94">
        <v>29.1358122</v>
      </c>
      <c r="D9" s="94">
        <v>29.1358122</v>
      </c>
      <c r="E9" s="94">
        <v>47.956524571999999</v>
      </c>
      <c r="F9" s="94">
        <v>47.956524571999999</v>
      </c>
      <c r="G9" s="94">
        <v>47.956524571999999</v>
      </c>
      <c r="H9" s="94">
        <v>47.956524571999999</v>
      </c>
      <c r="I9" s="95">
        <v>47.956524571999999</v>
      </c>
      <c r="J9" s="93">
        <v>24.0242662</v>
      </c>
      <c r="K9" s="94">
        <v>24.0242662</v>
      </c>
      <c r="L9" s="94">
        <v>36.291976599999998</v>
      </c>
      <c r="M9" s="94">
        <v>47.956524571999999</v>
      </c>
      <c r="N9" s="94">
        <v>47.956524571999999</v>
      </c>
      <c r="O9" s="96">
        <v>47.956524571999999</v>
      </c>
      <c r="P9" s="93">
        <v>24.0242662</v>
      </c>
      <c r="Q9" s="97">
        <v>29.1358122</v>
      </c>
      <c r="R9" s="94">
        <v>47.956524571999999</v>
      </c>
      <c r="S9" s="95">
        <v>47.956524571999999</v>
      </c>
      <c r="U9" s="76" t="s">
        <v>67</v>
      </c>
      <c r="V9" s="104">
        <v>0.2</v>
      </c>
      <c r="W9" s="104">
        <v>0.2</v>
      </c>
      <c r="X9" s="105">
        <v>0.2</v>
      </c>
      <c r="Z9" s="103" t="s">
        <v>61</v>
      </c>
      <c r="AA9" s="79" t="s">
        <v>68</v>
      </c>
      <c r="AB9" s="88">
        <v>0.1</v>
      </c>
    </row>
    <row r="10" spans="1:33" x14ac:dyDescent="0.25">
      <c r="A10" s="86" t="s">
        <v>69</v>
      </c>
      <c r="B10" s="106"/>
      <c r="C10" s="103"/>
      <c r="D10" s="103"/>
      <c r="E10" s="103"/>
      <c r="F10" s="103"/>
      <c r="G10" s="103"/>
      <c r="H10" s="103"/>
      <c r="I10" s="107"/>
      <c r="J10" s="106"/>
      <c r="K10" s="103"/>
      <c r="L10" s="103"/>
      <c r="M10" s="103"/>
      <c r="N10" s="103"/>
      <c r="O10" s="108"/>
      <c r="P10" s="99"/>
      <c r="Q10" s="102">
        <v>2.4300000000000002</v>
      </c>
      <c r="R10" s="5"/>
      <c r="S10" s="100"/>
      <c r="U10" s="76" t="s">
        <v>13</v>
      </c>
      <c r="V10" s="77">
        <f>85</f>
        <v>85</v>
      </c>
      <c r="W10" s="77">
        <f>85</f>
        <v>85</v>
      </c>
      <c r="X10" s="78">
        <f>85</f>
        <v>85</v>
      </c>
      <c r="Z10" s="103" t="s">
        <v>61</v>
      </c>
      <c r="AA10" s="79" t="s">
        <v>70</v>
      </c>
      <c r="AB10" s="88">
        <v>0.15</v>
      </c>
    </row>
    <row r="11" spans="1:33" x14ac:dyDescent="0.25">
      <c r="A11" s="86" t="s">
        <v>71</v>
      </c>
      <c r="B11" s="109">
        <f>$V$26</f>
        <v>2.5000000000000022E-3</v>
      </c>
      <c r="C11" s="110">
        <f t="shared" ref="C11:S11" si="6">$V$26</f>
        <v>2.5000000000000022E-3</v>
      </c>
      <c r="D11" s="110">
        <f t="shared" si="6"/>
        <v>2.5000000000000022E-3</v>
      </c>
      <c r="E11" s="110">
        <f t="shared" si="6"/>
        <v>2.5000000000000022E-3</v>
      </c>
      <c r="F11" s="110">
        <f t="shared" si="6"/>
        <v>2.5000000000000022E-3</v>
      </c>
      <c r="G11" s="110">
        <f t="shared" si="6"/>
        <v>2.5000000000000022E-3</v>
      </c>
      <c r="H11" s="110">
        <f t="shared" si="6"/>
        <v>2.5000000000000022E-3</v>
      </c>
      <c r="I11" s="111">
        <f t="shared" si="6"/>
        <v>2.5000000000000022E-3</v>
      </c>
      <c r="J11" s="109">
        <f t="shared" si="6"/>
        <v>2.5000000000000022E-3</v>
      </c>
      <c r="K11" s="110">
        <f t="shared" si="6"/>
        <v>2.5000000000000022E-3</v>
      </c>
      <c r="L11" s="110">
        <f t="shared" si="6"/>
        <v>2.5000000000000022E-3</v>
      </c>
      <c r="M11" s="110">
        <f t="shared" si="6"/>
        <v>2.5000000000000022E-3</v>
      </c>
      <c r="N11" s="110">
        <f t="shared" si="6"/>
        <v>2.5000000000000022E-3</v>
      </c>
      <c r="O11" s="112">
        <f t="shared" si="6"/>
        <v>2.5000000000000022E-3</v>
      </c>
      <c r="P11" s="109">
        <f t="shared" si="6"/>
        <v>2.5000000000000022E-3</v>
      </c>
      <c r="Q11" s="113">
        <f t="shared" si="6"/>
        <v>2.5000000000000022E-3</v>
      </c>
      <c r="R11" s="110">
        <f t="shared" si="6"/>
        <v>2.5000000000000022E-3</v>
      </c>
      <c r="S11" s="111">
        <f t="shared" si="6"/>
        <v>2.5000000000000022E-3</v>
      </c>
      <c r="U11" s="76" t="s">
        <v>89</v>
      </c>
      <c r="V11" s="77">
        <f>-25</f>
        <v>-25</v>
      </c>
      <c r="W11" s="77">
        <v>-25</v>
      </c>
      <c r="X11" s="78">
        <v>-25</v>
      </c>
    </row>
    <row r="12" spans="1:33" ht="13" x14ac:dyDescent="0.3">
      <c r="A12" s="62" t="s">
        <v>73</v>
      </c>
      <c r="B12" s="116">
        <f>(B8+B9+(B10*$X$1))*(1+B11)</f>
        <v>113.50634497779703</v>
      </c>
      <c r="C12" s="117">
        <f t="shared" ref="C12:S12" si="7">(C8+C9+(C10*$X$1))*(1+C11)</f>
        <v>145.39200373041874</v>
      </c>
      <c r="D12" s="117">
        <f t="shared" si="7"/>
        <v>160.27391623377915</v>
      </c>
      <c r="E12" s="117">
        <f t="shared" si="7"/>
        <v>301.91745853943229</v>
      </c>
      <c r="F12" s="117">
        <f t="shared" si="7"/>
        <v>309.16260015291033</v>
      </c>
      <c r="G12" s="117">
        <f t="shared" si="7"/>
        <v>326.45955986076348</v>
      </c>
      <c r="H12" s="117">
        <f t="shared" si="7"/>
        <v>361.37983700680644</v>
      </c>
      <c r="I12" s="118">
        <f t="shared" si="7"/>
        <v>374.43414622028047</v>
      </c>
      <c r="J12" s="119">
        <f t="shared" si="7"/>
        <v>111.67275442353353</v>
      </c>
      <c r="K12" s="120">
        <f t="shared" si="7"/>
        <v>112.31678697910731</v>
      </c>
      <c r="L12" s="120">
        <f t="shared" si="7"/>
        <v>221.22004999117371</v>
      </c>
      <c r="M12" s="120">
        <f t="shared" ref="M12" si="8">(M8+M9+(M10*$X$1))*(1+M11)</f>
        <v>292.80878700146491</v>
      </c>
      <c r="N12" s="120">
        <f t="shared" si="7"/>
        <v>305.68943811294042</v>
      </c>
      <c r="O12" s="121">
        <f t="shared" si="7"/>
        <v>357.21204255884248</v>
      </c>
      <c r="P12" s="122">
        <f t="shared" si="7"/>
        <v>114.69590297648675</v>
      </c>
      <c r="Q12" s="123">
        <f t="shared" si="7"/>
        <v>159.9413291882054</v>
      </c>
      <c r="R12" s="124">
        <f t="shared" si="7"/>
        <v>299.40779487740787</v>
      </c>
      <c r="S12" s="125">
        <f t="shared" si="7"/>
        <v>312.63576219288035</v>
      </c>
      <c r="U12" s="114" t="s">
        <v>72</v>
      </c>
      <c r="V12" s="178">
        <f>(((V5*(1-V6))+V7)*(1+(V8+V9)))+V10+V11</f>
        <v>1207.6458</v>
      </c>
      <c r="W12" s="178">
        <f t="shared" ref="W12:X12" si="9">(((W5*(1-W6))+W7)*(1+(W8+W9)))+W10+W11</f>
        <v>1191.5808</v>
      </c>
      <c r="X12" s="115">
        <f t="shared" si="9"/>
        <v>1223.7108000000001</v>
      </c>
    </row>
    <row r="13" spans="1:33" ht="13.5" thickBot="1" x14ac:dyDescent="0.35">
      <c r="A13" s="86" t="s">
        <v>75</v>
      </c>
      <c r="B13" s="129">
        <v>9.2499999999999999E-2</v>
      </c>
      <c r="C13" s="130">
        <v>9.2499999999999999E-2</v>
      </c>
      <c r="D13" s="130">
        <v>9.2499999999999999E-2</v>
      </c>
      <c r="E13" s="130">
        <v>9.2499999999999999E-2</v>
      </c>
      <c r="F13" s="130">
        <v>9.2499999999999999E-2</v>
      </c>
      <c r="G13" s="130">
        <v>9.2499999999999999E-2</v>
      </c>
      <c r="H13" s="130">
        <v>9.2499999999999999E-2</v>
      </c>
      <c r="I13" s="131">
        <v>9.2499999999999999E-2</v>
      </c>
      <c r="J13" s="129">
        <v>9.2499999999999999E-2</v>
      </c>
      <c r="K13" s="130">
        <v>9.2499999999999999E-2</v>
      </c>
      <c r="L13" s="130">
        <v>9.2499999999999999E-2</v>
      </c>
      <c r="M13" s="130">
        <v>9.2499999999999999E-2</v>
      </c>
      <c r="N13" s="130">
        <v>9.2499999999999999E-2</v>
      </c>
      <c r="O13" s="132">
        <v>9.2499999999999999E-2</v>
      </c>
      <c r="P13" s="129">
        <v>9.2499999999999999E-2</v>
      </c>
      <c r="Q13" s="133">
        <v>9.2499999999999999E-2</v>
      </c>
      <c r="R13" s="130">
        <v>9.2499999999999999E-2</v>
      </c>
      <c r="S13" s="131">
        <v>9.2499999999999999E-2</v>
      </c>
      <c r="U13" s="126" t="s">
        <v>74</v>
      </c>
      <c r="V13" s="127">
        <f>V12*$X$1</f>
        <v>6446.4132804000001</v>
      </c>
      <c r="W13" s="127">
        <f>W12*$X$1</f>
        <v>6360.6583104000001</v>
      </c>
      <c r="X13" s="128">
        <f>X12*$X$1</f>
        <v>6532.1682504</v>
      </c>
    </row>
    <row r="14" spans="1:33" ht="13" thickBot="1" x14ac:dyDescent="0.3">
      <c r="A14" s="86" t="s">
        <v>36</v>
      </c>
      <c r="B14" s="87">
        <v>0.22</v>
      </c>
      <c r="C14" s="88">
        <v>0.22</v>
      </c>
      <c r="D14" s="88">
        <v>0.22</v>
      </c>
      <c r="E14" s="88">
        <v>0.22</v>
      </c>
      <c r="F14" s="88">
        <v>0.22</v>
      </c>
      <c r="G14" s="88">
        <v>0.22</v>
      </c>
      <c r="H14" s="88">
        <v>0.22</v>
      </c>
      <c r="I14" s="89">
        <v>0.22</v>
      </c>
      <c r="J14" s="135">
        <v>0.20499999999999999</v>
      </c>
      <c r="K14" s="136">
        <v>0.20499999999999999</v>
      </c>
      <c r="L14" s="136">
        <v>0.20499999999999999</v>
      </c>
      <c r="M14" s="136">
        <v>0.20499999999999999</v>
      </c>
      <c r="N14" s="136">
        <v>0.20499999999999999</v>
      </c>
      <c r="O14" s="137">
        <v>0.20499999999999999</v>
      </c>
      <c r="P14" s="87">
        <v>0.18</v>
      </c>
      <c r="Q14" s="91">
        <v>0.18</v>
      </c>
      <c r="R14" s="88">
        <v>0.18</v>
      </c>
      <c r="S14" s="89">
        <v>0.18</v>
      </c>
      <c r="V14" s="134"/>
      <c r="W14" s="134"/>
      <c r="X14" s="134"/>
    </row>
    <row r="15" spans="1:33" ht="13" x14ac:dyDescent="0.3">
      <c r="A15" s="62" t="s">
        <v>76</v>
      </c>
      <c r="B15" s="139">
        <f>(B12/(1-B13))/(1-B14)</f>
        <v>160.35366953139371</v>
      </c>
      <c r="C15" s="140">
        <f t="shared" ref="C15:S15" si="10">(C12/(1-C13))/(1-C14)</f>
        <v>205.39945430588222</v>
      </c>
      <c r="D15" s="140">
        <f t="shared" si="10"/>
        <v>226.42355899382517</v>
      </c>
      <c r="E15" s="140">
        <f t="shared" si="10"/>
        <v>426.52745431861592</v>
      </c>
      <c r="F15" s="140">
        <f t="shared" si="10"/>
        <v>436.76287370616706</v>
      </c>
      <c r="G15" s="140">
        <f t="shared" si="10"/>
        <v>461.19878485662707</v>
      </c>
      <c r="H15" s="140">
        <f t="shared" si="10"/>
        <v>510.53166208491405</v>
      </c>
      <c r="I15" s="141">
        <f t="shared" si="10"/>
        <v>528.97385917960082</v>
      </c>
      <c r="J15" s="139">
        <f t="shared" si="10"/>
        <v>154.78663745313656</v>
      </c>
      <c r="K15" s="140">
        <f t="shared" si="10"/>
        <v>155.67931386469471</v>
      </c>
      <c r="L15" s="140">
        <f t="shared" si="10"/>
        <v>306.6272328654278</v>
      </c>
      <c r="M15" s="140">
        <f t="shared" ref="M15" si="11">(M12/(1-M13))/(1-M14)</f>
        <v>405.85447892505141</v>
      </c>
      <c r="N15" s="140">
        <f t="shared" si="10"/>
        <v>423.70800715621448</v>
      </c>
      <c r="O15" s="142">
        <f t="shared" si="10"/>
        <v>495.12212008086692</v>
      </c>
      <c r="P15" s="139">
        <f t="shared" si="10"/>
        <v>154.1300853006608</v>
      </c>
      <c r="Q15" s="143">
        <f t="shared" si="10"/>
        <v>214.93157184466224</v>
      </c>
      <c r="R15" s="140">
        <f t="shared" si="10"/>
        <v>402.34871313230917</v>
      </c>
      <c r="S15" s="141">
        <f t="shared" si="10"/>
        <v>420.12465523467085</v>
      </c>
      <c r="U15" s="138" t="s">
        <v>52</v>
      </c>
      <c r="V15" s="67" t="s">
        <v>47</v>
      </c>
      <c r="W15" s="68" t="s">
        <v>48</v>
      </c>
      <c r="X15" s="69" t="s">
        <v>49</v>
      </c>
    </row>
    <row r="16" spans="1:33" x14ac:dyDescent="0.25">
      <c r="A16" s="76"/>
      <c r="B16" s="146"/>
      <c r="I16" s="147"/>
      <c r="J16" s="146"/>
      <c r="P16" s="106"/>
      <c r="Q16" s="148"/>
      <c r="R16" s="103"/>
      <c r="S16" s="107"/>
      <c r="U16" s="76" t="s">
        <v>77</v>
      </c>
      <c r="V16" s="144">
        <f>3.7*1000</f>
        <v>3700</v>
      </c>
      <c r="W16" s="144">
        <f>4*1000</f>
        <v>4000</v>
      </c>
      <c r="X16" s="145">
        <f>V16</f>
        <v>3700</v>
      </c>
    </row>
    <row r="17" spans="1:26" x14ac:dyDescent="0.25">
      <c r="A17" s="86" t="s">
        <v>75</v>
      </c>
      <c r="B17" s="129">
        <v>9.2499999999999999E-2</v>
      </c>
      <c r="C17" s="130">
        <v>9.2499999999999999E-2</v>
      </c>
      <c r="D17" s="130">
        <v>9.2499999999999999E-2</v>
      </c>
      <c r="E17" s="130">
        <v>9.2499999999999999E-2</v>
      </c>
      <c r="F17" s="130">
        <v>9.2499999999999999E-2</v>
      </c>
      <c r="G17" s="130">
        <v>9.2499999999999999E-2</v>
      </c>
      <c r="H17" s="130">
        <v>9.2499999999999999E-2</v>
      </c>
      <c r="I17" s="131">
        <v>9.2499999999999999E-2</v>
      </c>
      <c r="J17" s="129">
        <v>9.2499999999999999E-2</v>
      </c>
      <c r="K17" s="130">
        <v>9.2499999999999999E-2</v>
      </c>
      <c r="L17" s="130">
        <v>9.2499999999999999E-2</v>
      </c>
      <c r="M17" s="130">
        <v>9.2499999999999999E-2</v>
      </c>
      <c r="N17" s="130">
        <v>9.2499999999999999E-2</v>
      </c>
      <c r="O17" s="132">
        <v>9.2499999999999999E-2</v>
      </c>
      <c r="P17" s="129">
        <v>9.2499999999999999E-2</v>
      </c>
      <c r="Q17" s="133">
        <v>9.2499999999999999E-2</v>
      </c>
      <c r="R17" s="130">
        <v>9.2499999999999999E-2</v>
      </c>
      <c r="S17" s="131">
        <v>9.2499999999999999E-2</v>
      </c>
      <c r="U17" s="76" t="s">
        <v>78</v>
      </c>
      <c r="V17" s="104">
        <v>0.7</v>
      </c>
      <c r="W17" s="104">
        <v>0.7</v>
      </c>
      <c r="X17" s="105">
        <v>0.7</v>
      </c>
    </row>
    <row r="18" spans="1:26" x14ac:dyDescent="0.25">
      <c r="A18" s="86" t="s">
        <v>36</v>
      </c>
      <c r="B18" s="87">
        <v>0.12</v>
      </c>
      <c r="C18" s="88">
        <v>0.12</v>
      </c>
      <c r="D18" s="88">
        <v>0.12</v>
      </c>
      <c r="E18" s="88">
        <v>0.12</v>
      </c>
      <c r="F18" s="88">
        <v>0.12</v>
      </c>
      <c r="G18" s="88">
        <v>0.12</v>
      </c>
      <c r="H18" s="88">
        <v>0.12</v>
      </c>
      <c r="I18" s="89">
        <v>0.12</v>
      </c>
      <c r="J18" s="87">
        <v>0.12</v>
      </c>
      <c r="K18" s="88">
        <v>0.12</v>
      </c>
      <c r="L18" s="88">
        <v>0.12</v>
      </c>
      <c r="M18" s="88">
        <v>0.12</v>
      </c>
      <c r="N18" s="88">
        <v>0.12</v>
      </c>
      <c r="O18" s="90">
        <v>0.12</v>
      </c>
      <c r="P18" s="87">
        <v>0.12</v>
      </c>
      <c r="Q18" s="91">
        <v>0.12</v>
      </c>
      <c r="R18" s="88">
        <v>0.12</v>
      </c>
      <c r="S18" s="89">
        <v>0.12</v>
      </c>
      <c r="U18" s="76" t="s">
        <v>79</v>
      </c>
      <c r="V18" s="144">
        <v>2476.738275748</v>
      </c>
      <c r="W18" s="144">
        <v>2476.738275748</v>
      </c>
      <c r="X18" s="145">
        <v>2476.738275748</v>
      </c>
    </row>
    <row r="19" spans="1:26" ht="13" x14ac:dyDescent="0.3">
      <c r="A19" s="62" t="s">
        <v>76</v>
      </c>
      <c r="B19" s="139">
        <f>(B12/(1-B17))/(1-B18)</f>
        <v>142.13166163009896</v>
      </c>
      <c r="C19" s="140">
        <f t="shared" ref="C19:S19" si="12">(C12/(1-C17))/(1-C18)</f>
        <v>182.05860722566834</v>
      </c>
      <c r="D19" s="140">
        <f t="shared" si="12"/>
        <v>200.69360910816323</v>
      </c>
      <c r="E19" s="140">
        <f t="shared" si="12"/>
        <v>378.05842541877325</v>
      </c>
      <c r="F19" s="140">
        <f t="shared" si="12"/>
        <v>387.13072896682991</v>
      </c>
      <c r="G19" s="140">
        <f t="shared" si="12"/>
        <v>408.78983203201034</v>
      </c>
      <c r="H19" s="140">
        <f t="shared" si="12"/>
        <v>452.51670048435568</v>
      </c>
      <c r="I19" s="141">
        <f t="shared" si="12"/>
        <v>468.86319336373714</v>
      </c>
      <c r="J19" s="139">
        <f t="shared" si="12"/>
        <v>139.83565542641315</v>
      </c>
      <c r="K19" s="140">
        <f t="shared" si="12"/>
        <v>140.64210741185488</v>
      </c>
      <c r="L19" s="140">
        <f t="shared" si="12"/>
        <v>277.00982969092627</v>
      </c>
      <c r="M19" s="140">
        <f t="shared" ref="M19" si="13">(M12/(1-M17))/(1-M18)</f>
        <v>366.65262584706352</v>
      </c>
      <c r="N19" s="140">
        <f t="shared" si="12"/>
        <v>382.78166555589831</v>
      </c>
      <c r="O19" s="142">
        <f t="shared" si="12"/>
        <v>447.29782439123778</v>
      </c>
      <c r="P19" s="139">
        <f t="shared" si="12"/>
        <v>143.62121584834304</v>
      </c>
      <c r="Q19" s="143">
        <f t="shared" si="12"/>
        <v>200.27714649161709</v>
      </c>
      <c r="R19" s="140">
        <f t="shared" si="12"/>
        <v>374.91584632783355</v>
      </c>
      <c r="S19" s="141">
        <f t="shared" si="12"/>
        <v>391.47979237776156</v>
      </c>
      <c r="U19" s="149" t="s">
        <v>80</v>
      </c>
      <c r="V19" s="150">
        <f>(V16/V17)+V18</f>
        <v>7762.4525614622862</v>
      </c>
      <c r="W19" s="150">
        <f t="shared" ref="W19:X19" si="14">(W16/W17)+W18</f>
        <v>8191.0239900337147</v>
      </c>
      <c r="X19" s="151">
        <f t="shared" si="14"/>
        <v>7762.4525614622862</v>
      </c>
      <c r="Z19" s="155"/>
    </row>
    <row r="20" spans="1:26" ht="13.5" thickBot="1" x14ac:dyDescent="0.35">
      <c r="A20" s="76"/>
      <c r="B20" s="146"/>
      <c r="I20" s="147"/>
      <c r="J20" s="156"/>
      <c r="K20" s="157"/>
      <c r="L20" s="157"/>
      <c r="M20" s="157"/>
      <c r="N20" s="157"/>
      <c r="O20" s="157"/>
      <c r="P20" s="156"/>
      <c r="Q20" s="157"/>
      <c r="R20" s="157"/>
      <c r="S20" s="158"/>
      <c r="U20" s="152" t="s">
        <v>81</v>
      </c>
      <c r="V20" s="153">
        <f>V19/$X$1</f>
        <v>1454.1874412630734</v>
      </c>
      <c r="W20" s="153">
        <f>W19/$X$1</f>
        <v>1534.4743330898677</v>
      </c>
      <c r="X20" s="154">
        <f>X19/$X$1</f>
        <v>1454.1874412630734</v>
      </c>
      <c r="Z20" s="159"/>
    </row>
    <row r="21" spans="1:26" x14ac:dyDescent="0.25">
      <c r="A21" s="86" t="s">
        <v>75</v>
      </c>
      <c r="B21" s="129">
        <v>9.2499999999999999E-2</v>
      </c>
      <c r="C21" s="130">
        <v>9.2499999999999999E-2</v>
      </c>
      <c r="D21" s="130">
        <v>9.2499999999999999E-2</v>
      </c>
      <c r="E21" s="130">
        <v>9.2499999999999999E-2</v>
      </c>
      <c r="F21" s="130">
        <v>9.2499999999999999E-2</v>
      </c>
      <c r="G21" s="130">
        <v>9.2499999999999999E-2</v>
      </c>
      <c r="H21" s="130">
        <v>9.2499999999999999E-2</v>
      </c>
      <c r="I21" s="131">
        <v>9.2499999999999999E-2</v>
      </c>
      <c r="J21" s="76"/>
      <c r="K21"/>
      <c r="L21" s="103" t="s">
        <v>82</v>
      </c>
      <c r="M21"/>
      <c r="N21"/>
      <c r="O21"/>
      <c r="P21" s="129">
        <v>9.2499999999999999E-2</v>
      </c>
      <c r="Q21" s="133">
        <v>9.2499999999999999E-2</v>
      </c>
      <c r="R21" s="130">
        <v>9.2499999999999999E-2</v>
      </c>
      <c r="S21" s="131">
        <v>9.2499999999999999E-2</v>
      </c>
      <c r="V21" s="196">
        <f>(V19-V13)/V13</f>
        <v>0.20415062203095763</v>
      </c>
      <c r="W21" s="196">
        <f t="shared" ref="W21:X21" si="15">(W19-W13)/W13</f>
        <v>0.28776356004550246</v>
      </c>
      <c r="X21" s="196">
        <f t="shared" si="15"/>
        <v>0.18834241003926211</v>
      </c>
    </row>
    <row r="22" spans="1:26" x14ac:dyDescent="0.25">
      <c r="A22" s="86" t="s">
        <v>36</v>
      </c>
      <c r="B22" s="87">
        <v>7.0000000000000007E-2</v>
      </c>
      <c r="C22" s="88">
        <v>7.0000000000000007E-2</v>
      </c>
      <c r="D22" s="88">
        <v>7.0000000000000007E-2</v>
      </c>
      <c r="E22" s="88">
        <v>7.0000000000000007E-2</v>
      </c>
      <c r="F22" s="88">
        <v>7.0000000000000007E-2</v>
      </c>
      <c r="G22" s="88">
        <v>7.0000000000000007E-2</v>
      </c>
      <c r="H22" s="88">
        <v>7.0000000000000007E-2</v>
      </c>
      <c r="I22" s="89">
        <v>7.0000000000000007E-2</v>
      </c>
      <c r="J22" s="76"/>
      <c r="K22"/>
      <c r="L22" s="94">
        <f>L12*(1+12%)</f>
        <v>247.76645599011457</v>
      </c>
      <c r="M22"/>
      <c r="N22"/>
      <c r="O22"/>
      <c r="P22" s="87">
        <v>7.0000000000000007E-2</v>
      </c>
      <c r="Q22" s="91">
        <v>7.0000000000000007E-2</v>
      </c>
      <c r="R22" s="88">
        <v>7.0000000000000007E-2</v>
      </c>
      <c r="S22" s="89">
        <v>7.0000000000000007E-2</v>
      </c>
      <c r="U22" s="160" t="s">
        <v>83</v>
      </c>
      <c r="V22" s="103">
        <v>120</v>
      </c>
    </row>
    <row r="23" spans="1:26" ht="13.5" thickBot="1" x14ac:dyDescent="0.35">
      <c r="A23" s="163" t="s">
        <v>76</v>
      </c>
      <c r="B23" s="164">
        <f>(B12/(1-B21))/(1-B22)</f>
        <v>134.49017444568506</v>
      </c>
      <c r="C23" s="165">
        <f t="shared" ref="C23:I23" si="16">(C12/(1-C21))/(1-C22)</f>
        <v>172.270510062998</v>
      </c>
      <c r="D23" s="165">
        <f t="shared" si="16"/>
        <v>189.90363012385339</v>
      </c>
      <c r="E23" s="165">
        <f t="shared" si="16"/>
        <v>357.732703622065</v>
      </c>
      <c r="F23" s="165">
        <f t="shared" si="16"/>
        <v>366.31724891484981</v>
      </c>
      <c r="G23" s="165">
        <f t="shared" si="16"/>
        <v>386.81188407330012</v>
      </c>
      <c r="H23" s="165">
        <f t="shared" si="16"/>
        <v>428.18784561960541</v>
      </c>
      <c r="I23" s="166">
        <f t="shared" si="16"/>
        <v>443.65549479579431</v>
      </c>
      <c r="J23" s="167"/>
      <c r="K23" s="168"/>
      <c r="L23" s="168"/>
      <c r="M23" s="168"/>
      <c r="N23" s="168"/>
      <c r="O23" s="168"/>
      <c r="P23" s="164">
        <f>(P12/(1-P21))/(1-P22)</f>
        <v>135.89964510380847</v>
      </c>
      <c r="Q23" s="195">
        <f t="shared" ref="Q23:S23" si="17">(Q12/(1-Q21))/(1-Q22)</f>
        <v>189.50955797056244</v>
      </c>
      <c r="R23" s="165">
        <f t="shared" si="17"/>
        <v>354.75908039622965</v>
      </c>
      <c r="S23" s="166">
        <f t="shared" si="17"/>
        <v>370.43249171229053</v>
      </c>
      <c r="U23" s="161" t="s">
        <v>84</v>
      </c>
      <c r="V23" s="162">
        <v>0.15</v>
      </c>
    </row>
    <row r="24" spans="1:26" ht="13" thickBot="1" x14ac:dyDescent="0.3">
      <c r="U24" s="161" t="s">
        <v>85</v>
      </c>
      <c r="V24" s="162">
        <v>0.14249999999999999</v>
      </c>
      <c r="W24" s="169"/>
      <c r="X24" s="170"/>
      <c r="Z24" s="77"/>
    </row>
    <row r="25" spans="1:26" ht="13" x14ac:dyDescent="0.3">
      <c r="A25" s="47" t="s">
        <v>40</v>
      </c>
      <c r="B25" s="48" t="s">
        <v>41</v>
      </c>
      <c r="C25" s="49" t="s">
        <v>41</v>
      </c>
      <c r="D25" s="49" t="s">
        <v>41</v>
      </c>
      <c r="E25" s="49" t="s">
        <v>41</v>
      </c>
      <c r="F25" s="49" t="s">
        <v>41</v>
      </c>
      <c r="G25" s="49" t="s">
        <v>41</v>
      </c>
      <c r="H25" s="49" t="s">
        <v>41</v>
      </c>
      <c r="I25" s="50" t="s">
        <v>41</v>
      </c>
      <c r="J25" s="51" t="s">
        <v>42</v>
      </c>
      <c r="K25" s="52" t="s">
        <v>42</v>
      </c>
      <c r="L25" s="52" t="s">
        <v>42</v>
      </c>
      <c r="M25" s="52" t="s">
        <v>42</v>
      </c>
      <c r="N25" s="52" t="s">
        <v>42</v>
      </c>
      <c r="O25" s="172" t="s">
        <v>42</v>
      </c>
      <c r="P25" s="54" t="s">
        <v>43</v>
      </c>
      <c r="Q25" s="55" t="s">
        <v>43</v>
      </c>
      <c r="R25" s="56" t="s">
        <v>43</v>
      </c>
      <c r="S25" s="57" t="s">
        <v>43</v>
      </c>
      <c r="U25" s="161" t="s">
        <v>86</v>
      </c>
      <c r="V25" s="162">
        <f>IF((V23-V24)&lt;0,0,(V23-V24))</f>
        <v>7.5000000000000067E-3</v>
      </c>
      <c r="W25" s="77"/>
      <c r="X25" s="171"/>
    </row>
    <row r="26" spans="1:26" ht="13" x14ac:dyDescent="0.3">
      <c r="A26" s="62" t="s">
        <v>45</v>
      </c>
      <c r="B26" s="63">
        <v>13.7</v>
      </c>
      <c r="C26" s="64">
        <v>17.8</v>
      </c>
      <c r="D26" s="64">
        <v>20.079999999999998</v>
      </c>
      <c r="E26" s="64">
        <v>38.89</v>
      </c>
      <c r="F26" s="64">
        <v>40</v>
      </c>
      <c r="G26" s="64">
        <v>42.65</v>
      </c>
      <c r="H26" s="64">
        <v>48</v>
      </c>
      <c r="I26" s="65">
        <v>50</v>
      </c>
      <c r="J26" s="63">
        <v>13.6</v>
      </c>
      <c r="K26" s="64">
        <v>13.7</v>
      </c>
      <c r="L26" s="64">
        <v>28.7</v>
      </c>
      <c r="M26" s="64">
        <v>38</v>
      </c>
      <c r="N26" s="64">
        <v>40</v>
      </c>
      <c r="O26" s="65">
        <v>48</v>
      </c>
      <c r="P26" s="63">
        <v>13.7</v>
      </c>
      <c r="Q26" s="18">
        <v>17.8</v>
      </c>
      <c r="R26" s="64">
        <v>38</v>
      </c>
      <c r="S26" s="65">
        <v>40</v>
      </c>
      <c r="U26" s="173" t="s">
        <v>87</v>
      </c>
      <c r="V26" s="174">
        <f>(V25/360)*V22</f>
        <v>2.5000000000000022E-3</v>
      </c>
      <c r="X26" s="170"/>
    </row>
    <row r="27" spans="1:26" x14ac:dyDescent="0.25">
      <c r="A27" s="70" t="s">
        <v>46</v>
      </c>
      <c r="B27" s="71">
        <f t="shared" ref="B27:S27" si="18">1-B28</f>
        <v>0</v>
      </c>
      <c r="C27" s="72">
        <f t="shared" si="18"/>
        <v>0</v>
      </c>
      <c r="D27" s="72">
        <f t="shared" si="18"/>
        <v>0</v>
      </c>
      <c r="E27" s="72">
        <f t="shared" si="18"/>
        <v>0</v>
      </c>
      <c r="F27" s="72">
        <f t="shared" si="18"/>
        <v>0</v>
      </c>
      <c r="G27" s="72">
        <f t="shared" si="18"/>
        <v>0</v>
      </c>
      <c r="H27" s="72">
        <f t="shared" si="18"/>
        <v>0</v>
      </c>
      <c r="I27" s="73">
        <f t="shared" si="18"/>
        <v>0</v>
      </c>
      <c r="J27" s="71">
        <f t="shared" si="18"/>
        <v>0</v>
      </c>
      <c r="K27" s="72">
        <f t="shared" si="18"/>
        <v>0</v>
      </c>
      <c r="L27" s="72">
        <f t="shared" si="18"/>
        <v>0</v>
      </c>
      <c r="M27" s="72">
        <f t="shared" si="18"/>
        <v>0</v>
      </c>
      <c r="N27" s="72">
        <f t="shared" si="18"/>
        <v>0</v>
      </c>
      <c r="O27" s="73">
        <f t="shared" si="18"/>
        <v>0</v>
      </c>
      <c r="P27" s="71">
        <f t="shared" si="18"/>
        <v>0</v>
      </c>
      <c r="Q27" s="75">
        <f t="shared" si="18"/>
        <v>0</v>
      </c>
      <c r="R27" s="72">
        <f t="shared" si="18"/>
        <v>0</v>
      </c>
      <c r="S27" s="73">
        <f t="shared" si="18"/>
        <v>0</v>
      </c>
      <c r="W27" s="169"/>
    </row>
    <row r="28" spans="1:26" x14ac:dyDescent="0.25">
      <c r="A28" s="80" t="s">
        <v>52</v>
      </c>
      <c r="B28" s="81">
        <v>1</v>
      </c>
      <c r="C28" s="82">
        <v>1</v>
      </c>
      <c r="D28" s="82">
        <v>1</v>
      </c>
      <c r="E28" s="82">
        <v>1</v>
      </c>
      <c r="F28" s="82">
        <v>1</v>
      </c>
      <c r="G28" s="82">
        <v>1</v>
      </c>
      <c r="H28" s="82">
        <v>1</v>
      </c>
      <c r="I28" s="83">
        <v>1</v>
      </c>
      <c r="J28" s="81">
        <v>1</v>
      </c>
      <c r="K28" s="82">
        <v>1</v>
      </c>
      <c r="L28" s="82">
        <v>1</v>
      </c>
      <c r="M28" s="82">
        <v>1</v>
      </c>
      <c r="N28" s="82">
        <v>1</v>
      </c>
      <c r="O28" s="83">
        <v>1</v>
      </c>
      <c r="P28" s="81">
        <v>1</v>
      </c>
      <c r="Q28" s="85">
        <v>1</v>
      </c>
      <c r="R28" s="82">
        <v>1</v>
      </c>
      <c r="S28" s="83">
        <v>1</v>
      </c>
      <c r="V28" s="170"/>
    </row>
    <row r="29" spans="1:26" x14ac:dyDescent="0.25">
      <c r="A29" s="86" t="s">
        <v>32</v>
      </c>
      <c r="B29" s="87">
        <v>0.01</v>
      </c>
      <c r="C29" s="88">
        <v>0.01</v>
      </c>
      <c r="D29" s="88">
        <v>0.01</v>
      </c>
      <c r="E29" s="88">
        <v>0.01</v>
      </c>
      <c r="F29" s="88">
        <v>0.01</v>
      </c>
      <c r="G29" s="88">
        <v>0.01</v>
      </c>
      <c r="H29" s="88">
        <v>0.01</v>
      </c>
      <c r="I29" s="89">
        <v>0.01</v>
      </c>
      <c r="J29" s="87">
        <v>0.01</v>
      </c>
      <c r="K29" s="88">
        <v>0.01</v>
      </c>
      <c r="L29" s="88">
        <v>0.01</v>
      </c>
      <c r="M29" s="88">
        <v>0.01</v>
      </c>
      <c r="N29" s="88">
        <v>0.01</v>
      </c>
      <c r="O29" s="89">
        <v>0.01</v>
      </c>
      <c r="P29" s="87">
        <v>0.01</v>
      </c>
      <c r="Q29" s="91">
        <v>0.01</v>
      </c>
      <c r="R29" s="88">
        <v>0.01</v>
      </c>
      <c r="S29" s="89">
        <v>0.01</v>
      </c>
    </row>
    <row r="30" spans="1:26" x14ac:dyDescent="0.25">
      <c r="A30" s="92" t="s">
        <v>54</v>
      </c>
      <c r="B30" s="93">
        <f>(($V$13*B27)+($V$19*B28))*(1+B29)</f>
        <v>7840.0770870769093</v>
      </c>
      <c r="C30" s="94">
        <f t="shared" ref="C30:I30" si="19">(($V$13*C27)+($V$19*C28))*(1+C29)</f>
        <v>7840.0770870769093</v>
      </c>
      <c r="D30" s="94">
        <f t="shared" si="19"/>
        <v>7840.0770870769093</v>
      </c>
      <c r="E30" s="94">
        <f t="shared" si="19"/>
        <v>7840.0770870769093</v>
      </c>
      <c r="F30" s="94">
        <f t="shared" si="19"/>
        <v>7840.0770870769093</v>
      </c>
      <c r="G30" s="94">
        <f t="shared" si="19"/>
        <v>7840.0770870769093</v>
      </c>
      <c r="H30" s="94">
        <f t="shared" si="19"/>
        <v>7840.0770870769093</v>
      </c>
      <c r="I30" s="95">
        <f t="shared" si="19"/>
        <v>7840.0770870769093</v>
      </c>
      <c r="J30" s="93">
        <f>(($W$13*J27)+($W$19*J28))*(1+J29)</f>
        <v>8272.9342299340515</v>
      </c>
      <c r="K30" s="94">
        <f t="shared" ref="K30:O30" si="20">(($W$13*K27)+($W$19*K28))*(1+K29)</f>
        <v>8272.9342299340515</v>
      </c>
      <c r="L30" s="94">
        <f t="shared" si="20"/>
        <v>8272.9342299340515</v>
      </c>
      <c r="M30" s="94">
        <f t="shared" ref="M30" si="21">(($W$13*M27)+($W$19*M28))*(1+M29)</f>
        <v>8272.9342299340515</v>
      </c>
      <c r="N30" s="94">
        <f t="shared" si="20"/>
        <v>8272.9342299340515</v>
      </c>
      <c r="O30" s="95">
        <f t="shared" si="20"/>
        <v>8272.9342299340515</v>
      </c>
      <c r="P30" s="93">
        <f>(($X$13*P27)+($X$19*P28))*(1+P29)</f>
        <v>7840.0770870769093</v>
      </c>
      <c r="Q30" s="97">
        <f>(($X$13*Q27)+($X$19*Q28))*(1+Q29)</f>
        <v>7840.0770870769093</v>
      </c>
      <c r="R30" s="94">
        <f>(($X$13*R27)+($X$19*R28))*(1+R29)</f>
        <v>7840.0770870769093</v>
      </c>
      <c r="S30" s="95">
        <f>(($X$13*S27)+($X$19*S28))*(1+S29)</f>
        <v>7840.0770870769093</v>
      </c>
      <c r="V30" s="169"/>
    </row>
    <row r="31" spans="1:26" x14ac:dyDescent="0.25">
      <c r="A31" s="92" t="s">
        <v>59</v>
      </c>
      <c r="B31" s="99">
        <f>B32/$X$1</f>
        <v>20.121591624757148</v>
      </c>
      <c r="C31" s="5">
        <f t="shared" ref="C31:S31" si="22">C32/$X$1</f>
        <v>26.143381819027535</v>
      </c>
      <c r="D31" s="5">
        <f t="shared" si="22"/>
        <v>29.492084658768135</v>
      </c>
      <c r="E31" s="5">
        <f t="shared" si="22"/>
        <v>57.118883086628138</v>
      </c>
      <c r="F31" s="5">
        <f t="shared" si="22"/>
        <v>58.749172627028173</v>
      </c>
      <c r="G31" s="5">
        <f t="shared" si="22"/>
        <v>62.641305313568786</v>
      </c>
      <c r="H31" s="5">
        <f t="shared" si="22"/>
        <v>70.499007152433805</v>
      </c>
      <c r="I31" s="100">
        <f t="shared" si="22"/>
        <v>73.436465783785223</v>
      </c>
      <c r="J31" s="99">
        <f t="shared" si="22"/>
        <v>21.077539439322422</v>
      </c>
      <c r="K31" s="5">
        <f t="shared" si="22"/>
        <v>21.232521346964496</v>
      </c>
      <c r="L31" s="5">
        <f t="shared" si="22"/>
        <v>44.479807493275999</v>
      </c>
      <c r="M31" s="5">
        <f t="shared" si="22"/>
        <v>58.893124903989118</v>
      </c>
      <c r="N31" s="5">
        <f t="shared" si="22"/>
        <v>61.992763056830661</v>
      </c>
      <c r="O31" s="100">
        <f t="shared" si="22"/>
        <v>74.391315668196796</v>
      </c>
      <c r="P31" s="99">
        <f t="shared" si="22"/>
        <v>20.121591624757148</v>
      </c>
      <c r="Q31" s="102">
        <f t="shared" si="22"/>
        <v>26.143381819027535</v>
      </c>
      <c r="R31" s="5">
        <f t="shared" si="22"/>
        <v>55.811713995676762</v>
      </c>
      <c r="S31" s="100">
        <f t="shared" si="22"/>
        <v>58.749172627028173</v>
      </c>
    </row>
    <row r="32" spans="1:26" x14ac:dyDescent="0.25">
      <c r="A32" s="86" t="s">
        <v>63</v>
      </c>
      <c r="B32" s="93">
        <f t="shared" ref="B32:S32" si="23">B30*(B26/1000)</f>
        <v>107.40905609295365</v>
      </c>
      <c r="C32" s="94">
        <f t="shared" si="23"/>
        <v>139.55337214996899</v>
      </c>
      <c r="D32" s="94">
        <f t="shared" si="23"/>
        <v>157.42874790850431</v>
      </c>
      <c r="E32" s="94">
        <f t="shared" si="23"/>
        <v>304.90059791642102</v>
      </c>
      <c r="F32" s="94">
        <f t="shared" si="23"/>
        <v>313.60308348307638</v>
      </c>
      <c r="G32" s="94">
        <f t="shared" si="23"/>
        <v>334.37928776383018</v>
      </c>
      <c r="H32" s="94">
        <f t="shared" si="23"/>
        <v>376.32370017969163</v>
      </c>
      <c r="I32" s="95">
        <f t="shared" si="23"/>
        <v>392.0038543538455</v>
      </c>
      <c r="J32" s="93">
        <f t="shared" si="23"/>
        <v>112.5119055271031</v>
      </c>
      <c r="K32" s="94">
        <f t="shared" si="23"/>
        <v>113.33919895009649</v>
      </c>
      <c r="L32" s="94">
        <f t="shared" si="23"/>
        <v>237.43321239910728</v>
      </c>
      <c r="M32" s="94">
        <f t="shared" ref="M32" si="24">M30*(M26/1000)</f>
        <v>314.37150073749393</v>
      </c>
      <c r="N32" s="94">
        <f t="shared" si="23"/>
        <v>330.91736919736206</v>
      </c>
      <c r="O32" s="95">
        <f t="shared" si="23"/>
        <v>397.10084303683448</v>
      </c>
      <c r="P32" s="93">
        <f t="shared" si="23"/>
        <v>107.40905609295365</v>
      </c>
      <c r="Q32" s="97">
        <f t="shared" si="23"/>
        <v>139.55337214996899</v>
      </c>
      <c r="R32" s="94">
        <f t="shared" si="23"/>
        <v>297.92292930892256</v>
      </c>
      <c r="S32" s="95">
        <f t="shared" si="23"/>
        <v>313.60308348307638</v>
      </c>
    </row>
    <row r="33" spans="1:19" x14ac:dyDescent="0.25">
      <c r="A33" s="86" t="s">
        <v>66</v>
      </c>
      <c r="B33" s="93">
        <v>24.0242662</v>
      </c>
      <c r="C33" s="94">
        <v>29.1358122</v>
      </c>
      <c r="D33" s="94">
        <v>29.1358122</v>
      </c>
      <c r="E33" s="94">
        <v>47.956524571999999</v>
      </c>
      <c r="F33" s="94">
        <v>47.956524571999999</v>
      </c>
      <c r="G33" s="94">
        <v>47.956524571999999</v>
      </c>
      <c r="H33" s="94">
        <v>47.956524571999999</v>
      </c>
      <c r="I33" s="95">
        <v>47.956524571999999</v>
      </c>
      <c r="J33" s="93">
        <v>24.0242662</v>
      </c>
      <c r="K33" s="94">
        <v>24.0242662</v>
      </c>
      <c r="L33" s="94">
        <v>36.291976599999998</v>
      </c>
      <c r="M33" s="94">
        <v>47.956524571999999</v>
      </c>
      <c r="N33" s="94">
        <v>47.956524571999999</v>
      </c>
      <c r="O33" s="96">
        <v>47.956524571999999</v>
      </c>
      <c r="P33" s="93">
        <v>24.0242662</v>
      </c>
      <c r="Q33" s="97">
        <v>29.1358122</v>
      </c>
      <c r="R33" s="94">
        <v>47.956524571999999</v>
      </c>
      <c r="S33" s="95">
        <v>47.956524571999999</v>
      </c>
    </row>
    <row r="34" spans="1:19" x14ac:dyDescent="0.25">
      <c r="A34" s="86" t="s">
        <v>69</v>
      </c>
      <c r="B34" s="106"/>
      <c r="C34" s="103"/>
      <c r="D34" s="103"/>
      <c r="E34" s="103"/>
      <c r="F34" s="103"/>
      <c r="G34" s="103"/>
      <c r="H34" s="103"/>
      <c r="I34" s="107"/>
      <c r="J34" s="106"/>
      <c r="K34" s="103"/>
      <c r="L34" s="103"/>
      <c r="M34" s="103"/>
      <c r="N34" s="103"/>
      <c r="O34" s="107"/>
      <c r="P34" s="99"/>
      <c r="Q34" s="102">
        <v>2.4300000000000002</v>
      </c>
      <c r="R34" s="5"/>
      <c r="S34" s="100"/>
    </row>
    <row r="35" spans="1:19" x14ac:dyDescent="0.25">
      <c r="A35" s="86" t="s">
        <v>71</v>
      </c>
      <c r="B35" s="109">
        <f>$V$26</f>
        <v>2.5000000000000022E-3</v>
      </c>
      <c r="C35" s="110">
        <f t="shared" ref="C35:S35" si="25">$V$26</f>
        <v>2.5000000000000022E-3</v>
      </c>
      <c r="D35" s="110">
        <f t="shared" si="25"/>
        <v>2.5000000000000022E-3</v>
      </c>
      <c r="E35" s="110">
        <f t="shared" si="25"/>
        <v>2.5000000000000022E-3</v>
      </c>
      <c r="F35" s="110">
        <f t="shared" si="25"/>
        <v>2.5000000000000022E-3</v>
      </c>
      <c r="G35" s="110">
        <f t="shared" si="25"/>
        <v>2.5000000000000022E-3</v>
      </c>
      <c r="H35" s="110">
        <f t="shared" si="25"/>
        <v>2.5000000000000022E-3</v>
      </c>
      <c r="I35" s="111">
        <f t="shared" si="25"/>
        <v>2.5000000000000022E-3</v>
      </c>
      <c r="J35" s="109">
        <f t="shared" si="25"/>
        <v>2.5000000000000022E-3</v>
      </c>
      <c r="K35" s="110">
        <f t="shared" si="25"/>
        <v>2.5000000000000022E-3</v>
      </c>
      <c r="L35" s="110">
        <f t="shared" si="25"/>
        <v>2.5000000000000022E-3</v>
      </c>
      <c r="M35" s="110">
        <f t="shared" si="25"/>
        <v>2.5000000000000022E-3</v>
      </c>
      <c r="N35" s="110">
        <f t="shared" si="25"/>
        <v>2.5000000000000022E-3</v>
      </c>
      <c r="O35" s="111">
        <f t="shared" si="25"/>
        <v>2.5000000000000022E-3</v>
      </c>
      <c r="P35" s="109">
        <f t="shared" si="25"/>
        <v>2.5000000000000022E-3</v>
      </c>
      <c r="Q35" s="113">
        <f t="shared" si="25"/>
        <v>2.5000000000000022E-3</v>
      </c>
      <c r="R35" s="110">
        <f t="shared" si="25"/>
        <v>2.5000000000000022E-3</v>
      </c>
      <c r="S35" s="111">
        <f t="shared" si="25"/>
        <v>2.5000000000000022E-3</v>
      </c>
    </row>
    <row r="36" spans="1:19" ht="13" x14ac:dyDescent="0.3">
      <c r="A36" s="62" t="s">
        <v>73</v>
      </c>
      <c r="B36" s="116">
        <f>(B32+B33+(B34*$X$1))*(1+B35)</f>
        <v>131.76190559868601</v>
      </c>
      <c r="C36" s="117">
        <f t="shared" ref="C36:S36" si="26">(C32+C33+(C34*$X$1))*(1+C35)</f>
        <v>169.11090731084391</v>
      </c>
      <c r="D36" s="117">
        <f t="shared" si="26"/>
        <v>187.03097150877556</v>
      </c>
      <c r="E36" s="117">
        <f t="shared" si="26"/>
        <v>353.73926529464205</v>
      </c>
      <c r="F36" s="117">
        <f t="shared" si="26"/>
        <v>362.46350707521401</v>
      </c>
      <c r="G36" s="117">
        <f t="shared" si="26"/>
        <v>383.29165186666972</v>
      </c>
      <c r="H36" s="117">
        <f t="shared" si="26"/>
        <v>425.34092531357084</v>
      </c>
      <c r="I36" s="118">
        <f t="shared" si="26"/>
        <v>441.06027987316008</v>
      </c>
      <c r="J36" s="119">
        <f t="shared" si="26"/>
        <v>136.87751215642083</v>
      </c>
      <c r="K36" s="120">
        <f t="shared" si="26"/>
        <v>137.70687381297171</v>
      </c>
      <c r="L36" s="120">
        <f t="shared" si="26"/>
        <v>274.40950197160504</v>
      </c>
      <c r="M36" s="120">
        <f t="shared" ref="M36" si="27">(M32+M33+(M34*$X$1))*(1+M35)</f>
        <v>363.23384537276763</v>
      </c>
      <c r="N36" s="120">
        <f t="shared" si="26"/>
        <v>379.82107850378543</v>
      </c>
      <c r="O36" s="175">
        <f t="shared" si="26"/>
        <v>446.1700110278565</v>
      </c>
      <c r="P36" s="122">
        <f t="shared" si="26"/>
        <v>131.76190559868601</v>
      </c>
      <c r="Q36" s="123">
        <f t="shared" si="26"/>
        <v>182.11467566084391</v>
      </c>
      <c r="R36" s="124">
        <f t="shared" si="26"/>
        <v>346.74415251562482</v>
      </c>
      <c r="S36" s="125">
        <f t="shared" si="26"/>
        <v>362.46350707521401</v>
      </c>
    </row>
    <row r="37" spans="1:19" x14ac:dyDescent="0.25">
      <c r="A37" s="86" t="s">
        <v>75</v>
      </c>
      <c r="B37" s="129">
        <v>9.2499999999999999E-2</v>
      </c>
      <c r="C37" s="130">
        <v>9.2499999999999999E-2</v>
      </c>
      <c r="D37" s="130">
        <v>9.2499999999999999E-2</v>
      </c>
      <c r="E37" s="130">
        <v>9.2499999999999999E-2</v>
      </c>
      <c r="F37" s="130">
        <v>9.2499999999999999E-2</v>
      </c>
      <c r="G37" s="130">
        <v>9.2499999999999999E-2</v>
      </c>
      <c r="H37" s="130">
        <v>9.2499999999999999E-2</v>
      </c>
      <c r="I37" s="131">
        <v>9.2499999999999999E-2</v>
      </c>
      <c r="J37" s="129">
        <v>9.2499999999999999E-2</v>
      </c>
      <c r="K37" s="130">
        <v>9.2499999999999999E-2</v>
      </c>
      <c r="L37" s="130">
        <v>9.2499999999999999E-2</v>
      </c>
      <c r="M37" s="130">
        <v>9.2499999999999999E-2</v>
      </c>
      <c r="N37" s="130">
        <v>9.2499999999999999E-2</v>
      </c>
      <c r="O37" s="131">
        <v>9.2499999999999999E-2</v>
      </c>
      <c r="P37" s="129">
        <v>9.2499999999999999E-2</v>
      </c>
      <c r="Q37" s="133">
        <v>9.2499999999999999E-2</v>
      </c>
      <c r="R37" s="130">
        <v>9.2499999999999999E-2</v>
      </c>
      <c r="S37" s="131">
        <v>9.2499999999999999E-2</v>
      </c>
    </row>
    <row r="38" spans="1:19" x14ac:dyDescent="0.25">
      <c r="A38" s="86" t="s">
        <v>36</v>
      </c>
      <c r="B38" s="87">
        <v>0.22</v>
      </c>
      <c r="C38" s="88">
        <v>0.22</v>
      </c>
      <c r="D38" s="88">
        <v>0.22</v>
      </c>
      <c r="E38" s="88">
        <v>0.22</v>
      </c>
      <c r="F38" s="88">
        <v>0.22</v>
      </c>
      <c r="G38" s="88">
        <v>0.22</v>
      </c>
      <c r="H38" s="88">
        <v>0.22</v>
      </c>
      <c r="I38" s="89">
        <v>0.22</v>
      </c>
      <c r="J38" s="135">
        <v>0.20499999999999999</v>
      </c>
      <c r="K38" s="136">
        <v>0.20499999999999999</v>
      </c>
      <c r="L38" s="136">
        <v>0.20499999999999999</v>
      </c>
      <c r="M38" s="136">
        <v>0.20499999999999999</v>
      </c>
      <c r="N38" s="136">
        <v>0.20499999999999999</v>
      </c>
      <c r="O38" s="176">
        <v>0.20499999999999999</v>
      </c>
      <c r="P38" s="87">
        <v>0.18</v>
      </c>
      <c r="Q38" s="91">
        <v>0.18</v>
      </c>
      <c r="R38" s="88">
        <v>0.18</v>
      </c>
      <c r="S38" s="89">
        <v>0.18</v>
      </c>
    </row>
    <row r="39" spans="1:19" ht="13" x14ac:dyDescent="0.3">
      <c r="A39" s="62" t="s">
        <v>76</v>
      </c>
      <c r="B39" s="139">
        <f>(B36/(1-B37))/(1-B38)</f>
        <v>186.14382368960375</v>
      </c>
      <c r="C39" s="140">
        <f t="shared" ref="C39:S39" si="28">(C36/(1-C37))/(1-C38)</f>
        <v>238.9078297815129</v>
      </c>
      <c r="D39" s="140">
        <f t="shared" si="28"/>
        <v>264.22401851914327</v>
      </c>
      <c r="E39" s="140">
        <f t="shared" si="28"/>
        <v>499.73760725385614</v>
      </c>
      <c r="F39" s="140">
        <f t="shared" si="28"/>
        <v>512.06259387612351</v>
      </c>
      <c r="G39" s="140">
        <f t="shared" si="28"/>
        <v>541.48711148784309</v>
      </c>
      <c r="H39" s="140">
        <f t="shared" si="28"/>
        <v>600.89132628886182</v>
      </c>
      <c r="I39" s="141">
        <f t="shared" si="28"/>
        <v>623.09850939204648</v>
      </c>
      <c r="J39" s="139">
        <f t="shared" si="28"/>
        <v>189.72228238670871</v>
      </c>
      <c r="K39" s="140">
        <f t="shared" si="28"/>
        <v>190.87183854042544</v>
      </c>
      <c r="L39" s="140">
        <f t="shared" si="28"/>
        <v>380.35171886495141</v>
      </c>
      <c r="M39" s="140">
        <f t="shared" ref="M39" si="29">(M36/(1-M37))/(1-M38)</f>
        <v>503.4687809453265</v>
      </c>
      <c r="N39" s="140">
        <f t="shared" si="28"/>
        <v>526.45990401966208</v>
      </c>
      <c r="O39" s="141">
        <f t="shared" si="28"/>
        <v>618.42439631700393</v>
      </c>
      <c r="P39" s="139">
        <f t="shared" si="28"/>
        <v>177.06363716815966</v>
      </c>
      <c r="Q39" s="143">
        <f t="shared" si="28"/>
        <v>244.72844945352941</v>
      </c>
      <c r="R39" s="140">
        <f t="shared" si="28"/>
        <v>465.96002488157609</v>
      </c>
      <c r="S39" s="141">
        <f t="shared" si="28"/>
        <v>487.08393076021497</v>
      </c>
    </row>
    <row r="40" spans="1:19" x14ac:dyDescent="0.25">
      <c r="A40" s="76"/>
      <c r="B40" s="146"/>
      <c r="I40" s="147"/>
      <c r="J40" s="146"/>
      <c r="O40" s="147"/>
      <c r="P40" s="106"/>
      <c r="Q40" s="148"/>
      <c r="R40" s="103"/>
      <c r="S40" s="107"/>
    </row>
    <row r="41" spans="1:19" x14ac:dyDescent="0.25">
      <c r="A41" s="86" t="s">
        <v>75</v>
      </c>
      <c r="B41" s="129">
        <v>9.2499999999999999E-2</v>
      </c>
      <c r="C41" s="130">
        <v>9.2499999999999999E-2</v>
      </c>
      <c r="D41" s="130">
        <v>9.2499999999999999E-2</v>
      </c>
      <c r="E41" s="130">
        <v>9.2499999999999999E-2</v>
      </c>
      <c r="F41" s="130">
        <v>9.2499999999999999E-2</v>
      </c>
      <c r="G41" s="130">
        <v>9.2499999999999999E-2</v>
      </c>
      <c r="H41" s="130">
        <v>9.2499999999999999E-2</v>
      </c>
      <c r="I41" s="131">
        <v>9.2499999999999999E-2</v>
      </c>
      <c r="J41" s="129">
        <v>9.2499999999999999E-2</v>
      </c>
      <c r="K41" s="130">
        <v>9.2499999999999999E-2</v>
      </c>
      <c r="L41" s="130">
        <v>9.2499999999999999E-2</v>
      </c>
      <c r="M41" s="130">
        <v>9.2499999999999999E-2</v>
      </c>
      <c r="N41" s="130">
        <v>9.2499999999999999E-2</v>
      </c>
      <c r="O41" s="131">
        <v>9.2499999999999999E-2</v>
      </c>
      <c r="P41" s="129">
        <v>9.2499999999999999E-2</v>
      </c>
      <c r="Q41" s="133">
        <v>9.2499999999999999E-2</v>
      </c>
      <c r="R41" s="130">
        <v>9.2499999999999999E-2</v>
      </c>
      <c r="S41" s="131">
        <v>9.2499999999999999E-2</v>
      </c>
    </row>
    <row r="42" spans="1:19" x14ac:dyDescent="0.25">
      <c r="A42" s="86" t="s">
        <v>36</v>
      </c>
      <c r="B42" s="87">
        <v>0.12</v>
      </c>
      <c r="C42" s="88">
        <v>0.12</v>
      </c>
      <c r="D42" s="88">
        <v>0.12</v>
      </c>
      <c r="E42" s="88">
        <v>0.12</v>
      </c>
      <c r="F42" s="88">
        <v>0.12</v>
      </c>
      <c r="G42" s="88">
        <v>0.12</v>
      </c>
      <c r="H42" s="88">
        <v>0.12</v>
      </c>
      <c r="I42" s="89">
        <v>0.12</v>
      </c>
      <c r="J42" s="87">
        <v>0.12</v>
      </c>
      <c r="K42" s="88">
        <v>0.12</v>
      </c>
      <c r="L42" s="88">
        <v>0.12</v>
      </c>
      <c r="M42" s="88">
        <v>0.12</v>
      </c>
      <c r="N42" s="88">
        <v>0.12</v>
      </c>
      <c r="O42" s="89">
        <v>0.12</v>
      </c>
      <c r="P42" s="87">
        <v>0.12</v>
      </c>
      <c r="Q42" s="91">
        <v>0.12</v>
      </c>
      <c r="R42" s="88">
        <v>0.12</v>
      </c>
      <c r="S42" s="89">
        <v>0.12</v>
      </c>
    </row>
    <row r="43" spans="1:19" ht="13" x14ac:dyDescent="0.3">
      <c r="A43" s="62" t="s">
        <v>76</v>
      </c>
      <c r="B43" s="139">
        <f>(B36/(1-B41))/(1-B42)</f>
        <v>164.99111645214879</v>
      </c>
      <c r="C43" s="140">
        <f t="shared" ref="C43:S43" si="30">(C36/(1-C41))/(1-C42)</f>
        <v>211.75921276088644</v>
      </c>
      <c r="D43" s="140">
        <f t="shared" si="30"/>
        <v>234.19856186924065</v>
      </c>
      <c r="E43" s="140">
        <f t="shared" si="30"/>
        <v>442.94924279319065</v>
      </c>
      <c r="F43" s="140">
        <f t="shared" si="30"/>
        <v>453.8736627538367</v>
      </c>
      <c r="G43" s="140">
        <f t="shared" si="30"/>
        <v>479.95448518240636</v>
      </c>
      <c r="H43" s="140">
        <f t="shared" si="30"/>
        <v>532.60822102876386</v>
      </c>
      <c r="I43" s="141">
        <f t="shared" si="30"/>
        <v>552.29186059749577</v>
      </c>
      <c r="J43" s="139">
        <f t="shared" si="30"/>
        <v>171.39683465617438</v>
      </c>
      <c r="K43" s="140">
        <f t="shared" si="30"/>
        <v>172.43535413595254</v>
      </c>
      <c r="L43" s="140">
        <f t="shared" si="30"/>
        <v>343.6132005654959</v>
      </c>
      <c r="M43" s="140">
        <f t="shared" ref="M43" si="31">(M36/(1-M41))/(1-M42)</f>
        <v>454.83827369492565</v>
      </c>
      <c r="N43" s="140">
        <f t="shared" si="30"/>
        <v>475.60866329049014</v>
      </c>
      <c r="O43" s="141">
        <f t="shared" si="30"/>
        <v>558.69022167274795</v>
      </c>
      <c r="P43" s="139">
        <f t="shared" si="30"/>
        <v>164.99111645214879</v>
      </c>
      <c r="Q43" s="143">
        <f t="shared" si="30"/>
        <v>228.04241880897061</v>
      </c>
      <c r="R43" s="140">
        <f t="shared" si="30"/>
        <v>434.19002318510502</v>
      </c>
      <c r="S43" s="141">
        <f t="shared" si="30"/>
        <v>453.8736627538367</v>
      </c>
    </row>
    <row r="44" spans="1:19" x14ac:dyDescent="0.25">
      <c r="A44" s="76"/>
      <c r="B44" s="146"/>
      <c r="I44" s="147"/>
      <c r="J44" s="156"/>
      <c r="K44" s="157"/>
      <c r="L44" s="157"/>
      <c r="M44" s="157"/>
      <c r="N44" s="157"/>
      <c r="O44" s="157"/>
      <c r="P44" s="156"/>
      <c r="Q44" s="157"/>
      <c r="R44" s="157"/>
      <c r="S44" s="158"/>
    </row>
    <row r="45" spans="1:19" x14ac:dyDescent="0.25">
      <c r="A45" s="86" t="s">
        <v>75</v>
      </c>
      <c r="B45" s="129">
        <v>9.2499999999999999E-2</v>
      </c>
      <c r="C45" s="130">
        <v>9.2499999999999999E-2</v>
      </c>
      <c r="D45" s="130">
        <v>9.2499999999999999E-2</v>
      </c>
      <c r="E45" s="130">
        <v>9.2499999999999999E-2</v>
      </c>
      <c r="F45" s="130">
        <v>9.2499999999999999E-2</v>
      </c>
      <c r="G45" s="130">
        <v>9.2499999999999999E-2</v>
      </c>
      <c r="H45" s="130">
        <v>9.2499999999999999E-2</v>
      </c>
      <c r="I45" s="131">
        <v>9.2499999999999999E-2</v>
      </c>
      <c r="J45" s="76"/>
      <c r="K45"/>
      <c r="L45" s="103" t="s">
        <v>82</v>
      </c>
      <c r="M45"/>
      <c r="N45"/>
      <c r="O45"/>
      <c r="P45" s="129">
        <v>9.2499999999999999E-2</v>
      </c>
      <c r="Q45" s="133">
        <v>9.2499999999999999E-2</v>
      </c>
      <c r="R45" s="130">
        <v>9.2499999999999999E-2</v>
      </c>
      <c r="S45" s="131">
        <v>9.2499999999999999E-2</v>
      </c>
    </row>
    <row r="46" spans="1:19" x14ac:dyDescent="0.25">
      <c r="A46" s="86" t="s">
        <v>36</v>
      </c>
      <c r="B46" s="87">
        <v>7.0000000000000007E-2</v>
      </c>
      <c r="C46" s="88">
        <v>7.0000000000000007E-2</v>
      </c>
      <c r="D46" s="88">
        <v>7.0000000000000007E-2</v>
      </c>
      <c r="E46" s="88">
        <v>7.0000000000000007E-2</v>
      </c>
      <c r="F46" s="88">
        <v>7.0000000000000007E-2</v>
      </c>
      <c r="G46" s="88">
        <v>7.0000000000000007E-2</v>
      </c>
      <c r="H46" s="88">
        <v>7.0000000000000007E-2</v>
      </c>
      <c r="I46" s="89">
        <v>7.0000000000000007E-2</v>
      </c>
      <c r="J46" s="76"/>
      <c r="K46"/>
      <c r="L46" s="94">
        <f>L36*(1+12%)</f>
        <v>307.33864220819765</v>
      </c>
      <c r="M46"/>
      <c r="N46"/>
      <c r="O46"/>
      <c r="P46" s="87">
        <v>7.0000000000000007E-2</v>
      </c>
      <c r="Q46" s="91">
        <v>7.0000000000000007E-2</v>
      </c>
      <c r="R46" s="88">
        <v>7.0000000000000007E-2</v>
      </c>
      <c r="S46" s="89">
        <v>7.0000000000000007E-2</v>
      </c>
    </row>
    <row r="47" spans="1:19" ht="13.5" thickBot="1" x14ac:dyDescent="0.35">
      <c r="A47" s="163" t="s">
        <v>76</v>
      </c>
      <c r="B47" s="164">
        <f>(B36/(1-B45))/(1-B46)</f>
        <v>156.12062632031282</v>
      </c>
      <c r="C47" s="165">
        <f t="shared" ref="C47:I47" si="32">(C36/(1-C45))/(1-C46)</f>
        <v>200.37430884901084</v>
      </c>
      <c r="D47" s="165">
        <f t="shared" si="32"/>
        <v>221.60724133863633</v>
      </c>
      <c r="E47" s="165">
        <f t="shared" si="32"/>
        <v>419.13476737420194</v>
      </c>
      <c r="F47" s="165">
        <f t="shared" si="32"/>
        <v>429.47185292836167</v>
      </c>
      <c r="G47" s="165">
        <f t="shared" si="32"/>
        <v>454.15048060270715</v>
      </c>
      <c r="H47" s="165">
        <f t="shared" si="32"/>
        <v>503.97337043581962</v>
      </c>
      <c r="I47" s="166">
        <f t="shared" si="32"/>
        <v>522.59874981268422</v>
      </c>
      <c r="J47" s="167"/>
      <c r="K47" s="168"/>
      <c r="L47" s="168"/>
      <c r="M47" s="168"/>
      <c r="N47" s="168"/>
      <c r="O47" s="168"/>
      <c r="P47" s="164">
        <f>(P36/(1-P45))/(1-P46)</f>
        <v>156.12062632031282</v>
      </c>
      <c r="Q47" s="195">
        <f t="shared" ref="Q47:S47" si="33">(Q36/(1-Q45))/(1-Q46)</f>
        <v>215.78207371171413</v>
      </c>
      <c r="R47" s="165">
        <f t="shared" si="33"/>
        <v>410.84647355149724</v>
      </c>
      <c r="S47" s="166">
        <f t="shared" si="33"/>
        <v>429.47185292836167</v>
      </c>
    </row>
    <row r="48" spans="1:19" ht="13" thickBot="1" x14ac:dyDescent="0.3"/>
    <row r="49" spans="1:19" ht="13" x14ac:dyDescent="0.3">
      <c r="A49" s="47" t="s">
        <v>40</v>
      </c>
      <c r="B49" s="48" t="s">
        <v>41</v>
      </c>
      <c r="C49" s="49" t="s">
        <v>41</v>
      </c>
      <c r="D49" s="49" t="s">
        <v>41</v>
      </c>
      <c r="E49" s="49" t="s">
        <v>41</v>
      </c>
      <c r="F49" s="49" t="s">
        <v>41</v>
      </c>
      <c r="G49" s="49" t="s">
        <v>41</v>
      </c>
      <c r="H49" s="49" t="s">
        <v>41</v>
      </c>
      <c r="I49" s="50" t="s">
        <v>41</v>
      </c>
      <c r="J49" s="51" t="s">
        <v>42</v>
      </c>
      <c r="K49" s="52" t="s">
        <v>42</v>
      </c>
      <c r="L49" s="52" t="s">
        <v>42</v>
      </c>
      <c r="M49" s="52" t="s">
        <v>42</v>
      </c>
      <c r="N49" s="52" t="s">
        <v>42</v>
      </c>
      <c r="O49" s="172" t="s">
        <v>42</v>
      </c>
      <c r="P49" s="54" t="s">
        <v>43</v>
      </c>
      <c r="Q49" s="55" t="s">
        <v>43</v>
      </c>
      <c r="R49" s="56" t="s">
        <v>43</v>
      </c>
      <c r="S49" s="57" t="s">
        <v>43</v>
      </c>
    </row>
    <row r="50" spans="1:19" ht="13" x14ac:dyDescent="0.3">
      <c r="A50" s="62" t="s">
        <v>45</v>
      </c>
      <c r="B50" s="63">
        <v>13.7</v>
      </c>
      <c r="C50" s="64">
        <v>17.8</v>
      </c>
      <c r="D50" s="64">
        <v>20.079999999999998</v>
      </c>
      <c r="E50" s="64">
        <v>38.89</v>
      </c>
      <c r="F50" s="64">
        <v>40</v>
      </c>
      <c r="G50" s="64">
        <v>42.65</v>
      </c>
      <c r="H50" s="64">
        <v>48</v>
      </c>
      <c r="I50" s="65">
        <v>50</v>
      </c>
      <c r="J50" s="63">
        <v>13.6</v>
      </c>
      <c r="K50" s="64">
        <v>13.7</v>
      </c>
      <c r="L50" s="64">
        <v>28.7</v>
      </c>
      <c r="M50" s="64">
        <v>38</v>
      </c>
      <c r="N50" s="64">
        <v>40</v>
      </c>
      <c r="O50" s="65">
        <v>48</v>
      </c>
      <c r="P50" s="63">
        <v>13.7</v>
      </c>
      <c r="Q50" s="18">
        <v>17.8</v>
      </c>
      <c r="R50" s="64">
        <v>38</v>
      </c>
      <c r="S50" s="65">
        <v>40</v>
      </c>
    </row>
    <row r="51" spans="1:19" x14ac:dyDescent="0.25">
      <c r="A51" s="70" t="s">
        <v>46</v>
      </c>
      <c r="B51" s="71">
        <f t="shared" ref="B51:S51" si="34">1-B52</f>
        <v>0.6</v>
      </c>
      <c r="C51" s="72">
        <f t="shared" si="34"/>
        <v>0.6</v>
      </c>
      <c r="D51" s="72">
        <f t="shared" si="34"/>
        <v>0.6</v>
      </c>
      <c r="E51" s="72">
        <f t="shared" si="34"/>
        <v>0.6</v>
      </c>
      <c r="F51" s="72">
        <f t="shared" si="34"/>
        <v>0.6</v>
      </c>
      <c r="G51" s="72">
        <f t="shared" si="34"/>
        <v>0.6</v>
      </c>
      <c r="H51" s="72">
        <f t="shared" si="34"/>
        <v>0.6</v>
      </c>
      <c r="I51" s="73">
        <f t="shared" si="34"/>
        <v>0.6</v>
      </c>
      <c r="J51" s="71">
        <f t="shared" si="34"/>
        <v>0.6</v>
      </c>
      <c r="K51" s="72">
        <f t="shared" si="34"/>
        <v>0.6</v>
      </c>
      <c r="L51" s="72">
        <f t="shared" si="34"/>
        <v>0.6</v>
      </c>
      <c r="M51" s="72">
        <f t="shared" si="34"/>
        <v>0.6</v>
      </c>
      <c r="N51" s="72">
        <f t="shared" si="34"/>
        <v>0.6</v>
      </c>
      <c r="O51" s="73">
        <f t="shared" si="34"/>
        <v>0.6</v>
      </c>
      <c r="P51" s="71">
        <f t="shared" si="34"/>
        <v>0.6</v>
      </c>
      <c r="Q51" s="75">
        <f t="shared" si="34"/>
        <v>0.6</v>
      </c>
      <c r="R51" s="72">
        <f t="shared" si="34"/>
        <v>0.6</v>
      </c>
      <c r="S51" s="73">
        <f t="shared" si="34"/>
        <v>0.6</v>
      </c>
    </row>
    <row r="52" spans="1:19" x14ac:dyDescent="0.25">
      <c r="A52" s="80" t="s">
        <v>52</v>
      </c>
      <c r="B52" s="81">
        <v>0.4</v>
      </c>
      <c r="C52" s="82">
        <v>0.4</v>
      </c>
      <c r="D52" s="82">
        <v>0.4</v>
      </c>
      <c r="E52" s="82">
        <v>0.4</v>
      </c>
      <c r="F52" s="82">
        <v>0.4</v>
      </c>
      <c r="G52" s="82">
        <v>0.4</v>
      </c>
      <c r="H52" s="82">
        <v>0.4</v>
      </c>
      <c r="I52" s="83">
        <v>0.4</v>
      </c>
      <c r="J52" s="81">
        <v>0.4</v>
      </c>
      <c r="K52" s="82">
        <v>0.4</v>
      </c>
      <c r="L52" s="82">
        <v>0.4</v>
      </c>
      <c r="M52" s="82">
        <v>0.4</v>
      </c>
      <c r="N52" s="82">
        <v>0.4</v>
      </c>
      <c r="O52" s="83">
        <v>0.4</v>
      </c>
      <c r="P52" s="81">
        <v>0.4</v>
      </c>
      <c r="Q52" s="85">
        <v>0.4</v>
      </c>
      <c r="R52" s="82">
        <v>0.4</v>
      </c>
      <c r="S52" s="83">
        <v>0.4</v>
      </c>
    </row>
    <row r="53" spans="1:19" x14ac:dyDescent="0.25">
      <c r="A53" s="86" t="s">
        <v>32</v>
      </c>
      <c r="B53" s="87">
        <v>0.01</v>
      </c>
      <c r="C53" s="88">
        <v>0.01</v>
      </c>
      <c r="D53" s="88">
        <v>0.01</v>
      </c>
      <c r="E53" s="88">
        <v>0.01</v>
      </c>
      <c r="F53" s="88">
        <v>0.01</v>
      </c>
      <c r="G53" s="88">
        <v>0.01</v>
      </c>
      <c r="H53" s="88">
        <v>0.01</v>
      </c>
      <c r="I53" s="89">
        <v>0.01</v>
      </c>
      <c r="J53" s="87">
        <v>0.01</v>
      </c>
      <c r="K53" s="88">
        <v>0.01</v>
      </c>
      <c r="L53" s="88">
        <v>0.01</v>
      </c>
      <c r="M53" s="88">
        <v>0.01</v>
      </c>
      <c r="N53" s="88">
        <v>0.01</v>
      </c>
      <c r="O53" s="89">
        <v>0.01</v>
      </c>
      <c r="P53" s="87">
        <v>0.01</v>
      </c>
      <c r="Q53" s="91">
        <v>0.01</v>
      </c>
      <c r="R53" s="88">
        <v>0.01</v>
      </c>
      <c r="S53" s="89">
        <v>0.01</v>
      </c>
    </row>
    <row r="54" spans="1:19" x14ac:dyDescent="0.25">
      <c r="A54" s="92" t="s">
        <v>54</v>
      </c>
      <c r="B54" s="93">
        <f>(($V$13*B51)+($V$19*B52))*(1+B53)</f>
        <v>7042.5572827531632</v>
      </c>
      <c r="C54" s="94">
        <f t="shared" ref="C54:I54" si="35">(($V$13*C51)+($V$19*C52))*(1+C53)</f>
        <v>7042.5572827531632</v>
      </c>
      <c r="D54" s="94">
        <f t="shared" si="35"/>
        <v>7042.5572827531632</v>
      </c>
      <c r="E54" s="94">
        <f t="shared" si="35"/>
        <v>7042.5572827531632</v>
      </c>
      <c r="F54" s="94">
        <f t="shared" si="35"/>
        <v>7042.5572827531632</v>
      </c>
      <c r="G54" s="94">
        <f t="shared" si="35"/>
        <v>7042.5572827531632</v>
      </c>
      <c r="H54" s="94">
        <f t="shared" si="35"/>
        <v>7042.5572827531632</v>
      </c>
      <c r="I54" s="95">
        <f t="shared" si="35"/>
        <v>7042.5572827531632</v>
      </c>
      <c r="J54" s="93">
        <f>(($W$13*J51)+($W$19*J52))*(1+J53)</f>
        <v>7163.7326280760208</v>
      </c>
      <c r="K54" s="94">
        <f t="shared" ref="K54:O54" si="36">(($W$13*K51)+($W$19*K52))*(1+K53)</f>
        <v>7163.7326280760208</v>
      </c>
      <c r="L54" s="94">
        <f t="shared" si="36"/>
        <v>7163.7326280760208</v>
      </c>
      <c r="M54" s="94">
        <f t="shared" ref="M54" si="37">(($W$13*M51)+($W$19*M52))*(1+M53)</f>
        <v>7163.7326280760208</v>
      </c>
      <c r="N54" s="94">
        <f t="shared" si="36"/>
        <v>7163.7326280760208</v>
      </c>
      <c r="O54" s="95">
        <f t="shared" si="36"/>
        <v>7163.7326280760208</v>
      </c>
      <c r="P54" s="93">
        <f>(($X$13*P51)+($X$19*P52))*(1+P53)</f>
        <v>7094.5247945731644</v>
      </c>
      <c r="Q54" s="97">
        <f>(($X$13*Q51)+($X$19*Q52))*(1+Q53)</f>
        <v>7094.5247945731644</v>
      </c>
      <c r="R54" s="94">
        <f>(($X$13*R51)+($X$19*R52))*(1+R53)</f>
        <v>7094.5247945731644</v>
      </c>
      <c r="S54" s="95">
        <f>(($X$13*S51)+($X$19*S52))*(1+S53)</f>
        <v>7094.5247945731644</v>
      </c>
    </row>
    <row r="55" spans="1:19" x14ac:dyDescent="0.25">
      <c r="A55" s="92" t="s">
        <v>59</v>
      </c>
      <c r="B55" s="99">
        <f>B56/$X$1</f>
        <v>18.074753610662857</v>
      </c>
      <c r="C55" s="5">
        <f t="shared" ref="C55:S55" si="38">C56/$X$1</f>
        <v>23.483986443051013</v>
      </c>
      <c r="D55" s="5">
        <f t="shared" si="38"/>
        <v>26.49204762789125</v>
      </c>
      <c r="E55" s="5">
        <f t="shared" si="38"/>
        <v>51.308552402823253</v>
      </c>
      <c r="F55" s="5">
        <f t="shared" si="38"/>
        <v>52.773003242811271</v>
      </c>
      <c r="G55" s="5">
        <f t="shared" si="38"/>
        <v>56.269214707647507</v>
      </c>
      <c r="H55" s="5">
        <f t="shared" si="38"/>
        <v>63.327603891373514</v>
      </c>
      <c r="I55" s="100">
        <f t="shared" si="38"/>
        <v>65.966254053514092</v>
      </c>
      <c r="J55" s="99">
        <f t="shared" si="38"/>
        <v>18.251548097008971</v>
      </c>
      <c r="K55" s="5">
        <f t="shared" si="38"/>
        <v>18.385750656545799</v>
      </c>
      <c r="L55" s="5">
        <f t="shared" si="38"/>
        <v>38.516134587070404</v>
      </c>
      <c r="M55" s="5">
        <f t="shared" si="38"/>
        <v>50.996972623995653</v>
      </c>
      <c r="N55" s="5">
        <f t="shared" si="38"/>
        <v>53.681023814732264</v>
      </c>
      <c r="O55" s="100">
        <f t="shared" si="38"/>
        <v>64.417228577678713</v>
      </c>
      <c r="P55" s="99">
        <f t="shared" si="38"/>
        <v>18.208128453662859</v>
      </c>
      <c r="Q55" s="102">
        <f t="shared" si="38"/>
        <v>23.657276385051016</v>
      </c>
      <c r="R55" s="5">
        <f t="shared" si="38"/>
        <v>50.504297900670707</v>
      </c>
      <c r="S55" s="100">
        <f t="shared" si="38"/>
        <v>53.162418842811277</v>
      </c>
    </row>
    <row r="56" spans="1:19" x14ac:dyDescent="0.25">
      <c r="A56" s="86" t="s">
        <v>63</v>
      </c>
      <c r="B56" s="93">
        <f t="shared" ref="B56:S56" si="39">B54*(B50/1000)</f>
        <v>96.48303477371833</v>
      </c>
      <c r="C56" s="94">
        <f t="shared" si="39"/>
        <v>125.35751963300631</v>
      </c>
      <c r="D56" s="94">
        <f t="shared" si="39"/>
        <v>141.4145502376835</v>
      </c>
      <c r="E56" s="94">
        <f t="shared" si="39"/>
        <v>273.88505272627054</v>
      </c>
      <c r="F56" s="94">
        <f t="shared" si="39"/>
        <v>281.70229131012655</v>
      </c>
      <c r="G56" s="94">
        <f t="shared" si="39"/>
        <v>300.3650681094224</v>
      </c>
      <c r="H56" s="94">
        <f t="shared" si="39"/>
        <v>338.04274957215182</v>
      </c>
      <c r="I56" s="95">
        <f t="shared" si="39"/>
        <v>352.12786413765821</v>
      </c>
      <c r="J56" s="93">
        <f t="shared" si="39"/>
        <v>97.426763741833881</v>
      </c>
      <c r="K56" s="94">
        <f t="shared" si="39"/>
        <v>98.143137004641474</v>
      </c>
      <c r="L56" s="94">
        <f t="shared" si="39"/>
        <v>205.5991264257818</v>
      </c>
      <c r="M56" s="94">
        <f t="shared" ref="M56" si="40">M54*(M50/1000)</f>
        <v>272.22183986688879</v>
      </c>
      <c r="N56" s="94">
        <f t="shared" si="39"/>
        <v>286.54930512304082</v>
      </c>
      <c r="O56" s="95">
        <f t="shared" si="39"/>
        <v>343.85916614764898</v>
      </c>
      <c r="P56" s="93">
        <f t="shared" si="39"/>
        <v>97.194989685652345</v>
      </c>
      <c r="Q56" s="97">
        <f t="shared" si="39"/>
        <v>126.28254134340233</v>
      </c>
      <c r="R56" s="94">
        <f t="shared" si="39"/>
        <v>269.59194219378026</v>
      </c>
      <c r="S56" s="95">
        <f t="shared" si="39"/>
        <v>283.78099178292661</v>
      </c>
    </row>
    <row r="57" spans="1:19" x14ac:dyDescent="0.25">
      <c r="A57" s="86" t="s">
        <v>66</v>
      </c>
      <c r="B57" s="93">
        <v>24.0242662</v>
      </c>
      <c r="C57" s="94">
        <v>29.1358122</v>
      </c>
      <c r="D57" s="94">
        <v>29.1358122</v>
      </c>
      <c r="E57" s="94">
        <v>47.956524571999999</v>
      </c>
      <c r="F57" s="94">
        <v>47.956524571999999</v>
      </c>
      <c r="G57" s="94">
        <v>47.956524571999999</v>
      </c>
      <c r="H57" s="94">
        <v>47.956524571999999</v>
      </c>
      <c r="I57" s="95">
        <v>47.956524571999999</v>
      </c>
      <c r="J57" s="93">
        <v>24.0242662</v>
      </c>
      <c r="K57" s="94">
        <v>24.0242662</v>
      </c>
      <c r="L57" s="94">
        <v>36.291976599999998</v>
      </c>
      <c r="M57" s="94">
        <v>47.956524571999999</v>
      </c>
      <c r="N57" s="94">
        <v>47.956524571999999</v>
      </c>
      <c r="O57" s="96">
        <v>47.956524571999999</v>
      </c>
      <c r="P57" s="93">
        <v>24.0242662</v>
      </c>
      <c r="Q57" s="97">
        <v>29.1358122</v>
      </c>
      <c r="R57" s="94">
        <v>47.956524571999999</v>
      </c>
      <c r="S57" s="95">
        <v>47.956524571999999</v>
      </c>
    </row>
    <row r="58" spans="1:19" x14ac:dyDescent="0.25">
      <c r="A58" s="86" t="s">
        <v>69</v>
      </c>
      <c r="B58" s="106"/>
      <c r="C58" s="103"/>
      <c r="D58" s="103"/>
      <c r="E58" s="103"/>
      <c r="F58" s="103"/>
      <c r="G58" s="103"/>
      <c r="H58" s="103"/>
      <c r="I58" s="107"/>
      <c r="J58" s="106"/>
      <c r="K58" s="103"/>
      <c r="L58" s="103"/>
      <c r="M58" s="103"/>
      <c r="N58" s="103"/>
      <c r="O58" s="107"/>
      <c r="P58" s="99"/>
      <c r="Q58" s="102">
        <v>2.4300000000000002</v>
      </c>
      <c r="R58" s="5"/>
      <c r="S58" s="100"/>
    </row>
    <row r="59" spans="1:19" x14ac:dyDescent="0.25">
      <c r="A59" s="86" t="s">
        <v>71</v>
      </c>
      <c r="B59" s="109">
        <f>$V$26</f>
        <v>2.5000000000000022E-3</v>
      </c>
      <c r="C59" s="110">
        <f t="shared" ref="C59:S59" si="41">$V$26</f>
        <v>2.5000000000000022E-3</v>
      </c>
      <c r="D59" s="110">
        <f t="shared" si="41"/>
        <v>2.5000000000000022E-3</v>
      </c>
      <c r="E59" s="110">
        <f t="shared" si="41"/>
        <v>2.5000000000000022E-3</v>
      </c>
      <c r="F59" s="110">
        <f t="shared" si="41"/>
        <v>2.5000000000000022E-3</v>
      </c>
      <c r="G59" s="110">
        <f t="shared" si="41"/>
        <v>2.5000000000000022E-3</v>
      </c>
      <c r="H59" s="110">
        <f t="shared" si="41"/>
        <v>2.5000000000000022E-3</v>
      </c>
      <c r="I59" s="111">
        <f t="shared" si="41"/>
        <v>2.5000000000000022E-3</v>
      </c>
      <c r="J59" s="109">
        <f t="shared" si="41"/>
        <v>2.5000000000000022E-3</v>
      </c>
      <c r="K59" s="110">
        <f t="shared" si="41"/>
        <v>2.5000000000000022E-3</v>
      </c>
      <c r="L59" s="110">
        <f t="shared" si="41"/>
        <v>2.5000000000000022E-3</v>
      </c>
      <c r="M59" s="110">
        <f t="shared" si="41"/>
        <v>2.5000000000000022E-3</v>
      </c>
      <c r="N59" s="110">
        <f t="shared" si="41"/>
        <v>2.5000000000000022E-3</v>
      </c>
      <c r="O59" s="111">
        <f t="shared" si="41"/>
        <v>2.5000000000000022E-3</v>
      </c>
      <c r="P59" s="109">
        <f t="shared" si="41"/>
        <v>2.5000000000000022E-3</v>
      </c>
      <c r="Q59" s="113">
        <f t="shared" si="41"/>
        <v>2.5000000000000022E-3</v>
      </c>
      <c r="R59" s="110">
        <f t="shared" si="41"/>
        <v>2.5000000000000022E-3</v>
      </c>
      <c r="S59" s="111">
        <f t="shared" si="41"/>
        <v>2.5000000000000022E-3</v>
      </c>
    </row>
    <row r="60" spans="1:19" ht="13" x14ac:dyDescent="0.3">
      <c r="A60" s="62" t="s">
        <v>73</v>
      </c>
      <c r="B60" s="116">
        <f>(B56+B57+(B58*$X$1))*(1+B59)</f>
        <v>120.80856922615261</v>
      </c>
      <c r="C60" s="117">
        <f t="shared" ref="C60:S60" si="42">(C56+C57+(C58*$X$1))*(1+C59)</f>
        <v>154.87956516258879</v>
      </c>
      <c r="D60" s="117">
        <f t="shared" si="42"/>
        <v>170.9767383437777</v>
      </c>
      <c r="E60" s="117">
        <f t="shared" si="42"/>
        <v>322.64618124151616</v>
      </c>
      <c r="F60" s="117">
        <f t="shared" si="42"/>
        <v>330.48296292183181</v>
      </c>
      <c r="G60" s="117">
        <f t="shared" si="42"/>
        <v>349.19239666312592</v>
      </c>
      <c r="H60" s="117">
        <f t="shared" si="42"/>
        <v>386.96427232951214</v>
      </c>
      <c r="I60" s="118">
        <f t="shared" si="42"/>
        <v>401.08459968143234</v>
      </c>
      <c r="J60" s="119">
        <f t="shared" si="42"/>
        <v>121.75465751668845</v>
      </c>
      <c r="K60" s="120">
        <f t="shared" si="42"/>
        <v>122.47282171265307</v>
      </c>
      <c r="L60" s="120">
        <f t="shared" si="42"/>
        <v>242.49583078334624</v>
      </c>
      <c r="M60" s="120">
        <f t="shared" ref="M60" si="43">(M56+M57+(M58*$X$1))*(1+M59)</f>
        <v>320.97881034998596</v>
      </c>
      <c r="N60" s="120">
        <f t="shared" si="42"/>
        <v>335.34209426927839</v>
      </c>
      <c r="O60" s="175">
        <f t="shared" si="42"/>
        <v>392.79522994644805</v>
      </c>
      <c r="P60" s="122">
        <f t="shared" si="42"/>
        <v>121.52230402536647</v>
      </c>
      <c r="Q60" s="123">
        <f t="shared" si="42"/>
        <v>168.81066777726082</v>
      </c>
      <c r="R60" s="124">
        <f t="shared" si="42"/>
        <v>318.34233793269465</v>
      </c>
      <c r="S60" s="125">
        <f t="shared" si="42"/>
        <v>332.56686014581391</v>
      </c>
    </row>
    <row r="61" spans="1:19" x14ac:dyDescent="0.25">
      <c r="A61" s="86" t="s">
        <v>75</v>
      </c>
      <c r="B61" s="129">
        <v>9.2499999999999999E-2</v>
      </c>
      <c r="C61" s="130">
        <v>9.2499999999999999E-2</v>
      </c>
      <c r="D61" s="130">
        <v>9.2499999999999999E-2</v>
      </c>
      <c r="E61" s="130">
        <v>9.2499999999999999E-2</v>
      </c>
      <c r="F61" s="130">
        <v>9.2499999999999999E-2</v>
      </c>
      <c r="G61" s="130">
        <v>9.2499999999999999E-2</v>
      </c>
      <c r="H61" s="130">
        <v>9.2499999999999999E-2</v>
      </c>
      <c r="I61" s="131">
        <v>9.2499999999999999E-2</v>
      </c>
      <c r="J61" s="129">
        <v>9.2499999999999999E-2</v>
      </c>
      <c r="K61" s="130">
        <v>9.2499999999999999E-2</v>
      </c>
      <c r="L61" s="130">
        <v>9.2499999999999999E-2</v>
      </c>
      <c r="M61" s="130">
        <v>9.2499999999999999E-2</v>
      </c>
      <c r="N61" s="130">
        <v>9.2499999999999999E-2</v>
      </c>
      <c r="O61" s="131">
        <v>9.2499999999999999E-2</v>
      </c>
      <c r="P61" s="129">
        <v>9.2499999999999999E-2</v>
      </c>
      <c r="Q61" s="133">
        <v>9.2499999999999999E-2</v>
      </c>
      <c r="R61" s="130">
        <v>9.2499999999999999E-2</v>
      </c>
      <c r="S61" s="131">
        <v>9.2499999999999999E-2</v>
      </c>
    </row>
    <row r="62" spans="1:19" x14ac:dyDescent="0.25">
      <c r="A62" s="86" t="s">
        <v>36</v>
      </c>
      <c r="B62" s="87">
        <v>0.22</v>
      </c>
      <c r="C62" s="88">
        <v>0.22</v>
      </c>
      <c r="D62" s="88">
        <v>0.22</v>
      </c>
      <c r="E62" s="88">
        <v>0.22</v>
      </c>
      <c r="F62" s="88">
        <v>0.22</v>
      </c>
      <c r="G62" s="88">
        <v>0.22</v>
      </c>
      <c r="H62" s="88">
        <v>0.22</v>
      </c>
      <c r="I62" s="89">
        <v>0.22</v>
      </c>
      <c r="J62" s="135">
        <v>0.20499999999999999</v>
      </c>
      <c r="K62" s="136">
        <v>0.20499999999999999</v>
      </c>
      <c r="L62" s="136">
        <v>0.20499999999999999</v>
      </c>
      <c r="M62" s="136">
        <v>0.20499999999999999</v>
      </c>
      <c r="N62" s="136">
        <v>0.20499999999999999</v>
      </c>
      <c r="O62" s="176">
        <v>0.20499999999999999</v>
      </c>
      <c r="P62" s="87">
        <v>0.18</v>
      </c>
      <c r="Q62" s="91">
        <v>0.18</v>
      </c>
      <c r="R62" s="88">
        <v>0.18</v>
      </c>
      <c r="S62" s="89">
        <v>0.18</v>
      </c>
    </row>
    <row r="63" spans="1:19" ht="13" x14ac:dyDescent="0.3">
      <c r="A63" s="62" t="s">
        <v>76</v>
      </c>
      <c r="B63" s="139">
        <f>(B60/(1-B61))/(1-B62)</f>
        <v>170.66973119467769</v>
      </c>
      <c r="C63" s="140">
        <f t="shared" ref="C63:S63" si="44">(C60/(1-C61))/(1-C62)</f>
        <v>218.80280449613448</v>
      </c>
      <c r="D63" s="140">
        <f t="shared" si="44"/>
        <v>241.54374280395237</v>
      </c>
      <c r="E63" s="140">
        <f t="shared" si="44"/>
        <v>455.81151549271198</v>
      </c>
      <c r="F63" s="140">
        <f t="shared" si="44"/>
        <v>466.88276177414963</v>
      </c>
      <c r="G63" s="140">
        <f t="shared" si="44"/>
        <v>493.31411550911338</v>
      </c>
      <c r="H63" s="140">
        <f t="shared" si="44"/>
        <v>546.67552776649302</v>
      </c>
      <c r="I63" s="141">
        <f t="shared" si="44"/>
        <v>566.62371926457911</v>
      </c>
      <c r="J63" s="139">
        <f t="shared" si="44"/>
        <v>168.76089542656541</v>
      </c>
      <c r="K63" s="140">
        <f t="shared" si="44"/>
        <v>169.75632373498701</v>
      </c>
      <c r="L63" s="140">
        <f t="shared" si="44"/>
        <v>336.11702726523725</v>
      </c>
      <c r="M63" s="140">
        <f t="shared" ref="M63" si="45">(M60/(1-M61))/(1-M62)</f>
        <v>444.9001997331614</v>
      </c>
      <c r="N63" s="140">
        <f t="shared" si="44"/>
        <v>464.80876590159346</v>
      </c>
      <c r="O63" s="141">
        <f t="shared" si="44"/>
        <v>544.4430305753217</v>
      </c>
      <c r="P63" s="139">
        <f t="shared" si="44"/>
        <v>163.30350604766036</v>
      </c>
      <c r="Q63" s="143">
        <f t="shared" si="44"/>
        <v>226.85032288820909</v>
      </c>
      <c r="R63" s="140">
        <f t="shared" si="44"/>
        <v>427.7932378320159</v>
      </c>
      <c r="S63" s="141">
        <f t="shared" si="44"/>
        <v>446.90836544488866</v>
      </c>
    </row>
    <row r="64" spans="1:19" x14ac:dyDescent="0.25">
      <c r="A64" s="76"/>
      <c r="B64" s="146"/>
      <c r="I64" s="147"/>
      <c r="J64" s="146"/>
      <c r="O64" s="147"/>
      <c r="P64" s="106"/>
      <c r="Q64" s="148"/>
      <c r="R64" s="103"/>
      <c r="S64" s="107"/>
    </row>
    <row r="65" spans="1:19" x14ac:dyDescent="0.25">
      <c r="A65" s="86" t="s">
        <v>75</v>
      </c>
      <c r="B65" s="129">
        <v>9.2499999999999999E-2</v>
      </c>
      <c r="C65" s="130">
        <v>9.2499999999999999E-2</v>
      </c>
      <c r="D65" s="130">
        <v>9.2499999999999999E-2</v>
      </c>
      <c r="E65" s="130">
        <v>9.2499999999999999E-2</v>
      </c>
      <c r="F65" s="130">
        <v>9.2499999999999999E-2</v>
      </c>
      <c r="G65" s="130">
        <v>9.2499999999999999E-2</v>
      </c>
      <c r="H65" s="130">
        <v>9.2499999999999999E-2</v>
      </c>
      <c r="I65" s="131">
        <v>9.2499999999999999E-2</v>
      </c>
      <c r="J65" s="129">
        <v>9.2499999999999999E-2</v>
      </c>
      <c r="K65" s="130">
        <v>9.2499999999999999E-2</v>
      </c>
      <c r="L65" s="130">
        <v>9.2499999999999999E-2</v>
      </c>
      <c r="M65" s="130">
        <v>9.2499999999999999E-2</v>
      </c>
      <c r="N65" s="130">
        <v>9.2499999999999999E-2</v>
      </c>
      <c r="O65" s="131">
        <v>9.2499999999999999E-2</v>
      </c>
      <c r="P65" s="129">
        <v>9.2499999999999999E-2</v>
      </c>
      <c r="Q65" s="133">
        <v>9.2499999999999999E-2</v>
      </c>
      <c r="R65" s="130">
        <v>9.2499999999999999E-2</v>
      </c>
      <c r="S65" s="131">
        <v>9.2499999999999999E-2</v>
      </c>
    </row>
    <row r="66" spans="1:19" x14ac:dyDescent="0.25">
      <c r="A66" s="86" t="s">
        <v>36</v>
      </c>
      <c r="B66" s="87">
        <v>0.12</v>
      </c>
      <c r="C66" s="88">
        <v>0.12</v>
      </c>
      <c r="D66" s="88">
        <v>0.12</v>
      </c>
      <c r="E66" s="88">
        <v>0.12</v>
      </c>
      <c r="F66" s="88">
        <v>0.12</v>
      </c>
      <c r="G66" s="88">
        <v>0.12</v>
      </c>
      <c r="H66" s="88">
        <v>0.12</v>
      </c>
      <c r="I66" s="89">
        <v>0.12</v>
      </c>
      <c r="J66" s="87">
        <v>0.12</v>
      </c>
      <c r="K66" s="88">
        <v>0.12</v>
      </c>
      <c r="L66" s="88">
        <v>0.12</v>
      </c>
      <c r="M66" s="88">
        <v>0.12</v>
      </c>
      <c r="N66" s="88">
        <v>0.12</v>
      </c>
      <c r="O66" s="89">
        <v>0.12</v>
      </c>
      <c r="P66" s="87">
        <v>0.12</v>
      </c>
      <c r="Q66" s="91">
        <v>0.12</v>
      </c>
      <c r="R66" s="88">
        <v>0.12</v>
      </c>
      <c r="S66" s="89">
        <v>0.12</v>
      </c>
    </row>
    <row r="67" spans="1:19" ht="13" x14ac:dyDescent="0.3">
      <c r="A67" s="62" t="s">
        <v>76</v>
      </c>
      <c r="B67" s="139">
        <f>(B60/(1-B65))/(1-B66)</f>
        <v>151.27544355891888</v>
      </c>
      <c r="C67" s="140">
        <f t="shared" ref="C67:S67" si="46">(C60/(1-C65))/(1-C66)</f>
        <v>193.93884943975556</v>
      </c>
      <c r="D67" s="140">
        <f t="shared" si="46"/>
        <v>214.09559021259415</v>
      </c>
      <c r="E67" s="140">
        <f t="shared" si="46"/>
        <v>404.01475236854014</v>
      </c>
      <c r="F67" s="140">
        <f t="shared" si="46"/>
        <v>413.82790248163263</v>
      </c>
      <c r="G67" s="140">
        <f t="shared" si="46"/>
        <v>437.2556932921687</v>
      </c>
      <c r="H67" s="140">
        <f t="shared" si="46"/>
        <v>484.5533087021189</v>
      </c>
      <c r="I67" s="141">
        <f t="shared" si="46"/>
        <v>502.23466025724065</v>
      </c>
      <c r="J67" s="139">
        <f t="shared" si="46"/>
        <v>152.46012711831764</v>
      </c>
      <c r="K67" s="140">
        <f t="shared" si="46"/>
        <v>153.35940610149396</v>
      </c>
      <c r="L67" s="140">
        <f t="shared" si="46"/>
        <v>303.65117804075413</v>
      </c>
      <c r="M67" s="140">
        <f t="shared" ref="M67" si="47">(M60/(1-M65))/(1-M66)</f>
        <v>401.92688498620834</v>
      </c>
      <c r="N67" s="140">
        <f t="shared" si="46"/>
        <v>419.912464649735</v>
      </c>
      <c r="O67" s="141">
        <f t="shared" si="46"/>
        <v>491.85478330384177</v>
      </c>
      <c r="P67" s="139">
        <f t="shared" si="46"/>
        <v>152.16917608986535</v>
      </c>
      <c r="Q67" s="143">
        <f t="shared" si="46"/>
        <v>211.38325541855849</v>
      </c>
      <c r="R67" s="140">
        <f t="shared" si="46"/>
        <v>398.62551707074215</v>
      </c>
      <c r="S67" s="141">
        <f t="shared" si="46"/>
        <v>416.43734052819173</v>
      </c>
    </row>
    <row r="68" spans="1:19" x14ac:dyDescent="0.25">
      <c r="A68" s="76"/>
      <c r="B68" s="146"/>
      <c r="I68" s="147"/>
      <c r="J68" s="156"/>
      <c r="K68" s="157"/>
      <c r="L68" s="157"/>
      <c r="M68" s="157"/>
      <c r="N68" s="157"/>
      <c r="O68" s="157"/>
      <c r="P68" s="156"/>
      <c r="Q68" s="157"/>
      <c r="R68" s="157"/>
      <c r="S68" s="158"/>
    </row>
    <row r="69" spans="1:19" x14ac:dyDescent="0.25">
      <c r="A69" s="86" t="s">
        <v>75</v>
      </c>
      <c r="B69" s="129">
        <v>9.2499999999999999E-2</v>
      </c>
      <c r="C69" s="130">
        <v>9.2499999999999999E-2</v>
      </c>
      <c r="D69" s="130">
        <v>9.2499999999999999E-2</v>
      </c>
      <c r="E69" s="130">
        <v>9.2499999999999999E-2</v>
      </c>
      <c r="F69" s="130">
        <v>9.2499999999999999E-2</v>
      </c>
      <c r="G69" s="130">
        <v>9.2499999999999999E-2</v>
      </c>
      <c r="H69" s="130">
        <v>9.2499999999999999E-2</v>
      </c>
      <c r="I69" s="131">
        <v>9.2499999999999999E-2</v>
      </c>
      <c r="J69" s="76"/>
      <c r="K69"/>
      <c r="L69" s="103" t="s">
        <v>82</v>
      </c>
      <c r="M69"/>
      <c r="N69"/>
      <c r="O69"/>
      <c r="P69" s="129">
        <v>9.2499999999999999E-2</v>
      </c>
      <c r="Q69" s="133">
        <v>9.2499999999999999E-2</v>
      </c>
      <c r="R69" s="130">
        <v>9.2499999999999999E-2</v>
      </c>
      <c r="S69" s="131">
        <v>9.2499999999999999E-2</v>
      </c>
    </row>
    <row r="70" spans="1:19" x14ac:dyDescent="0.25">
      <c r="A70" s="86" t="s">
        <v>36</v>
      </c>
      <c r="B70" s="87">
        <v>7.0000000000000007E-2</v>
      </c>
      <c r="C70" s="88">
        <v>7.0000000000000007E-2</v>
      </c>
      <c r="D70" s="88">
        <v>7.0000000000000007E-2</v>
      </c>
      <c r="E70" s="88">
        <v>7.0000000000000007E-2</v>
      </c>
      <c r="F70" s="88">
        <v>7.0000000000000007E-2</v>
      </c>
      <c r="G70" s="88">
        <v>7.0000000000000007E-2</v>
      </c>
      <c r="H70" s="88">
        <v>7.0000000000000007E-2</v>
      </c>
      <c r="I70" s="89">
        <v>7.0000000000000007E-2</v>
      </c>
      <c r="J70" s="76"/>
      <c r="K70"/>
      <c r="L70" s="94">
        <f>L60*(1+12%)</f>
        <v>271.59533047734783</v>
      </c>
      <c r="M70"/>
      <c r="N70"/>
      <c r="O70"/>
      <c r="P70" s="87">
        <v>7.0000000000000007E-2</v>
      </c>
      <c r="Q70" s="91">
        <v>7.0000000000000007E-2</v>
      </c>
      <c r="R70" s="88">
        <v>7.0000000000000007E-2</v>
      </c>
      <c r="S70" s="89">
        <v>7.0000000000000007E-2</v>
      </c>
    </row>
    <row r="71" spans="1:19" ht="13.5" thickBot="1" x14ac:dyDescent="0.35">
      <c r="A71" s="163" t="s">
        <v>76</v>
      </c>
      <c r="B71" s="164">
        <f>(B60/(1-B69))/(1-B70)</f>
        <v>143.14235519553614</v>
      </c>
      <c r="C71" s="165">
        <f t="shared" ref="C71:I71" si="48">(C60/(1-C69))/(1-C70)</f>
        <v>183.51202957740313</v>
      </c>
      <c r="D71" s="165">
        <f t="shared" si="48"/>
        <v>202.58507460976654</v>
      </c>
      <c r="E71" s="165">
        <f t="shared" si="48"/>
        <v>382.29352912291972</v>
      </c>
      <c r="F71" s="165">
        <f t="shared" si="48"/>
        <v>391.57909052025457</v>
      </c>
      <c r="G71" s="165">
        <f t="shared" si="48"/>
        <v>413.7473226850629</v>
      </c>
      <c r="H71" s="165">
        <f t="shared" si="48"/>
        <v>458.50205554609101</v>
      </c>
      <c r="I71" s="166">
        <f t="shared" si="48"/>
        <v>475.2327968025503</v>
      </c>
      <c r="J71" s="167"/>
      <c r="K71" s="168"/>
      <c r="L71" s="168"/>
      <c r="M71" s="168"/>
      <c r="N71" s="168"/>
      <c r="O71" s="168"/>
      <c r="P71" s="164">
        <f>(P60/(1-P69))/(1-P70)</f>
        <v>143.98803759041024</v>
      </c>
      <c r="Q71" s="195">
        <f t="shared" ref="Q71:S71" si="49">(Q60/(1-Q69))/(1-Q70)</f>
        <v>200.01856426702309</v>
      </c>
      <c r="R71" s="165">
        <f t="shared" si="49"/>
        <v>377.19403765833664</v>
      </c>
      <c r="S71" s="166">
        <f t="shared" si="49"/>
        <v>394.04823619871911</v>
      </c>
    </row>
    <row r="72" spans="1:19" ht="13" thickBot="1" x14ac:dyDescent="0.3"/>
    <row r="73" spans="1:19" ht="13" x14ac:dyDescent="0.3">
      <c r="A73" s="47" t="s">
        <v>40</v>
      </c>
      <c r="B73" s="48" t="s">
        <v>41</v>
      </c>
      <c r="C73" s="49" t="s">
        <v>41</v>
      </c>
      <c r="D73" s="49" t="s">
        <v>41</v>
      </c>
      <c r="E73" s="49" t="s">
        <v>41</v>
      </c>
      <c r="F73" s="49" t="s">
        <v>41</v>
      </c>
      <c r="G73" s="49" t="s">
        <v>41</v>
      </c>
      <c r="H73" s="49" t="s">
        <v>41</v>
      </c>
      <c r="I73" s="50" t="s">
        <v>41</v>
      </c>
      <c r="J73" s="51" t="s">
        <v>42</v>
      </c>
      <c r="K73" s="52" t="s">
        <v>42</v>
      </c>
      <c r="L73" s="52" t="s">
        <v>42</v>
      </c>
      <c r="M73" s="52" t="s">
        <v>42</v>
      </c>
      <c r="N73" s="52" t="s">
        <v>42</v>
      </c>
      <c r="O73" s="172" t="s">
        <v>42</v>
      </c>
      <c r="P73" s="54" t="s">
        <v>43</v>
      </c>
      <c r="Q73" s="55" t="s">
        <v>43</v>
      </c>
      <c r="R73" s="56" t="s">
        <v>43</v>
      </c>
      <c r="S73" s="57" t="s">
        <v>43</v>
      </c>
    </row>
    <row r="74" spans="1:19" ht="13" x14ac:dyDescent="0.3">
      <c r="A74" s="62" t="s">
        <v>45</v>
      </c>
      <c r="B74" s="63">
        <v>13.7</v>
      </c>
      <c r="C74" s="64">
        <v>17.8</v>
      </c>
      <c r="D74" s="64">
        <v>20.079999999999998</v>
      </c>
      <c r="E74" s="64">
        <v>38.89</v>
      </c>
      <c r="F74" s="64">
        <v>40</v>
      </c>
      <c r="G74" s="64">
        <v>42.65</v>
      </c>
      <c r="H74" s="64">
        <v>48</v>
      </c>
      <c r="I74" s="65">
        <v>50</v>
      </c>
      <c r="J74" s="63">
        <v>13.6</v>
      </c>
      <c r="K74" s="64">
        <v>13.7</v>
      </c>
      <c r="L74" s="64">
        <v>28.7</v>
      </c>
      <c r="M74" s="64">
        <v>38</v>
      </c>
      <c r="N74" s="64">
        <v>40</v>
      </c>
      <c r="O74" s="65">
        <v>48</v>
      </c>
      <c r="P74" s="63">
        <v>13.7</v>
      </c>
      <c r="Q74" s="18">
        <v>17.8</v>
      </c>
      <c r="R74" s="64">
        <v>38</v>
      </c>
      <c r="S74" s="65">
        <v>40</v>
      </c>
    </row>
    <row r="75" spans="1:19" x14ac:dyDescent="0.25">
      <c r="A75" s="70" t="s">
        <v>46</v>
      </c>
      <c r="B75" s="71">
        <f t="shared" ref="B75:S75" si="50">1-B76</f>
        <v>0.4</v>
      </c>
      <c r="C75" s="72">
        <f t="shared" si="50"/>
        <v>0.4</v>
      </c>
      <c r="D75" s="72">
        <f t="shared" si="50"/>
        <v>0.4</v>
      </c>
      <c r="E75" s="72">
        <f t="shared" si="50"/>
        <v>0.4</v>
      </c>
      <c r="F75" s="72">
        <f t="shared" si="50"/>
        <v>0.4</v>
      </c>
      <c r="G75" s="72">
        <f t="shared" si="50"/>
        <v>0.4</v>
      </c>
      <c r="H75" s="72">
        <f t="shared" si="50"/>
        <v>0.4</v>
      </c>
      <c r="I75" s="73">
        <f t="shared" si="50"/>
        <v>0.4</v>
      </c>
      <c r="J75" s="71">
        <f t="shared" si="50"/>
        <v>0.4</v>
      </c>
      <c r="K75" s="72">
        <f t="shared" si="50"/>
        <v>0.4</v>
      </c>
      <c r="L75" s="72">
        <f t="shared" si="50"/>
        <v>0.4</v>
      </c>
      <c r="M75" s="72">
        <f t="shared" si="50"/>
        <v>0.4</v>
      </c>
      <c r="N75" s="72">
        <f t="shared" si="50"/>
        <v>0.4</v>
      </c>
      <c r="O75" s="73">
        <f t="shared" si="50"/>
        <v>0.4</v>
      </c>
      <c r="P75" s="71">
        <f t="shared" si="50"/>
        <v>0.4</v>
      </c>
      <c r="Q75" s="75">
        <f t="shared" si="50"/>
        <v>0.4</v>
      </c>
      <c r="R75" s="72">
        <f t="shared" si="50"/>
        <v>0.4</v>
      </c>
      <c r="S75" s="73">
        <f t="shared" si="50"/>
        <v>0.4</v>
      </c>
    </row>
    <row r="76" spans="1:19" x14ac:dyDescent="0.25">
      <c r="A76" s="80" t="s">
        <v>52</v>
      </c>
      <c r="B76" s="81">
        <v>0.6</v>
      </c>
      <c r="C76" s="82">
        <v>0.6</v>
      </c>
      <c r="D76" s="82">
        <v>0.6</v>
      </c>
      <c r="E76" s="82">
        <v>0.6</v>
      </c>
      <c r="F76" s="82">
        <v>0.6</v>
      </c>
      <c r="G76" s="82">
        <v>0.6</v>
      </c>
      <c r="H76" s="82">
        <v>0.6</v>
      </c>
      <c r="I76" s="83">
        <v>0.6</v>
      </c>
      <c r="J76" s="81">
        <v>0.6</v>
      </c>
      <c r="K76" s="82">
        <v>0.6</v>
      </c>
      <c r="L76" s="82">
        <v>0.6</v>
      </c>
      <c r="M76" s="82">
        <v>0.6</v>
      </c>
      <c r="N76" s="82">
        <v>0.6</v>
      </c>
      <c r="O76" s="83">
        <v>0.6</v>
      </c>
      <c r="P76" s="81">
        <v>0.6</v>
      </c>
      <c r="Q76" s="85">
        <v>0.6</v>
      </c>
      <c r="R76" s="82">
        <v>0.6</v>
      </c>
      <c r="S76" s="83">
        <v>0.6</v>
      </c>
    </row>
    <row r="77" spans="1:19" x14ac:dyDescent="0.25">
      <c r="A77" s="86" t="s">
        <v>32</v>
      </c>
      <c r="B77" s="87">
        <v>0.01</v>
      </c>
      <c r="C77" s="88">
        <v>0.01</v>
      </c>
      <c r="D77" s="88">
        <v>0.01</v>
      </c>
      <c r="E77" s="88">
        <v>0.01</v>
      </c>
      <c r="F77" s="88">
        <v>0.01</v>
      </c>
      <c r="G77" s="88">
        <v>0.01</v>
      </c>
      <c r="H77" s="88">
        <v>0.01</v>
      </c>
      <c r="I77" s="89">
        <v>0.01</v>
      </c>
      <c r="J77" s="87">
        <v>0.01</v>
      </c>
      <c r="K77" s="88">
        <v>0.01</v>
      </c>
      <c r="L77" s="88">
        <v>0.01</v>
      </c>
      <c r="M77" s="88">
        <v>0.01</v>
      </c>
      <c r="N77" s="88">
        <v>0.01</v>
      </c>
      <c r="O77" s="89">
        <v>0.01</v>
      </c>
      <c r="P77" s="87">
        <v>0.01</v>
      </c>
      <c r="Q77" s="91">
        <v>0.01</v>
      </c>
      <c r="R77" s="88">
        <v>0.01</v>
      </c>
      <c r="S77" s="89">
        <v>0.01</v>
      </c>
    </row>
    <row r="78" spans="1:19" x14ac:dyDescent="0.25">
      <c r="A78" s="92" t="s">
        <v>54</v>
      </c>
      <c r="B78" s="93">
        <f>(($V$13*B75)+($V$19*B76))*(1+B77)</f>
        <v>7308.3972175277449</v>
      </c>
      <c r="C78" s="94">
        <f t="shared" ref="C78:I78" si="51">(($V$13*C75)+($V$19*C76))*(1+C77)</f>
        <v>7308.3972175277449</v>
      </c>
      <c r="D78" s="94">
        <f t="shared" si="51"/>
        <v>7308.3972175277449</v>
      </c>
      <c r="E78" s="94">
        <f t="shared" si="51"/>
        <v>7308.3972175277449</v>
      </c>
      <c r="F78" s="94">
        <f t="shared" si="51"/>
        <v>7308.3972175277449</v>
      </c>
      <c r="G78" s="94">
        <f t="shared" si="51"/>
        <v>7308.3972175277449</v>
      </c>
      <c r="H78" s="94">
        <f t="shared" si="51"/>
        <v>7308.3972175277449</v>
      </c>
      <c r="I78" s="95">
        <f t="shared" si="51"/>
        <v>7308.3972175277449</v>
      </c>
      <c r="J78" s="93">
        <f>(($W$13*J75)+($W$19*J76))*(1+J77)</f>
        <v>7533.4664953620313</v>
      </c>
      <c r="K78" s="94">
        <f t="shared" ref="K78:O78" si="52">(($W$13*K75)+($W$19*K76))*(1+K77)</f>
        <v>7533.4664953620313</v>
      </c>
      <c r="L78" s="94">
        <f t="shared" si="52"/>
        <v>7533.4664953620313</v>
      </c>
      <c r="M78" s="94">
        <f t="shared" ref="M78" si="53">(($W$13*M75)+($W$19*M76))*(1+M77)</f>
        <v>7533.4664953620313</v>
      </c>
      <c r="N78" s="94">
        <f t="shared" si="52"/>
        <v>7533.4664953620313</v>
      </c>
      <c r="O78" s="95">
        <f t="shared" si="52"/>
        <v>7533.4664953620313</v>
      </c>
      <c r="P78" s="93">
        <f>(($X$13*P75)+($X$19*P76))*(1+P77)</f>
        <v>7343.0422254077448</v>
      </c>
      <c r="Q78" s="97">
        <f>(($X$13*Q75)+($X$19*Q76))*(1+Q77)</f>
        <v>7343.0422254077448</v>
      </c>
      <c r="R78" s="94">
        <f>(($X$13*R75)+($X$19*R76))*(1+R77)</f>
        <v>7343.0422254077448</v>
      </c>
      <c r="S78" s="95">
        <f>(($X$13*S75)+($X$19*S76))*(1+S77)</f>
        <v>7343.0422254077448</v>
      </c>
    </row>
    <row r="79" spans="1:19" x14ac:dyDescent="0.25">
      <c r="A79" s="92" t="s">
        <v>59</v>
      </c>
      <c r="B79" s="99">
        <f>B80/$X$1</f>
        <v>18.757032948694285</v>
      </c>
      <c r="C79" s="5">
        <f t="shared" ref="C79:S79" si="54">C80/$X$1</f>
        <v>24.370451568376517</v>
      </c>
      <c r="D79" s="5">
        <f t="shared" si="54"/>
        <v>27.492059971516881</v>
      </c>
      <c r="E79" s="5">
        <f t="shared" si="54"/>
        <v>53.245329297424874</v>
      </c>
      <c r="F79" s="5">
        <f t="shared" si="54"/>
        <v>54.765059704216895</v>
      </c>
      <c r="G79" s="5">
        <f t="shared" si="54"/>
        <v>58.393244909621266</v>
      </c>
      <c r="H79" s="5">
        <f t="shared" si="54"/>
        <v>65.718071645060277</v>
      </c>
      <c r="I79" s="100">
        <f t="shared" si="54"/>
        <v>68.456324630271126</v>
      </c>
      <c r="J79" s="99">
        <f t="shared" si="54"/>
        <v>19.193545211113456</v>
      </c>
      <c r="K79" s="5">
        <f t="shared" si="54"/>
        <v>19.334674220018702</v>
      </c>
      <c r="L79" s="5">
        <f t="shared" si="54"/>
        <v>40.504025555805597</v>
      </c>
      <c r="M79" s="5">
        <f t="shared" si="54"/>
        <v>53.629023383993484</v>
      </c>
      <c r="N79" s="5">
        <f t="shared" si="54"/>
        <v>56.451603562098406</v>
      </c>
      <c r="O79" s="100">
        <f t="shared" si="54"/>
        <v>67.74192427451807</v>
      </c>
      <c r="P79" s="99">
        <f t="shared" si="54"/>
        <v>18.845949510694286</v>
      </c>
      <c r="Q79" s="102">
        <f t="shared" si="54"/>
        <v>24.485978196376518</v>
      </c>
      <c r="R79" s="5">
        <f t="shared" si="54"/>
        <v>52.273436599006047</v>
      </c>
      <c r="S79" s="100">
        <f t="shared" si="54"/>
        <v>55.024670104216902</v>
      </c>
    </row>
    <row r="80" spans="1:19" x14ac:dyDescent="0.25">
      <c r="A80" s="86" t="s">
        <v>63</v>
      </c>
      <c r="B80" s="93">
        <f t="shared" ref="B80:S80" si="55">B78*(B74/1000)</f>
        <v>100.1250418801301</v>
      </c>
      <c r="C80" s="94">
        <f t="shared" si="55"/>
        <v>130.08947047199385</v>
      </c>
      <c r="D80" s="94">
        <f t="shared" si="55"/>
        <v>146.75261612795711</v>
      </c>
      <c r="E80" s="94">
        <f t="shared" si="55"/>
        <v>284.223567789654</v>
      </c>
      <c r="F80" s="94">
        <f t="shared" si="55"/>
        <v>292.33588870110981</v>
      </c>
      <c r="G80" s="94">
        <f t="shared" si="55"/>
        <v>311.70314132755834</v>
      </c>
      <c r="H80" s="94">
        <f t="shared" si="55"/>
        <v>350.80306644133174</v>
      </c>
      <c r="I80" s="95">
        <f t="shared" si="55"/>
        <v>365.41986087638725</v>
      </c>
      <c r="J80" s="93">
        <f t="shared" si="55"/>
        <v>102.45514433692362</v>
      </c>
      <c r="K80" s="94">
        <f t="shared" si="55"/>
        <v>103.20849098645982</v>
      </c>
      <c r="L80" s="94">
        <f t="shared" si="55"/>
        <v>216.21048841689029</v>
      </c>
      <c r="M80" s="94">
        <f t="shared" ref="M80" si="56">M78*(M74/1000)</f>
        <v>286.27172682375721</v>
      </c>
      <c r="N80" s="94">
        <f t="shared" si="55"/>
        <v>301.33865981448128</v>
      </c>
      <c r="O80" s="95">
        <f t="shared" si="55"/>
        <v>361.6063917773775</v>
      </c>
      <c r="P80" s="93">
        <f t="shared" si="55"/>
        <v>100.5996784880861</v>
      </c>
      <c r="Q80" s="97">
        <f t="shared" si="55"/>
        <v>130.70615161225786</v>
      </c>
      <c r="R80" s="94">
        <f t="shared" si="55"/>
        <v>279.03560456549428</v>
      </c>
      <c r="S80" s="95">
        <f t="shared" si="55"/>
        <v>293.72168901630982</v>
      </c>
    </row>
    <row r="81" spans="1:19" x14ac:dyDescent="0.25">
      <c r="A81" s="86" t="s">
        <v>66</v>
      </c>
      <c r="B81" s="93">
        <v>24.0242662</v>
      </c>
      <c r="C81" s="94">
        <v>29.1358122</v>
      </c>
      <c r="D81" s="94">
        <v>29.1358122</v>
      </c>
      <c r="E81" s="94">
        <v>47.956524571999999</v>
      </c>
      <c r="F81" s="94">
        <v>47.956524571999999</v>
      </c>
      <c r="G81" s="94">
        <v>47.956524571999999</v>
      </c>
      <c r="H81" s="94">
        <v>47.956524571999999</v>
      </c>
      <c r="I81" s="95">
        <v>47.956524571999999</v>
      </c>
      <c r="J81" s="93">
        <v>24.0242662</v>
      </c>
      <c r="K81" s="94">
        <v>24.0242662</v>
      </c>
      <c r="L81" s="94">
        <v>36.291976599999998</v>
      </c>
      <c r="M81" s="94">
        <v>47.956524571999999</v>
      </c>
      <c r="N81" s="94">
        <v>47.956524571999999</v>
      </c>
      <c r="O81" s="96">
        <v>47.956524571999999</v>
      </c>
      <c r="P81" s="93">
        <v>24.0242662</v>
      </c>
      <c r="Q81" s="97">
        <v>29.1358122</v>
      </c>
      <c r="R81" s="94">
        <v>47.956524571999999</v>
      </c>
      <c r="S81" s="95">
        <v>47.956524571999999</v>
      </c>
    </row>
    <row r="82" spans="1:19" x14ac:dyDescent="0.25">
      <c r="A82" s="86" t="s">
        <v>69</v>
      </c>
      <c r="B82" s="106"/>
      <c r="C82" s="103"/>
      <c r="D82" s="103"/>
      <c r="E82" s="103"/>
      <c r="F82" s="103"/>
      <c r="G82" s="103"/>
      <c r="H82" s="103"/>
      <c r="I82" s="107"/>
      <c r="J82" s="106"/>
      <c r="K82" s="103"/>
      <c r="L82" s="103"/>
      <c r="M82" s="103"/>
      <c r="N82" s="103"/>
      <c r="O82" s="107"/>
      <c r="P82" s="99"/>
      <c r="Q82" s="102">
        <v>2.4300000000000002</v>
      </c>
      <c r="R82" s="5"/>
      <c r="S82" s="100"/>
    </row>
    <row r="83" spans="1:19" x14ac:dyDescent="0.25">
      <c r="A83" s="86" t="s">
        <v>71</v>
      </c>
      <c r="B83" s="109">
        <f>$V$26</f>
        <v>2.5000000000000022E-3</v>
      </c>
      <c r="C83" s="110">
        <f t="shared" ref="C83:S83" si="57">$V$26</f>
        <v>2.5000000000000022E-3</v>
      </c>
      <c r="D83" s="110">
        <f t="shared" si="57"/>
        <v>2.5000000000000022E-3</v>
      </c>
      <c r="E83" s="110">
        <f t="shared" si="57"/>
        <v>2.5000000000000022E-3</v>
      </c>
      <c r="F83" s="110">
        <f t="shared" si="57"/>
        <v>2.5000000000000022E-3</v>
      </c>
      <c r="G83" s="110">
        <f t="shared" si="57"/>
        <v>2.5000000000000022E-3</v>
      </c>
      <c r="H83" s="110">
        <f t="shared" si="57"/>
        <v>2.5000000000000022E-3</v>
      </c>
      <c r="I83" s="111">
        <f t="shared" si="57"/>
        <v>2.5000000000000022E-3</v>
      </c>
      <c r="J83" s="109">
        <f t="shared" si="57"/>
        <v>2.5000000000000022E-3</v>
      </c>
      <c r="K83" s="110">
        <f t="shared" si="57"/>
        <v>2.5000000000000022E-3</v>
      </c>
      <c r="L83" s="110">
        <f t="shared" si="57"/>
        <v>2.5000000000000022E-3</v>
      </c>
      <c r="M83" s="110">
        <f t="shared" si="57"/>
        <v>2.5000000000000022E-3</v>
      </c>
      <c r="N83" s="110">
        <f t="shared" si="57"/>
        <v>2.5000000000000022E-3</v>
      </c>
      <c r="O83" s="111">
        <f t="shared" si="57"/>
        <v>2.5000000000000022E-3</v>
      </c>
      <c r="P83" s="109">
        <f t="shared" si="57"/>
        <v>2.5000000000000022E-3</v>
      </c>
      <c r="Q83" s="113">
        <f t="shared" si="57"/>
        <v>2.5000000000000022E-3</v>
      </c>
      <c r="R83" s="110">
        <f t="shared" si="57"/>
        <v>2.5000000000000022E-3</v>
      </c>
      <c r="S83" s="111">
        <f t="shared" si="57"/>
        <v>2.5000000000000022E-3</v>
      </c>
    </row>
    <row r="84" spans="1:19" ht="13" x14ac:dyDescent="0.3">
      <c r="A84" s="62" t="s">
        <v>73</v>
      </c>
      <c r="B84" s="116">
        <f t="shared" ref="B84:S84" si="58">(B80+B81+(B82*$X$1))*(1+B83)</f>
        <v>124.45968135033041</v>
      </c>
      <c r="C84" s="117">
        <f t="shared" si="58"/>
        <v>159.62334587867383</v>
      </c>
      <c r="D84" s="117">
        <f t="shared" si="58"/>
        <v>176.32814939877699</v>
      </c>
      <c r="E84" s="117">
        <f t="shared" si="58"/>
        <v>333.01054259255807</v>
      </c>
      <c r="F84" s="117">
        <f t="shared" si="58"/>
        <v>341.14314430629253</v>
      </c>
      <c r="G84" s="117">
        <f t="shared" si="58"/>
        <v>360.55881506430717</v>
      </c>
      <c r="H84" s="117">
        <f t="shared" si="58"/>
        <v>399.75648999086502</v>
      </c>
      <c r="I84" s="118">
        <f t="shared" si="58"/>
        <v>414.40982641200816</v>
      </c>
      <c r="J84" s="119">
        <f t="shared" si="58"/>
        <v>126.79560906326593</v>
      </c>
      <c r="K84" s="120">
        <f t="shared" si="58"/>
        <v>127.55083907942597</v>
      </c>
      <c r="L84" s="120">
        <f t="shared" si="58"/>
        <v>253.13372117943248</v>
      </c>
      <c r="M84" s="120">
        <f t="shared" ref="M84" si="59">(M80+M81+(M82*$X$1))*(1+M83)</f>
        <v>335.06382202424658</v>
      </c>
      <c r="N84" s="120">
        <f t="shared" si="58"/>
        <v>350.16842234744746</v>
      </c>
      <c r="O84" s="175">
        <f t="shared" si="58"/>
        <v>410.58682364025088</v>
      </c>
      <c r="P84" s="122">
        <f t="shared" si="58"/>
        <v>124.93550454980631</v>
      </c>
      <c r="Q84" s="123">
        <f t="shared" si="58"/>
        <v>173.2453370717885</v>
      </c>
      <c r="R84" s="124">
        <f t="shared" si="58"/>
        <v>327.80960946033798</v>
      </c>
      <c r="S84" s="125">
        <f t="shared" si="58"/>
        <v>342.53240912228057</v>
      </c>
    </row>
    <row r="85" spans="1:19" x14ac:dyDescent="0.25">
      <c r="A85" s="86" t="s">
        <v>75</v>
      </c>
      <c r="B85" s="129">
        <v>9.2499999999999999E-2</v>
      </c>
      <c r="C85" s="130">
        <v>9.2499999999999999E-2</v>
      </c>
      <c r="D85" s="130">
        <v>9.2499999999999999E-2</v>
      </c>
      <c r="E85" s="130">
        <v>9.2499999999999999E-2</v>
      </c>
      <c r="F85" s="130">
        <v>9.2499999999999999E-2</v>
      </c>
      <c r="G85" s="130">
        <v>9.2499999999999999E-2</v>
      </c>
      <c r="H85" s="130">
        <v>9.2499999999999999E-2</v>
      </c>
      <c r="I85" s="131">
        <v>9.2499999999999999E-2</v>
      </c>
      <c r="J85" s="129">
        <v>9.2499999999999999E-2</v>
      </c>
      <c r="K85" s="130">
        <v>9.2499999999999999E-2</v>
      </c>
      <c r="L85" s="130">
        <v>9.2499999999999999E-2</v>
      </c>
      <c r="M85" s="130">
        <v>9.2499999999999999E-2</v>
      </c>
      <c r="N85" s="130">
        <v>9.2499999999999999E-2</v>
      </c>
      <c r="O85" s="131">
        <v>9.2499999999999999E-2</v>
      </c>
      <c r="P85" s="129">
        <v>9.2499999999999999E-2</v>
      </c>
      <c r="Q85" s="133">
        <v>9.2499999999999999E-2</v>
      </c>
      <c r="R85" s="130">
        <v>9.2499999999999999E-2</v>
      </c>
      <c r="S85" s="131">
        <v>9.2499999999999999E-2</v>
      </c>
    </row>
    <row r="86" spans="1:19" x14ac:dyDescent="0.25">
      <c r="A86" s="86" t="s">
        <v>36</v>
      </c>
      <c r="B86" s="87">
        <v>0.22</v>
      </c>
      <c r="C86" s="88">
        <v>0.22</v>
      </c>
      <c r="D86" s="88">
        <v>0.22</v>
      </c>
      <c r="E86" s="88">
        <v>0.22</v>
      </c>
      <c r="F86" s="88">
        <v>0.22</v>
      </c>
      <c r="G86" s="88">
        <v>0.22</v>
      </c>
      <c r="H86" s="88">
        <v>0.22</v>
      </c>
      <c r="I86" s="89">
        <v>0.22</v>
      </c>
      <c r="J86" s="135">
        <v>0.20499999999999999</v>
      </c>
      <c r="K86" s="136">
        <v>0.20499999999999999</v>
      </c>
      <c r="L86" s="136">
        <v>0.20499999999999999</v>
      </c>
      <c r="M86" s="136">
        <v>0.20499999999999999</v>
      </c>
      <c r="N86" s="136">
        <v>0.20499999999999999</v>
      </c>
      <c r="O86" s="176">
        <v>0.20499999999999999</v>
      </c>
      <c r="P86" s="87">
        <v>0.18</v>
      </c>
      <c r="Q86" s="91">
        <v>0.18</v>
      </c>
      <c r="R86" s="88">
        <v>0.18</v>
      </c>
      <c r="S86" s="89">
        <v>0.18</v>
      </c>
    </row>
    <row r="87" spans="1:19" ht="13" x14ac:dyDescent="0.3">
      <c r="A87" s="62" t="s">
        <v>76</v>
      </c>
      <c r="B87" s="139">
        <f>(B84/(1-B85))/(1-B86)</f>
        <v>175.8277620263197</v>
      </c>
      <c r="C87" s="140">
        <f t="shared" ref="C87:S87" si="60">(C84/(1-C85))/(1-C86)</f>
        <v>225.50447959126063</v>
      </c>
      <c r="D87" s="140">
        <f t="shared" si="60"/>
        <v>249.10383470901601</v>
      </c>
      <c r="E87" s="140">
        <f t="shared" si="60"/>
        <v>470.45354607975997</v>
      </c>
      <c r="F87" s="140">
        <f t="shared" si="60"/>
        <v>481.94270580814094</v>
      </c>
      <c r="G87" s="140">
        <f t="shared" si="60"/>
        <v>509.37178083535662</v>
      </c>
      <c r="H87" s="140">
        <f t="shared" si="60"/>
        <v>564.74746060728262</v>
      </c>
      <c r="I87" s="141">
        <f t="shared" si="60"/>
        <v>585.44864930706808</v>
      </c>
      <c r="J87" s="139">
        <f t="shared" si="60"/>
        <v>175.74802441327989</v>
      </c>
      <c r="K87" s="140">
        <f t="shared" si="60"/>
        <v>176.7948286701332</v>
      </c>
      <c r="L87" s="140">
        <f t="shared" si="60"/>
        <v>350.86192446514195</v>
      </c>
      <c r="M87" s="140">
        <f t="shared" ref="M87" si="61">(M84/(1-M85))/(1-M86)</f>
        <v>464.42306013721651</v>
      </c>
      <c r="N87" s="140">
        <f t="shared" si="60"/>
        <v>485.35914527428304</v>
      </c>
      <c r="O87" s="141">
        <f t="shared" si="60"/>
        <v>569.10348582254915</v>
      </c>
      <c r="P87" s="139">
        <f t="shared" si="60"/>
        <v>167.89021642116012</v>
      </c>
      <c r="Q87" s="143">
        <f t="shared" si="60"/>
        <v>232.80969840998253</v>
      </c>
      <c r="R87" s="140">
        <f t="shared" si="60"/>
        <v>440.51550018186919</v>
      </c>
      <c r="S87" s="141">
        <f t="shared" si="60"/>
        <v>460.30022054999739</v>
      </c>
    </row>
    <row r="88" spans="1:19" x14ac:dyDescent="0.25">
      <c r="A88" s="76"/>
      <c r="B88" s="146"/>
      <c r="I88" s="147"/>
      <c r="J88" s="146"/>
      <c r="O88" s="147"/>
      <c r="P88" s="106"/>
      <c r="Q88" s="148"/>
      <c r="R88" s="103"/>
      <c r="S88" s="107"/>
    </row>
    <row r="89" spans="1:19" x14ac:dyDescent="0.25">
      <c r="A89" s="86" t="s">
        <v>75</v>
      </c>
      <c r="B89" s="129">
        <v>9.2499999999999999E-2</v>
      </c>
      <c r="C89" s="130">
        <v>9.2499999999999999E-2</v>
      </c>
      <c r="D89" s="130">
        <v>9.2499999999999999E-2</v>
      </c>
      <c r="E89" s="130">
        <v>9.2499999999999999E-2</v>
      </c>
      <c r="F89" s="130">
        <v>9.2499999999999999E-2</v>
      </c>
      <c r="G89" s="130">
        <v>9.2499999999999999E-2</v>
      </c>
      <c r="H89" s="130">
        <v>9.2499999999999999E-2</v>
      </c>
      <c r="I89" s="131">
        <v>9.2499999999999999E-2</v>
      </c>
      <c r="J89" s="129">
        <v>9.2499999999999999E-2</v>
      </c>
      <c r="K89" s="130">
        <v>9.2499999999999999E-2</v>
      </c>
      <c r="L89" s="130">
        <v>9.2499999999999999E-2</v>
      </c>
      <c r="M89" s="130">
        <v>9.2499999999999999E-2</v>
      </c>
      <c r="N89" s="130">
        <v>9.2499999999999999E-2</v>
      </c>
      <c r="O89" s="131">
        <v>9.2499999999999999E-2</v>
      </c>
      <c r="P89" s="129">
        <v>9.2499999999999999E-2</v>
      </c>
      <c r="Q89" s="133">
        <v>9.2499999999999999E-2</v>
      </c>
      <c r="R89" s="130">
        <v>9.2499999999999999E-2</v>
      </c>
      <c r="S89" s="131">
        <v>9.2499999999999999E-2</v>
      </c>
    </row>
    <row r="90" spans="1:19" x14ac:dyDescent="0.25">
      <c r="A90" s="86" t="s">
        <v>36</v>
      </c>
      <c r="B90" s="87">
        <v>0.12</v>
      </c>
      <c r="C90" s="88">
        <v>0.12</v>
      </c>
      <c r="D90" s="88">
        <v>0.12</v>
      </c>
      <c r="E90" s="88">
        <v>0.12</v>
      </c>
      <c r="F90" s="88">
        <v>0.12</v>
      </c>
      <c r="G90" s="88">
        <v>0.12</v>
      </c>
      <c r="H90" s="88">
        <v>0.12</v>
      </c>
      <c r="I90" s="89">
        <v>0.12</v>
      </c>
      <c r="J90" s="87">
        <v>0.12</v>
      </c>
      <c r="K90" s="88">
        <v>0.12</v>
      </c>
      <c r="L90" s="88">
        <v>0.12</v>
      </c>
      <c r="M90" s="88">
        <v>0.12</v>
      </c>
      <c r="N90" s="88">
        <v>0.12</v>
      </c>
      <c r="O90" s="89">
        <v>0.12</v>
      </c>
      <c r="P90" s="87">
        <v>0.12</v>
      </c>
      <c r="Q90" s="91">
        <v>0.12</v>
      </c>
      <c r="R90" s="88">
        <v>0.12</v>
      </c>
      <c r="S90" s="89">
        <v>0.12</v>
      </c>
    </row>
    <row r="91" spans="1:19" ht="13" x14ac:dyDescent="0.3">
      <c r="A91" s="62" t="s">
        <v>76</v>
      </c>
      <c r="B91" s="139">
        <f>(B84/(1-B89))/(1-B90)</f>
        <v>155.84733452332884</v>
      </c>
      <c r="C91" s="140">
        <f t="shared" ref="C91:S91" si="62">(C84/(1-C89))/(1-C90)</f>
        <v>199.8789705467992</v>
      </c>
      <c r="D91" s="140">
        <f t="shared" si="62"/>
        <v>220.79658076480965</v>
      </c>
      <c r="E91" s="140">
        <f t="shared" si="62"/>
        <v>416.99291584342359</v>
      </c>
      <c r="F91" s="140">
        <f t="shared" si="62"/>
        <v>427.17648923903403</v>
      </c>
      <c r="G91" s="140">
        <f t="shared" si="62"/>
        <v>451.48862392224788</v>
      </c>
      <c r="H91" s="140">
        <f t="shared" si="62"/>
        <v>500.57161281100053</v>
      </c>
      <c r="I91" s="141">
        <f t="shared" si="62"/>
        <v>518.9203937039922</v>
      </c>
      <c r="J91" s="139">
        <f t="shared" si="62"/>
        <v>158.77236296426989</v>
      </c>
      <c r="K91" s="140">
        <f t="shared" si="62"/>
        <v>159.71805544631351</v>
      </c>
      <c r="L91" s="140">
        <f t="shared" si="62"/>
        <v>316.97185221566804</v>
      </c>
      <c r="M91" s="140">
        <f t="shared" ref="M91" si="63">(M84/(1-M89))/(1-M90)</f>
        <v>419.56401455578083</v>
      </c>
      <c r="N91" s="140">
        <f t="shared" si="62"/>
        <v>438.47786419665346</v>
      </c>
      <c r="O91" s="141">
        <f t="shared" si="62"/>
        <v>514.13326276014391</v>
      </c>
      <c r="P91" s="139">
        <f t="shared" si="62"/>
        <v>156.44315621062648</v>
      </c>
      <c r="Q91" s="143">
        <f t="shared" si="62"/>
        <v>216.93630988202918</v>
      </c>
      <c r="R91" s="140">
        <f t="shared" si="62"/>
        <v>410.48035244219631</v>
      </c>
      <c r="S91" s="141">
        <f t="shared" si="62"/>
        <v>428.9161146034067</v>
      </c>
    </row>
    <row r="92" spans="1:19" x14ac:dyDescent="0.25">
      <c r="A92" s="76"/>
      <c r="B92" s="146"/>
      <c r="I92" s="147"/>
      <c r="J92" s="156"/>
      <c r="K92" s="157"/>
      <c r="L92" s="157"/>
      <c r="M92" s="157"/>
      <c r="N92" s="157"/>
      <c r="O92" s="157"/>
      <c r="P92" s="156"/>
      <c r="Q92" s="157"/>
      <c r="R92" s="157"/>
      <c r="S92" s="158"/>
    </row>
    <row r="93" spans="1:19" x14ac:dyDescent="0.25">
      <c r="A93" s="86" t="s">
        <v>75</v>
      </c>
      <c r="B93" s="129">
        <v>9.2499999999999999E-2</v>
      </c>
      <c r="C93" s="130">
        <v>9.2499999999999999E-2</v>
      </c>
      <c r="D93" s="130">
        <v>9.2499999999999999E-2</v>
      </c>
      <c r="E93" s="130">
        <v>9.2499999999999999E-2</v>
      </c>
      <c r="F93" s="130">
        <v>9.2499999999999999E-2</v>
      </c>
      <c r="G93" s="130">
        <v>9.2499999999999999E-2</v>
      </c>
      <c r="H93" s="130">
        <v>9.2499999999999999E-2</v>
      </c>
      <c r="I93" s="131">
        <v>9.2499999999999999E-2</v>
      </c>
      <c r="J93" s="76"/>
      <c r="K93"/>
      <c r="L93" s="103" t="s">
        <v>82</v>
      </c>
      <c r="M93"/>
      <c r="N93"/>
      <c r="O93"/>
      <c r="P93" s="129">
        <v>9.2499999999999999E-2</v>
      </c>
      <c r="Q93" s="133">
        <v>9.2499999999999999E-2</v>
      </c>
      <c r="R93" s="130">
        <v>9.2499999999999999E-2</v>
      </c>
      <c r="S93" s="131">
        <v>9.2499999999999999E-2</v>
      </c>
    </row>
    <row r="94" spans="1:19" x14ac:dyDescent="0.25">
      <c r="A94" s="86" t="s">
        <v>36</v>
      </c>
      <c r="B94" s="87">
        <v>7.0000000000000007E-2</v>
      </c>
      <c r="C94" s="88">
        <v>7.0000000000000007E-2</v>
      </c>
      <c r="D94" s="88">
        <v>7.0000000000000007E-2</v>
      </c>
      <c r="E94" s="88">
        <v>7.0000000000000007E-2</v>
      </c>
      <c r="F94" s="88">
        <v>7.0000000000000007E-2</v>
      </c>
      <c r="G94" s="88">
        <v>7.0000000000000007E-2</v>
      </c>
      <c r="H94" s="88">
        <v>7.0000000000000007E-2</v>
      </c>
      <c r="I94" s="89">
        <v>7.0000000000000007E-2</v>
      </c>
      <c r="J94" s="76"/>
      <c r="K94"/>
      <c r="L94" s="94">
        <f>L84*(1+12%)</f>
        <v>283.50976772096442</v>
      </c>
      <c r="M94"/>
      <c r="N94"/>
      <c r="O94"/>
      <c r="P94" s="87">
        <v>7.0000000000000007E-2</v>
      </c>
      <c r="Q94" s="91">
        <v>7.0000000000000007E-2</v>
      </c>
      <c r="R94" s="88">
        <v>7.0000000000000007E-2</v>
      </c>
      <c r="S94" s="89">
        <v>7.0000000000000007E-2</v>
      </c>
    </row>
    <row r="95" spans="1:19" ht="13.5" thickBot="1" x14ac:dyDescent="0.35">
      <c r="A95" s="163" t="s">
        <v>76</v>
      </c>
      <c r="B95" s="164">
        <f>(B84/(1-B93))/(1-B94)</f>
        <v>147.46844557046171</v>
      </c>
      <c r="C95" s="165">
        <f t="shared" ref="C95:I95" si="64">(C84/(1-C93))/(1-C94)</f>
        <v>189.13278933460569</v>
      </c>
      <c r="D95" s="165">
        <f t="shared" si="64"/>
        <v>208.92579685272312</v>
      </c>
      <c r="E95" s="165">
        <f t="shared" si="64"/>
        <v>394.57394187334711</v>
      </c>
      <c r="F95" s="165">
        <f t="shared" si="64"/>
        <v>404.21001132295692</v>
      </c>
      <c r="G95" s="165">
        <f t="shared" si="64"/>
        <v>427.21504199094426</v>
      </c>
      <c r="H95" s="165">
        <f t="shared" si="64"/>
        <v>473.6591605093339</v>
      </c>
      <c r="I95" s="166">
        <f t="shared" si="64"/>
        <v>491.02144780592818</v>
      </c>
      <c r="J95" s="167"/>
      <c r="K95" s="168"/>
      <c r="L95" s="168"/>
      <c r="M95" s="168"/>
      <c r="N95" s="168"/>
      <c r="O95" s="168"/>
      <c r="P95" s="164">
        <f>(P84/(1-P93))/(1-P94)</f>
        <v>148.0322338337111</v>
      </c>
      <c r="Q95" s="195">
        <f t="shared" ref="Q95:S95" si="65">(Q84/(1-Q93))/(1-Q94)</f>
        <v>205.27306741525345</v>
      </c>
      <c r="R95" s="165">
        <f t="shared" si="65"/>
        <v>388.41151628939008</v>
      </c>
      <c r="S95" s="166">
        <f t="shared" si="65"/>
        <v>405.85610844193326</v>
      </c>
    </row>
  </sheetData>
  <mergeCells count="3">
    <mergeCell ref="Z2:AG2"/>
    <mergeCell ref="Z3:AG3"/>
    <mergeCell ref="Z4:AG4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B687-DBBC-49CB-BEB0-0D621B688841}">
  <dimension ref="A1:AG95"/>
  <sheetViews>
    <sheetView topLeftCell="H1" workbookViewId="0">
      <selection sqref="A1:XFD1048576"/>
    </sheetView>
  </sheetViews>
  <sheetFormatPr defaultRowHeight="12.5" x14ac:dyDescent="0.25"/>
  <cols>
    <col min="1" max="1" width="37.54296875" bestFit="1" customWidth="1"/>
    <col min="2" max="2" width="10.81640625" style="134" customWidth="1"/>
    <col min="3" max="3" width="12.1796875" style="134" customWidth="1"/>
    <col min="4" max="11" width="10.81640625" style="134" customWidth="1"/>
    <col min="12" max="12" width="10.81640625" style="134" bestFit="1" customWidth="1"/>
    <col min="13" max="19" width="10.81640625" style="134" customWidth="1"/>
    <col min="20" max="20" width="4.7265625" customWidth="1"/>
    <col min="21" max="21" width="30.1796875" bestFit="1" customWidth="1"/>
    <col min="22" max="24" width="12.54296875" bestFit="1" customWidth="1"/>
    <col min="25" max="25" width="3.7265625" customWidth="1"/>
    <col min="26" max="26" width="18" bestFit="1" customWidth="1"/>
    <col min="27" max="27" width="27.1796875" bestFit="1" customWidth="1"/>
    <col min="28" max="28" width="11.81640625" bestFit="1" customWidth="1"/>
  </cols>
  <sheetData>
    <row r="1" spans="1:33" ht="13.5" thickBot="1" x14ac:dyDescent="0.35">
      <c r="A1" s="47" t="s">
        <v>40</v>
      </c>
      <c r="B1" s="48" t="s">
        <v>41</v>
      </c>
      <c r="C1" s="49" t="s">
        <v>41</v>
      </c>
      <c r="D1" s="49" t="s">
        <v>41</v>
      </c>
      <c r="E1" s="49" t="s">
        <v>41</v>
      </c>
      <c r="F1" s="49" t="s">
        <v>41</v>
      </c>
      <c r="G1" s="49" t="s">
        <v>41</v>
      </c>
      <c r="H1" s="49" t="s">
        <v>41</v>
      </c>
      <c r="I1" s="50" t="s">
        <v>41</v>
      </c>
      <c r="J1" s="51" t="s">
        <v>42</v>
      </c>
      <c r="K1" s="52" t="s">
        <v>42</v>
      </c>
      <c r="L1" s="52" t="s">
        <v>42</v>
      </c>
      <c r="M1" s="52" t="s">
        <v>42</v>
      </c>
      <c r="N1" s="52" t="s">
        <v>42</v>
      </c>
      <c r="O1" s="53" t="s">
        <v>42</v>
      </c>
      <c r="P1" s="54" t="s">
        <v>43</v>
      </c>
      <c r="Q1" s="55" t="s">
        <v>43</v>
      </c>
      <c r="R1" s="56" t="s">
        <v>43</v>
      </c>
      <c r="S1" s="57" t="s">
        <v>43</v>
      </c>
      <c r="U1" s="58" t="s">
        <v>99</v>
      </c>
      <c r="V1" s="59"/>
      <c r="W1" s="60" t="s">
        <v>44</v>
      </c>
      <c r="X1" s="61">
        <v>5.2005999999999997</v>
      </c>
    </row>
    <row r="2" spans="1:33" ht="13.15" customHeight="1" x14ac:dyDescent="0.3">
      <c r="A2" s="62" t="s">
        <v>45</v>
      </c>
      <c r="B2" s="63">
        <v>13.7</v>
      </c>
      <c r="C2" s="64">
        <v>17.8</v>
      </c>
      <c r="D2" s="64">
        <v>20.079999999999998</v>
      </c>
      <c r="E2" s="64">
        <v>38.89</v>
      </c>
      <c r="F2" s="64">
        <v>38</v>
      </c>
      <c r="G2" s="64">
        <v>40</v>
      </c>
      <c r="H2" s="64">
        <v>48</v>
      </c>
      <c r="I2" s="65">
        <v>50</v>
      </c>
      <c r="J2" s="63">
        <v>13.6</v>
      </c>
      <c r="K2" s="64">
        <v>13.7</v>
      </c>
      <c r="L2" s="64">
        <v>28.7</v>
      </c>
      <c r="M2" s="64">
        <v>38</v>
      </c>
      <c r="N2" s="64">
        <v>40</v>
      </c>
      <c r="O2" s="17">
        <v>48</v>
      </c>
      <c r="P2" s="63">
        <v>13.7</v>
      </c>
      <c r="Q2" s="18">
        <v>17.8</v>
      </c>
      <c r="R2" s="64">
        <v>38</v>
      </c>
      <c r="S2" s="65">
        <v>40</v>
      </c>
      <c r="U2" s="66" t="s">
        <v>46</v>
      </c>
      <c r="V2" s="67" t="s">
        <v>47</v>
      </c>
      <c r="W2" s="68" t="s">
        <v>48</v>
      </c>
      <c r="X2" s="69" t="s">
        <v>49</v>
      </c>
      <c r="Z2" s="198" t="s">
        <v>50</v>
      </c>
      <c r="AA2" s="198"/>
      <c r="AB2" s="198"/>
      <c r="AC2" s="198"/>
      <c r="AD2" s="198"/>
      <c r="AE2" s="198"/>
      <c r="AF2" s="198"/>
      <c r="AG2" s="198"/>
    </row>
    <row r="3" spans="1:33" x14ac:dyDescent="0.25">
      <c r="A3" s="70" t="s">
        <v>46</v>
      </c>
      <c r="B3" s="71">
        <f t="shared" ref="B3:S3" si="0">1-B4</f>
        <v>1</v>
      </c>
      <c r="C3" s="72">
        <f t="shared" si="0"/>
        <v>1</v>
      </c>
      <c r="D3" s="72">
        <f t="shared" si="0"/>
        <v>1</v>
      </c>
      <c r="E3" s="72">
        <f t="shared" si="0"/>
        <v>1</v>
      </c>
      <c r="F3" s="72">
        <f t="shared" si="0"/>
        <v>1</v>
      </c>
      <c r="G3" s="72">
        <f t="shared" si="0"/>
        <v>1</v>
      </c>
      <c r="H3" s="72">
        <f t="shared" si="0"/>
        <v>1</v>
      </c>
      <c r="I3" s="73">
        <f t="shared" si="0"/>
        <v>1</v>
      </c>
      <c r="J3" s="71">
        <f t="shared" si="0"/>
        <v>1</v>
      </c>
      <c r="K3" s="72">
        <f t="shared" si="0"/>
        <v>1</v>
      </c>
      <c r="L3" s="72">
        <f t="shared" si="0"/>
        <v>1</v>
      </c>
      <c r="M3" s="72">
        <f t="shared" si="0"/>
        <v>1</v>
      </c>
      <c r="N3" s="72">
        <f t="shared" si="0"/>
        <v>1</v>
      </c>
      <c r="O3" s="74">
        <f t="shared" si="0"/>
        <v>1</v>
      </c>
      <c r="P3" s="71">
        <f t="shared" si="0"/>
        <v>1</v>
      </c>
      <c r="Q3" s="75">
        <f t="shared" si="0"/>
        <v>1</v>
      </c>
      <c r="R3" s="72">
        <f t="shared" si="0"/>
        <v>1</v>
      </c>
      <c r="S3" s="73">
        <f t="shared" si="0"/>
        <v>1</v>
      </c>
      <c r="U3" s="76" t="s">
        <v>1</v>
      </c>
      <c r="V3" s="77">
        <v>852.5</v>
      </c>
      <c r="W3" s="77">
        <f>V3</f>
        <v>852.5</v>
      </c>
      <c r="X3" s="78">
        <f>V3</f>
        <v>852.5</v>
      </c>
      <c r="Z3" s="199" t="s">
        <v>51</v>
      </c>
      <c r="AA3" s="199"/>
      <c r="AB3" s="199"/>
      <c r="AC3" s="199"/>
      <c r="AD3" s="199"/>
      <c r="AE3" s="199"/>
      <c r="AF3" s="199"/>
      <c r="AG3" s="199"/>
    </row>
    <row r="4" spans="1:33" x14ac:dyDescent="0.25">
      <c r="A4" s="80" t="s">
        <v>52</v>
      </c>
      <c r="B4" s="81">
        <v>0</v>
      </c>
      <c r="C4" s="82">
        <v>0</v>
      </c>
      <c r="D4" s="82">
        <v>0</v>
      </c>
      <c r="E4" s="82">
        <v>0</v>
      </c>
      <c r="F4" s="82">
        <v>0</v>
      </c>
      <c r="G4" s="82">
        <v>0</v>
      </c>
      <c r="H4" s="82">
        <v>0</v>
      </c>
      <c r="I4" s="83">
        <v>0</v>
      </c>
      <c r="J4" s="81">
        <v>0</v>
      </c>
      <c r="K4" s="82">
        <v>0</v>
      </c>
      <c r="L4" s="82">
        <v>0</v>
      </c>
      <c r="M4" s="82">
        <v>0</v>
      </c>
      <c r="N4" s="82">
        <v>0</v>
      </c>
      <c r="O4" s="84">
        <v>0</v>
      </c>
      <c r="P4" s="81">
        <v>0</v>
      </c>
      <c r="Q4" s="85">
        <v>0</v>
      </c>
      <c r="R4" s="82">
        <v>0</v>
      </c>
      <c r="S4" s="83">
        <v>0</v>
      </c>
      <c r="U4" s="76" t="s">
        <v>3</v>
      </c>
      <c r="V4" s="77">
        <v>939</v>
      </c>
      <c r="W4" s="77">
        <f>V4</f>
        <v>939</v>
      </c>
      <c r="X4" s="78">
        <f>V4</f>
        <v>939</v>
      </c>
      <c r="Z4" s="199" t="s">
        <v>53</v>
      </c>
      <c r="AA4" s="199"/>
      <c r="AB4" s="199"/>
      <c r="AC4" s="199"/>
      <c r="AD4" s="199"/>
      <c r="AE4" s="199"/>
      <c r="AF4" s="199"/>
      <c r="AG4" s="199"/>
    </row>
    <row r="5" spans="1:33" x14ac:dyDescent="0.25">
      <c r="A5" s="86" t="s">
        <v>32</v>
      </c>
      <c r="B5" s="87">
        <v>0.01</v>
      </c>
      <c r="C5" s="88">
        <v>0.01</v>
      </c>
      <c r="D5" s="88">
        <v>0.01</v>
      </c>
      <c r="E5" s="88">
        <v>0.01</v>
      </c>
      <c r="F5" s="88">
        <v>0.01</v>
      </c>
      <c r="G5" s="88">
        <v>0.01</v>
      </c>
      <c r="H5" s="88">
        <v>0.01</v>
      </c>
      <c r="I5" s="89">
        <v>0.01</v>
      </c>
      <c r="J5" s="87">
        <v>0.01</v>
      </c>
      <c r="K5" s="88">
        <v>0.01</v>
      </c>
      <c r="L5" s="88">
        <v>0.01</v>
      </c>
      <c r="M5" s="88">
        <v>0.01</v>
      </c>
      <c r="N5" s="88">
        <v>0.01</v>
      </c>
      <c r="O5" s="90">
        <v>0.01</v>
      </c>
      <c r="P5" s="87">
        <v>0.01</v>
      </c>
      <c r="Q5" s="91">
        <v>0.01</v>
      </c>
      <c r="R5" s="88">
        <v>0.01</v>
      </c>
      <c r="S5" s="89">
        <v>0.01</v>
      </c>
      <c r="U5" s="76" t="s">
        <v>5</v>
      </c>
      <c r="V5" s="77">
        <f>IF(V3&gt;V4,V4,IF((V4-V3)&gt;75,(V4-75),V3))</f>
        <v>864</v>
      </c>
      <c r="W5" s="77">
        <f>IF((W4-W3)&gt;75,(W4-75),W3)</f>
        <v>864</v>
      </c>
      <c r="X5" s="78">
        <f>IF((X4-X3)&gt;75,(X4-75),X3)</f>
        <v>864</v>
      </c>
    </row>
    <row r="6" spans="1:33" ht="13" x14ac:dyDescent="0.3">
      <c r="A6" s="92" t="s">
        <v>54</v>
      </c>
      <c r="B6" s="93">
        <f t="shared" ref="B6:I6" si="1">(($V$13*B3)+($V$19*B4))*(1+B5)</f>
        <v>6379.7543173703989</v>
      </c>
      <c r="C6" s="94">
        <f t="shared" si="1"/>
        <v>6379.7543173703989</v>
      </c>
      <c r="D6" s="94">
        <f t="shared" si="1"/>
        <v>6379.7543173703989</v>
      </c>
      <c r="E6" s="94">
        <f t="shared" si="1"/>
        <v>6379.7543173703989</v>
      </c>
      <c r="F6" s="94">
        <f t="shared" si="1"/>
        <v>6379.7543173703989</v>
      </c>
      <c r="G6" s="94">
        <f t="shared" si="1"/>
        <v>6379.7543173703989</v>
      </c>
      <c r="H6" s="94">
        <f t="shared" si="1"/>
        <v>6379.7543173703989</v>
      </c>
      <c r="I6" s="95">
        <f t="shared" si="1"/>
        <v>6379.7543173703989</v>
      </c>
      <c r="J6" s="93">
        <f t="shared" ref="J6:O6" si="2">(($W$13*J3)+($W$19*J4))*(1+J5)</f>
        <v>6293.981362432799</v>
      </c>
      <c r="K6" s="94">
        <f t="shared" si="2"/>
        <v>6293.981362432799</v>
      </c>
      <c r="L6" s="94">
        <f t="shared" si="2"/>
        <v>6293.981362432799</v>
      </c>
      <c r="M6" s="94">
        <f t="shared" si="2"/>
        <v>6293.981362432799</v>
      </c>
      <c r="N6" s="94">
        <f t="shared" si="2"/>
        <v>6293.981362432799</v>
      </c>
      <c r="O6" s="96">
        <f t="shared" si="2"/>
        <v>6293.981362432799</v>
      </c>
      <c r="P6" s="93">
        <f>(($X$13*P3)+($X$19*P4))*(1+P5)</f>
        <v>6465.5272723079997</v>
      </c>
      <c r="Q6" s="97">
        <f>(($X$13*Q3)+($X$19*Q4))*(1+Q5)</f>
        <v>6465.5272723079997</v>
      </c>
      <c r="R6" s="94">
        <f>(($X$13*R3)+($X$19*R4))*(1+R5)</f>
        <v>6465.5272723079997</v>
      </c>
      <c r="S6" s="95">
        <f>(($X$13*S3)+($X$19*S4))*(1+S5)</f>
        <v>6465.5272723079997</v>
      </c>
      <c r="U6" s="76" t="s">
        <v>55</v>
      </c>
      <c r="V6" s="177">
        <v>2.5000000000000001E-2</v>
      </c>
      <c r="W6" s="177">
        <v>0.04</v>
      </c>
      <c r="X6" s="98">
        <v>0.01</v>
      </c>
      <c r="Z6" s="64" t="s">
        <v>56</v>
      </c>
      <c r="AA6" s="64" t="s">
        <v>57</v>
      </c>
      <c r="AB6" s="64" t="s">
        <v>58</v>
      </c>
    </row>
    <row r="7" spans="1:33" x14ac:dyDescent="0.25">
      <c r="A7" s="92" t="s">
        <v>59</v>
      </c>
      <c r="B7" s="99">
        <f t="shared" ref="B7:S7" si="3">B8/$X$1</f>
        <v>16.806259690799997</v>
      </c>
      <c r="C7" s="5">
        <f t="shared" si="3"/>
        <v>21.835870255199996</v>
      </c>
      <c r="D7" s="5">
        <f t="shared" si="3"/>
        <v>24.632824422719995</v>
      </c>
      <c r="E7" s="5">
        <f t="shared" si="3"/>
        <v>47.707696304759999</v>
      </c>
      <c r="F7" s="5">
        <f t="shared" si="3"/>
        <v>46.615902791999993</v>
      </c>
      <c r="G7" s="5">
        <f t="shared" si="3"/>
        <v>49.069371359999998</v>
      </c>
      <c r="H7" s="5">
        <f t="shared" si="3"/>
        <v>58.883245631999991</v>
      </c>
      <c r="I7" s="100">
        <f t="shared" si="3"/>
        <v>61.336714199999996</v>
      </c>
      <c r="J7" s="99">
        <f t="shared" si="3"/>
        <v>16.4592828768</v>
      </c>
      <c r="K7" s="5">
        <f t="shared" si="3"/>
        <v>16.580307015599995</v>
      </c>
      <c r="L7" s="5">
        <f t="shared" si="3"/>
        <v>34.733927835599999</v>
      </c>
      <c r="M7" s="5">
        <f t="shared" si="3"/>
        <v>45.989172743999994</v>
      </c>
      <c r="N7" s="5">
        <f t="shared" si="3"/>
        <v>48.409655519999994</v>
      </c>
      <c r="O7" s="101">
        <f t="shared" si="3"/>
        <v>58.091586623999994</v>
      </c>
      <c r="P7" s="99">
        <f t="shared" si="3"/>
        <v>17.032212366</v>
      </c>
      <c r="Q7" s="102">
        <f t="shared" si="3"/>
        <v>22.129443804000001</v>
      </c>
      <c r="R7" s="5">
        <f t="shared" si="3"/>
        <v>47.242632839999999</v>
      </c>
      <c r="S7" s="100">
        <f t="shared" si="3"/>
        <v>49.729087200000002</v>
      </c>
      <c r="U7" s="76" t="s">
        <v>60</v>
      </c>
      <c r="V7" s="77">
        <v>73.94</v>
      </c>
      <c r="W7" s="77">
        <f>V7</f>
        <v>73.94</v>
      </c>
      <c r="X7" s="78">
        <f>V7</f>
        <v>73.94</v>
      </c>
      <c r="Z7" s="103" t="s">
        <v>61</v>
      </c>
      <c r="AA7" s="79" t="s">
        <v>62</v>
      </c>
      <c r="AB7" s="88">
        <v>0</v>
      </c>
    </row>
    <row r="8" spans="1:33" x14ac:dyDescent="0.25">
      <c r="A8" s="86" t="s">
        <v>63</v>
      </c>
      <c r="B8" s="93">
        <f t="shared" ref="B8:S8" si="4">B6*(B2/1000)</f>
        <v>87.402634147974453</v>
      </c>
      <c r="C8" s="94">
        <f t="shared" si="4"/>
        <v>113.55962684919309</v>
      </c>
      <c r="D8" s="94">
        <f t="shared" si="4"/>
        <v>128.10546669279759</v>
      </c>
      <c r="E8" s="94">
        <f t="shared" si="4"/>
        <v>248.10864540253482</v>
      </c>
      <c r="F8" s="94">
        <f t="shared" ref="F8" si="5">F6*(F2/1000)</f>
        <v>242.43066406007515</v>
      </c>
      <c r="G8" s="94">
        <f t="shared" si="4"/>
        <v>255.19017269481597</v>
      </c>
      <c r="H8" s="94">
        <f t="shared" si="4"/>
        <v>306.22820723377913</v>
      </c>
      <c r="I8" s="95">
        <f t="shared" si="4"/>
        <v>318.98771586851996</v>
      </c>
      <c r="J8" s="93">
        <f t="shared" si="4"/>
        <v>85.598146529086065</v>
      </c>
      <c r="K8" s="94">
        <f t="shared" si="4"/>
        <v>86.227544665329333</v>
      </c>
      <c r="L8" s="94">
        <f t="shared" si="4"/>
        <v>180.63726510182133</v>
      </c>
      <c r="M8" s="94">
        <f t="shared" si="4"/>
        <v>239.17129177244635</v>
      </c>
      <c r="N8" s="94">
        <f t="shared" si="4"/>
        <v>251.75925449731196</v>
      </c>
      <c r="O8" s="96">
        <f t="shared" si="4"/>
        <v>302.11110539677435</v>
      </c>
      <c r="P8" s="93">
        <f t="shared" si="4"/>
        <v>88.577723630619587</v>
      </c>
      <c r="Q8" s="97">
        <f t="shared" si="4"/>
        <v>115.08638544708239</v>
      </c>
      <c r="R8" s="94">
        <f t="shared" si="4"/>
        <v>245.69003634770399</v>
      </c>
      <c r="S8" s="95">
        <f t="shared" si="4"/>
        <v>258.62109089232001</v>
      </c>
      <c r="U8" s="76" t="s">
        <v>64</v>
      </c>
      <c r="V8" s="104">
        <v>0.06</v>
      </c>
      <c r="W8" s="104">
        <v>0.06</v>
      </c>
      <c r="X8" s="105">
        <v>0.06</v>
      </c>
      <c r="Z8" s="103" t="s">
        <v>61</v>
      </c>
      <c r="AA8" s="79" t="s">
        <v>65</v>
      </c>
      <c r="AB8" s="88">
        <v>0.05</v>
      </c>
    </row>
    <row r="9" spans="1:33" x14ac:dyDescent="0.25">
      <c r="A9" s="86" t="s">
        <v>66</v>
      </c>
      <c r="B9" s="93">
        <v>24.0242662</v>
      </c>
      <c r="C9" s="94">
        <v>29.1358122</v>
      </c>
      <c r="D9" s="94">
        <v>29.1358122</v>
      </c>
      <c r="E9" s="94">
        <v>47.956524571999999</v>
      </c>
      <c r="F9" s="94">
        <v>47.956524571999999</v>
      </c>
      <c r="G9" s="94">
        <v>47.956524571999999</v>
      </c>
      <c r="H9" s="94">
        <v>47.956524571999999</v>
      </c>
      <c r="I9" s="95">
        <v>47.956524571999999</v>
      </c>
      <c r="J9" s="93">
        <v>24.0242662</v>
      </c>
      <c r="K9" s="94">
        <v>24.0242662</v>
      </c>
      <c r="L9" s="94">
        <v>36.291976599999998</v>
      </c>
      <c r="M9" s="94">
        <v>47.956524571999999</v>
      </c>
      <c r="N9" s="94">
        <v>47.956524571999999</v>
      </c>
      <c r="O9" s="96">
        <v>47.956524571999999</v>
      </c>
      <c r="P9" s="93">
        <v>24.0242662</v>
      </c>
      <c r="Q9" s="97">
        <v>29.1358122</v>
      </c>
      <c r="R9" s="94">
        <v>47.956524571999999</v>
      </c>
      <c r="S9" s="95">
        <v>47.956524571999999</v>
      </c>
      <c r="U9" s="76" t="s">
        <v>67</v>
      </c>
      <c r="V9" s="104">
        <v>0.2</v>
      </c>
      <c r="W9" s="104">
        <v>0.2</v>
      </c>
      <c r="X9" s="105">
        <v>0.2</v>
      </c>
      <c r="Z9" s="103" t="s">
        <v>61</v>
      </c>
      <c r="AA9" s="79" t="s">
        <v>68</v>
      </c>
      <c r="AB9" s="88">
        <v>0.1</v>
      </c>
    </row>
    <row r="10" spans="1:33" x14ac:dyDescent="0.25">
      <c r="A10" s="86" t="s">
        <v>69</v>
      </c>
      <c r="B10" s="106"/>
      <c r="C10" s="103"/>
      <c r="D10" s="103"/>
      <c r="E10" s="103"/>
      <c r="F10" s="103"/>
      <c r="G10" s="103"/>
      <c r="H10" s="103"/>
      <c r="I10" s="107"/>
      <c r="J10" s="106"/>
      <c r="K10" s="103"/>
      <c r="L10" s="103"/>
      <c r="M10" s="103"/>
      <c r="N10" s="103"/>
      <c r="O10" s="108"/>
      <c r="P10" s="99"/>
      <c r="Q10" s="102">
        <v>2.4300000000000002</v>
      </c>
      <c r="R10" s="5"/>
      <c r="S10" s="100"/>
      <c r="U10" s="76" t="s">
        <v>13</v>
      </c>
      <c r="V10" s="77">
        <f>85</f>
        <v>85</v>
      </c>
      <c r="W10" s="77">
        <f>85</f>
        <v>85</v>
      </c>
      <c r="X10" s="78">
        <f>85</f>
        <v>85</v>
      </c>
      <c r="Z10" s="103" t="s">
        <v>61</v>
      </c>
      <c r="AA10" s="79" t="s">
        <v>70</v>
      </c>
      <c r="AB10" s="88">
        <v>0.15</v>
      </c>
    </row>
    <row r="11" spans="1:33" x14ac:dyDescent="0.25">
      <c r="A11" s="86" t="s">
        <v>71</v>
      </c>
      <c r="B11" s="109">
        <f t="shared" ref="B11:S11" si="6">$V$26</f>
        <v>2.5000000000000022E-3</v>
      </c>
      <c r="C11" s="110">
        <f t="shared" si="6"/>
        <v>2.5000000000000022E-3</v>
      </c>
      <c r="D11" s="110">
        <f t="shared" si="6"/>
        <v>2.5000000000000022E-3</v>
      </c>
      <c r="E11" s="110">
        <f t="shared" si="6"/>
        <v>2.5000000000000022E-3</v>
      </c>
      <c r="F11" s="110">
        <f t="shared" si="6"/>
        <v>2.5000000000000022E-3</v>
      </c>
      <c r="G11" s="110">
        <f t="shared" si="6"/>
        <v>2.5000000000000022E-3</v>
      </c>
      <c r="H11" s="110">
        <f t="shared" si="6"/>
        <v>2.5000000000000022E-3</v>
      </c>
      <c r="I11" s="111">
        <f t="shared" si="6"/>
        <v>2.5000000000000022E-3</v>
      </c>
      <c r="J11" s="109">
        <f t="shared" si="6"/>
        <v>2.5000000000000022E-3</v>
      </c>
      <c r="K11" s="110">
        <f t="shared" si="6"/>
        <v>2.5000000000000022E-3</v>
      </c>
      <c r="L11" s="110">
        <f t="shared" si="6"/>
        <v>2.5000000000000022E-3</v>
      </c>
      <c r="M11" s="110">
        <f t="shared" si="6"/>
        <v>2.5000000000000022E-3</v>
      </c>
      <c r="N11" s="110">
        <f t="shared" si="6"/>
        <v>2.5000000000000022E-3</v>
      </c>
      <c r="O11" s="112">
        <f t="shared" si="6"/>
        <v>2.5000000000000022E-3</v>
      </c>
      <c r="P11" s="109">
        <f t="shared" si="6"/>
        <v>2.5000000000000022E-3</v>
      </c>
      <c r="Q11" s="113">
        <f t="shared" si="6"/>
        <v>2.5000000000000022E-3</v>
      </c>
      <c r="R11" s="110">
        <f t="shared" si="6"/>
        <v>2.5000000000000022E-3</v>
      </c>
      <c r="S11" s="111">
        <f t="shared" si="6"/>
        <v>2.5000000000000022E-3</v>
      </c>
      <c r="U11" s="76" t="s">
        <v>89</v>
      </c>
      <c r="V11" s="77">
        <f>-25</f>
        <v>-25</v>
      </c>
      <c r="W11" s="77">
        <v>-25</v>
      </c>
      <c r="X11" s="78">
        <v>-25</v>
      </c>
    </row>
    <row r="12" spans="1:33" ht="13" x14ac:dyDescent="0.3">
      <c r="A12" s="62" t="s">
        <v>73</v>
      </c>
      <c r="B12" s="116">
        <f t="shared" ref="B12:S12" si="7">(B8+B9+(B10*$X$1))*(1+B11)</f>
        <v>111.70546759884438</v>
      </c>
      <c r="C12" s="117">
        <f t="shared" si="7"/>
        <v>143.05217764681606</v>
      </c>
      <c r="D12" s="117">
        <f t="shared" si="7"/>
        <v>157.63438209002959</v>
      </c>
      <c r="E12" s="117">
        <f t="shared" si="7"/>
        <v>296.80533289947113</v>
      </c>
      <c r="F12" s="117">
        <f t="shared" si="7"/>
        <v>291.11315660365534</v>
      </c>
      <c r="G12" s="117">
        <f t="shared" si="7"/>
        <v>303.90456400998301</v>
      </c>
      <c r="H12" s="117">
        <f t="shared" si="7"/>
        <v>355.07019363529355</v>
      </c>
      <c r="I12" s="118">
        <f t="shared" si="7"/>
        <v>367.86160104162121</v>
      </c>
      <c r="J12" s="119">
        <f t="shared" si="7"/>
        <v>109.89646876090877</v>
      </c>
      <c r="K12" s="120">
        <f t="shared" si="7"/>
        <v>110.52744039249265</v>
      </c>
      <c r="L12" s="120">
        <f t="shared" si="7"/>
        <v>217.47156480607586</v>
      </c>
      <c r="M12" s="120">
        <f t="shared" si="7"/>
        <v>287.84563588530744</v>
      </c>
      <c r="N12" s="120">
        <f t="shared" si="7"/>
        <v>300.46506851698524</v>
      </c>
      <c r="O12" s="121">
        <f t="shared" si="7"/>
        <v>350.94279904369625</v>
      </c>
      <c r="P12" s="122">
        <f t="shared" si="7"/>
        <v>112.88349480519614</v>
      </c>
      <c r="Q12" s="123">
        <f t="shared" si="7"/>
        <v>157.2518047862001</v>
      </c>
      <c r="R12" s="124">
        <f t="shared" si="7"/>
        <v>294.38067732200324</v>
      </c>
      <c r="S12" s="125">
        <f t="shared" si="7"/>
        <v>307.34405950298077</v>
      </c>
      <c r="U12" s="114" t="s">
        <v>72</v>
      </c>
      <c r="V12" s="178">
        <f>(((V5*(1-V6))+V7)*(1+(V8+V9)))+V10+V11</f>
        <v>1214.5883999999999</v>
      </c>
      <c r="W12" s="178">
        <f t="shared" ref="W12:X12" si="8">(((W5*(1-W6))+W7)*(1+(W8+W9)))+W10+W11</f>
        <v>1198.2587999999998</v>
      </c>
      <c r="X12" s="115">
        <f t="shared" si="8"/>
        <v>1230.9179999999999</v>
      </c>
    </row>
    <row r="13" spans="1:33" ht="13.5" thickBot="1" x14ac:dyDescent="0.35">
      <c r="A13" s="86" t="s">
        <v>75</v>
      </c>
      <c r="B13" s="129">
        <v>9.2499999999999999E-2</v>
      </c>
      <c r="C13" s="130">
        <v>9.2499999999999999E-2</v>
      </c>
      <c r="D13" s="130">
        <v>9.2499999999999999E-2</v>
      </c>
      <c r="E13" s="130">
        <v>9.2499999999999999E-2</v>
      </c>
      <c r="F13" s="130">
        <v>9.2499999999999999E-2</v>
      </c>
      <c r="G13" s="130">
        <v>9.2499999999999999E-2</v>
      </c>
      <c r="H13" s="130">
        <v>9.2499999999999999E-2</v>
      </c>
      <c r="I13" s="131">
        <v>9.2499999999999999E-2</v>
      </c>
      <c r="J13" s="129">
        <v>9.2499999999999999E-2</v>
      </c>
      <c r="K13" s="130">
        <v>9.2499999999999999E-2</v>
      </c>
      <c r="L13" s="130">
        <v>9.2499999999999999E-2</v>
      </c>
      <c r="M13" s="130">
        <v>9.2499999999999999E-2</v>
      </c>
      <c r="N13" s="130">
        <v>9.2499999999999999E-2</v>
      </c>
      <c r="O13" s="132">
        <v>9.2499999999999999E-2</v>
      </c>
      <c r="P13" s="129">
        <v>9.2499999999999999E-2</v>
      </c>
      <c r="Q13" s="133">
        <v>9.2499999999999999E-2</v>
      </c>
      <c r="R13" s="130">
        <v>9.2499999999999999E-2</v>
      </c>
      <c r="S13" s="131">
        <v>9.2499999999999999E-2</v>
      </c>
      <c r="U13" s="126" t="s">
        <v>74</v>
      </c>
      <c r="V13" s="127">
        <f>V12*$X$1</f>
        <v>6316.5884330399986</v>
      </c>
      <c r="W13" s="127">
        <f>W12*$X$1</f>
        <v>6231.6647152799987</v>
      </c>
      <c r="X13" s="128">
        <f>X12*$X$1</f>
        <v>6401.5121507999993</v>
      </c>
    </row>
    <row r="14" spans="1:33" ht="13" thickBot="1" x14ac:dyDescent="0.3">
      <c r="A14" s="86" t="s">
        <v>36</v>
      </c>
      <c r="B14" s="87">
        <v>0.22</v>
      </c>
      <c r="C14" s="88">
        <v>0.22</v>
      </c>
      <c r="D14" s="88">
        <v>0.22</v>
      </c>
      <c r="E14" s="88">
        <v>0.22</v>
      </c>
      <c r="F14" s="88">
        <v>0.22</v>
      </c>
      <c r="G14" s="88">
        <v>0.22</v>
      </c>
      <c r="H14" s="88">
        <v>0.22</v>
      </c>
      <c r="I14" s="89">
        <v>0.22</v>
      </c>
      <c r="J14" s="135">
        <v>0.20499999999999999</v>
      </c>
      <c r="K14" s="136">
        <v>0.20499999999999999</v>
      </c>
      <c r="L14" s="136">
        <v>0.20499999999999999</v>
      </c>
      <c r="M14" s="136">
        <v>0.20499999999999999</v>
      </c>
      <c r="N14" s="136">
        <v>0.20499999999999999</v>
      </c>
      <c r="O14" s="137">
        <v>0.20499999999999999</v>
      </c>
      <c r="P14" s="87">
        <v>0.18</v>
      </c>
      <c r="Q14" s="91">
        <v>0.18</v>
      </c>
      <c r="R14" s="88">
        <v>0.18</v>
      </c>
      <c r="S14" s="89">
        <v>0.18</v>
      </c>
      <c r="V14" s="134"/>
      <c r="W14" s="134"/>
      <c r="X14" s="134"/>
    </row>
    <row r="15" spans="1:33" ht="13" x14ac:dyDescent="0.3">
      <c r="A15" s="62" t="s">
        <v>76</v>
      </c>
      <c r="B15" s="139">
        <f>(B12/(1-B13))/(1-B14)</f>
        <v>157.80951839915855</v>
      </c>
      <c r="C15" s="140">
        <f t="shared" ref="C15:S15" si="9">(C12/(1-C13))/(1-C14)</f>
        <v>202.09391487859864</v>
      </c>
      <c r="D15" s="140">
        <f t="shared" si="9"/>
        <v>222.69461339270973</v>
      </c>
      <c r="E15" s="140">
        <f t="shared" si="9"/>
        <v>419.30540778338792</v>
      </c>
      <c r="F15" s="140">
        <f t="shared" ref="F15" si="10">(F12/(1-F13))/(1-F14)</f>
        <v>411.2639070476165</v>
      </c>
      <c r="G15" s="140">
        <f t="shared" si="9"/>
        <v>429.33469521788942</v>
      </c>
      <c r="H15" s="140">
        <f t="shared" si="9"/>
        <v>501.61784789898076</v>
      </c>
      <c r="I15" s="141">
        <f t="shared" si="9"/>
        <v>519.68863606925368</v>
      </c>
      <c r="J15" s="139">
        <f t="shared" si="9"/>
        <v>152.32457509698534</v>
      </c>
      <c r="K15" s="140">
        <f t="shared" si="9"/>
        <v>153.19914810886587</v>
      </c>
      <c r="L15" s="140">
        <f t="shared" si="9"/>
        <v>301.43155715796161</v>
      </c>
      <c r="M15" s="140">
        <f t="shared" si="9"/>
        <v>398.97518704756993</v>
      </c>
      <c r="N15" s="140">
        <f t="shared" si="9"/>
        <v>416.46664728518147</v>
      </c>
      <c r="O15" s="142">
        <f t="shared" si="9"/>
        <v>486.43248823562726</v>
      </c>
      <c r="P15" s="139">
        <f t="shared" si="9"/>
        <v>151.69454384894999</v>
      </c>
      <c r="Q15" s="143">
        <f t="shared" si="9"/>
        <v>211.31734836551783</v>
      </c>
      <c r="R15" s="140">
        <f t="shared" si="9"/>
        <v>395.59319669690683</v>
      </c>
      <c r="S15" s="141">
        <f t="shared" si="9"/>
        <v>413.01358530266845</v>
      </c>
      <c r="U15" s="138" t="s">
        <v>52</v>
      </c>
      <c r="V15" s="67" t="s">
        <v>47</v>
      </c>
      <c r="W15" s="68" t="s">
        <v>48</v>
      </c>
      <c r="X15" s="69" t="s">
        <v>49</v>
      </c>
    </row>
    <row r="16" spans="1:33" x14ac:dyDescent="0.25">
      <c r="A16" s="76"/>
      <c r="B16" s="146"/>
      <c r="I16" s="147"/>
      <c r="J16" s="146"/>
      <c r="P16" s="106"/>
      <c r="Q16" s="148"/>
      <c r="R16" s="103"/>
      <c r="S16" s="107"/>
      <c r="U16" s="76" t="s">
        <v>77</v>
      </c>
      <c r="V16" s="144">
        <f>3.1*1000</f>
        <v>3100</v>
      </c>
      <c r="W16" s="144">
        <f>3.55*1000</f>
        <v>3550</v>
      </c>
      <c r="X16" s="145">
        <f>V16</f>
        <v>3100</v>
      </c>
    </row>
    <row r="17" spans="1:26" x14ac:dyDescent="0.25">
      <c r="A17" s="86" t="s">
        <v>75</v>
      </c>
      <c r="B17" s="129">
        <v>9.2499999999999999E-2</v>
      </c>
      <c r="C17" s="130">
        <v>9.2499999999999999E-2</v>
      </c>
      <c r="D17" s="130">
        <v>9.2499999999999999E-2</v>
      </c>
      <c r="E17" s="130">
        <v>9.2499999999999999E-2</v>
      </c>
      <c r="F17" s="130">
        <v>9.2499999999999999E-2</v>
      </c>
      <c r="G17" s="130">
        <v>9.2499999999999999E-2</v>
      </c>
      <c r="H17" s="130">
        <v>9.2499999999999999E-2</v>
      </c>
      <c r="I17" s="131">
        <v>9.2499999999999999E-2</v>
      </c>
      <c r="J17" s="129">
        <v>9.2499999999999999E-2</v>
      </c>
      <c r="K17" s="130">
        <v>9.2499999999999999E-2</v>
      </c>
      <c r="L17" s="130">
        <v>9.2499999999999999E-2</v>
      </c>
      <c r="M17" s="130">
        <v>9.2499999999999999E-2</v>
      </c>
      <c r="N17" s="130">
        <v>9.2499999999999999E-2</v>
      </c>
      <c r="O17" s="132">
        <v>9.2499999999999999E-2</v>
      </c>
      <c r="P17" s="129">
        <v>9.2499999999999999E-2</v>
      </c>
      <c r="Q17" s="133">
        <v>9.2499999999999999E-2</v>
      </c>
      <c r="R17" s="130">
        <v>9.2499999999999999E-2</v>
      </c>
      <c r="S17" s="131">
        <v>9.2499999999999999E-2</v>
      </c>
      <c r="U17" s="76" t="s">
        <v>78</v>
      </c>
      <c r="V17" s="104">
        <v>0.7</v>
      </c>
      <c r="W17" s="104">
        <v>0.7</v>
      </c>
      <c r="X17" s="105">
        <v>0.7</v>
      </c>
    </row>
    <row r="18" spans="1:26" x14ac:dyDescent="0.25">
      <c r="A18" s="86" t="s">
        <v>36</v>
      </c>
      <c r="B18" s="87">
        <v>0.12</v>
      </c>
      <c r="C18" s="88">
        <v>0.12</v>
      </c>
      <c r="D18" s="88">
        <v>0.12</v>
      </c>
      <c r="E18" s="88">
        <v>0.12</v>
      </c>
      <c r="F18" s="88">
        <v>0.12</v>
      </c>
      <c r="G18" s="88">
        <v>0.12</v>
      </c>
      <c r="H18" s="88">
        <v>0.12</v>
      </c>
      <c r="I18" s="89">
        <v>0.12</v>
      </c>
      <c r="J18" s="87">
        <v>0.12</v>
      </c>
      <c r="K18" s="88">
        <v>0.12</v>
      </c>
      <c r="L18" s="88">
        <v>0.12</v>
      </c>
      <c r="M18" s="88">
        <v>0.12</v>
      </c>
      <c r="N18" s="88">
        <v>0.12</v>
      </c>
      <c r="O18" s="90">
        <v>0.12</v>
      </c>
      <c r="P18" s="87">
        <v>0.12</v>
      </c>
      <c r="Q18" s="91">
        <v>0.12</v>
      </c>
      <c r="R18" s="88">
        <v>0.12</v>
      </c>
      <c r="S18" s="89">
        <v>0.12</v>
      </c>
      <c r="U18" s="76" t="s">
        <v>79</v>
      </c>
      <c r="V18" s="144">
        <v>2476.738275748</v>
      </c>
      <c r="W18" s="144">
        <v>2476.738275748</v>
      </c>
      <c r="X18" s="145">
        <v>2476.738275748</v>
      </c>
    </row>
    <row r="19" spans="1:26" ht="13" x14ac:dyDescent="0.3">
      <c r="A19" s="62" t="s">
        <v>76</v>
      </c>
      <c r="B19" s="139">
        <f>(B12/(1-B17))/(1-B18)</f>
        <v>139.87661858107236</v>
      </c>
      <c r="C19" s="140">
        <f t="shared" ref="C19:S19" si="11">(C12/(1-C17))/(1-C18)</f>
        <v>179.1286972787579</v>
      </c>
      <c r="D19" s="140">
        <f t="shared" si="11"/>
        <v>197.38840732535635</v>
      </c>
      <c r="E19" s="140">
        <f t="shared" si="11"/>
        <v>371.65706598982109</v>
      </c>
      <c r="F19" s="140">
        <f t="shared" ref="F19" si="12">(F12/(1-F17))/(1-F18)</f>
        <v>364.52937215584188</v>
      </c>
      <c r="G19" s="140">
        <f t="shared" si="11"/>
        <v>380.54666167040199</v>
      </c>
      <c r="H19" s="140">
        <f t="shared" si="11"/>
        <v>444.61581972864207</v>
      </c>
      <c r="I19" s="141">
        <f t="shared" si="11"/>
        <v>460.63310924320211</v>
      </c>
      <c r="J19" s="139">
        <f t="shared" si="11"/>
        <v>137.61140591148106</v>
      </c>
      <c r="K19" s="140">
        <f t="shared" si="11"/>
        <v>138.4015031210777</v>
      </c>
      <c r="L19" s="140">
        <f t="shared" si="11"/>
        <v>272.31600902338579</v>
      </c>
      <c r="M19" s="140">
        <f t="shared" si="11"/>
        <v>360.43781102592965</v>
      </c>
      <c r="N19" s="140">
        <f t="shared" si="11"/>
        <v>376.23975521786281</v>
      </c>
      <c r="O19" s="142">
        <f t="shared" si="11"/>
        <v>439.44753198559511</v>
      </c>
      <c r="P19" s="139">
        <f t="shared" si="11"/>
        <v>141.35173404106703</v>
      </c>
      <c r="Q19" s="143">
        <f t="shared" si="11"/>
        <v>196.90934734059618</v>
      </c>
      <c r="R19" s="140">
        <f t="shared" si="11"/>
        <v>368.62093328575412</v>
      </c>
      <c r="S19" s="141">
        <f t="shared" si="11"/>
        <v>384.85356812294111</v>
      </c>
      <c r="U19" s="149" t="s">
        <v>80</v>
      </c>
      <c r="V19" s="150">
        <f>(V16/V17)+V18</f>
        <v>6905.3097043194284</v>
      </c>
      <c r="W19" s="150">
        <f t="shared" ref="W19:X19" si="13">(W16/W17)+W18</f>
        <v>7548.1668471765715</v>
      </c>
      <c r="X19" s="151">
        <f t="shared" si="13"/>
        <v>6905.3097043194284</v>
      </c>
      <c r="Z19" s="155"/>
    </row>
    <row r="20" spans="1:26" ht="13.5" thickBot="1" x14ac:dyDescent="0.35">
      <c r="A20" s="76"/>
      <c r="B20" s="146"/>
      <c r="I20" s="147"/>
      <c r="J20" s="156"/>
      <c r="K20" s="157"/>
      <c r="L20" s="157"/>
      <c r="M20" s="157"/>
      <c r="N20" s="157"/>
      <c r="O20" s="157"/>
      <c r="P20" s="156"/>
      <c r="Q20" s="157"/>
      <c r="R20" s="157"/>
      <c r="S20" s="158"/>
      <c r="U20" s="152" t="s">
        <v>81</v>
      </c>
      <c r="V20" s="153">
        <f>V19/$X$1</f>
        <v>1327.7909672575142</v>
      </c>
      <c r="W20" s="153">
        <f>W19/$X$1</f>
        <v>1451.403077948039</v>
      </c>
      <c r="X20" s="154">
        <f>X19/$X$1</f>
        <v>1327.7909672575142</v>
      </c>
      <c r="Z20" s="159"/>
    </row>
    <row r="21" spans="1:26" x14ac:dyDescent="0.25">
      <c r="A21" s="86" t="s">
        <v>75</v>
      </c>
      <c r="B21" s="129">
        <v>9.2499999999999999E-2</v>
      </c>
      <c r="C21" s="130">
        <v>9.2499999999999999E-2</v>
      </c>
      <c r="D21" s="130">
        <v>9.2499999999999999E-2</v>
      </c>
      <c r="E21" s="130">
        <v>9.2499999999999999E-2</v>
      </c>
      <c r="F21" s="130">
        <v>9.2499999999999999E-2</v>
      </c>
      <c r="G21" s="130">
        <v>9.2499999999999999E-2</v>
      </c>
      <c r="H21" s="130">
        <v>9.2499999999999999E-2</v>
      </c>
      <c r="I21" s="131">
        <v>9.2499999999999999E-2</v>
      </c>
      <c r="J21" s="76"/>
      <c r="K21"/>
      <c r="L21" s="103" t="s">
        <v>82</v>
      </c>
      <c r="M21"/>
      <c r="N21"/>
      <c r="O21"/>
      <c r="P21" s="129">
        <v>9.2499999999999999E-2</v>
      </c>
      <c r="Q21" s="133">
        <v>9.2499999999999999E-2</v>
      </c>
      <c r="R21" s="130">
        <v>9.2499999999999999E-2</v>
      </c>
      <c r="S21" s="131">
        <v>9.2499999999999999E-2</v>
      </c>
      <c r="V21" s="196">
        <f>(V19-V13)/V13</f>
        <v>9.3202411004019561E-2</v>
      </c>
      <c r="W21" s="196">
        <f t="shared" ref="W21:X21" si="14">(W19-W13)/W13</f>
        <v>0.21126010336668447</v>
      </c>
      <c r="X21" s="196">
        <f t="shared" si="14"/>
        <v>7.8699773061661593E-2</v>
      </c>
    </row>
    <row r="22" spans="1:26" x14ac:dyDescent="0.25">
      <c r="A22" s="86" t="s">
        <v>36</v>
      </c>
      <c r="B22" s="87">
        <v>7.0000000000000007E-2</v>
      </c>
      <c r="C22" s="88">
        <v>7.0000000000000007E-2</v>
      </c>
      <c r="D22" s="88">
        <v>7.0000000000000007E-2</v>
      </c>
      <c r="E22" s="88">
        <v>7.0000000000000007E-2</v>
      </c>
      <c r="F22" s="88">
        <v>7.0000000000000007E-2</v>
      </c>
      <c r="G22" s="88">
        <v>7.0000000000000007E-2</v>
      </c>
      <c r="H22" s="88">
        <v>7.0000000000000007E-2</v>
      </c>
      <c r="I22" s="89">
        <v>7.0000000000000007E-2</v>
      </c>
      <c r="J22" s="76"/>
      <c r="K22"/>
      <c r="L22" s="94">
        <f>L12*(1+12%)</f>
        <v>243.568152582805</v>
      </c>
      <c r="M22"/>
      <c r="N22"/>
      <c r="O22"/>
      <c r="P22" s="87">
        <v>7.0000000000000007E-2</v>
      </c>
      <c r="Q22" s="91">
        <v>7.0000000000000007E-2</v>
      </c>
      <c r="R22" s="88">
        <v>7.0000000000000007E-2</v>
      </c>
      <c r="S22" s="89">
        <v>7.0000000000000007E-2</v>
      </c>
      <c r="U22" s="160" t="s">
        <v>83</v>
      </c>
      <c r="V22" s="103">
        <v>120</v>
      </c>
    </row>
    <row r="23" spans="1:26" ht="13.5" thickBot="1" x14ac:dyDescent="0.35">
      <c r="A23" s="163" t="s">
        <v>76</v>
      </c>
      <c r="B23" s="164">
        <f>(B12/(1-B21))/(1-B22)</f>
        <v>132.35637027026203</v>
      </c>
      <c r="C23" s="165">
        <f t="shared" ref="C23:I23" si="15">(C12/(1-C21))/(1-C22)</f>
        <v>169.49812215624405</v>
      </c>
      <c r="D23" s="165">
        <f t="shared" si="15"/>
        <v>186.77612736162754</v>
      </c>
      <c r="E23" s="165">
        <f t="shared" si="15"/>
        <v>351.67550330219632</v>
      </c>
      <c r="F23" s="165">
        <f t="shared" ref="F23" si="16">(F12/(1-F21))/(1-F22)</f>
        <v>344.93101881413003</v>
      </c>
      <c r="G23" s="165">
        <f t="shared" si="15"/>
        <v>360.0871637311331</v>
      </c>
      <c r="H23" s="165">
        <f t="shared" si="15"/>
        <v>420.71174339914518</v>
      </c>
      <c r="I23" s="166">
        <f t="shared" si="15"/>
        <v>435.86788831614831</v>
      </c>
      <c r="J23" s="167"/>
      <c r="K23" s="168"/>
      <c r="L23" s="168"/>
      <c r="M23" s="168"/>
      <c r="N23" s="168"/>
      <c r="O23" s="168"/>
      <c r="P23" s="164">
        <f>(P12/(1-P21))/(1-P22)</f>
        <v>133.75217844746129</v>
      </c>
      <c r="Q23" s="195">
        <f t="shared" ref="Q23:S23" si="17">(Q12/(1-Q21))/(1-Q22)</f>
        <v>186.32282329002649</v>
      </c>
      <c r="R23" s="165">
        <f t="shared" si="17"/>
        <v>348.80260353920823</v>
      </c>
      <c r="S23" s="166">
        <f t="shared" si="17"/>
        <v>364.16251607332066</v>
      </c>
      <c r="U23" s="161" t="s">
        <v>84</v>
      </c>
      <c r="V23" s="162">
        <v>0.15</v>
      </c>
    </row>
    <row r="24" spans="1:26" ht="13" thickBot="1" x14ac:dyDescent="0.3">
      <c r="U24" s="161" t="s">
        <v>85</v>
      </c>
      <c r="V24" s="162">
        <v>0.14249999999999999</v>
      </c>
      <c r="W24" s="169"/>
      <c r="X24" s="170"/>
      <c r="Z24" s="77"/>
    </row>
    <row r="25" spans="1:26" ht="13" x14ac:dyDescent="0.3">
      <c r="A25" s="47" t="s">
        <v>40</v>
      </c>
      <c r="B25" s="48" t="s">
        <v>41</v>
      </c>
      <c r="C25" s="49" t="s">
        <v>41</v>
      </c>
      <c r="D25" s="49" t="s">
        <v>41</v>
      </c>
      <c r="E25" s="49" t="s">
        <v>41</v>
      </c>
      <c r="F25" s="49" t="s">
        <v>41</v>
      </c>
      <c r="G25" s="49" t="s">
        <v>41</v>
      </c>
      <c r="H25" s="49" t="s">
        <v>41</v>
      </c>
      <c r="I25" s="50" t="s">
        <v>41</v>
      </c>
      <c r="J25" s="51" t="s">
        <v>42</v>
      </c>
      <c r="K25" s="52" t="s">
        <v>42</v>
      </c>
      <c r="L25" s="52" t="s">
        <v>42</v>
      </c>
      <c r="M25" s="52" t="s">
        <v>42</v>
      </c>
      <c r="N25" s="52" t="s">
        <v>42</v>
      </c>
      <c r="O25" s="172" t="s">
        <v>42</v>
      </c>
      <c r="P25" s="54" t="s">
        <v>43</v>
      </c>
      <c r="Q25" s="55" t="s">
        <v>43</v>
      </c>
      <c r="R25" s="56" t="s">
        <v>43</v>
      </c>
      <c r="S25" s="57" t="s">
        <v>43</v>
      </c>
      <c r="U25" s="161" t="s">
        <v>86</v>
      </c>
      <c r="V25" s="162">
        <f>IF((V23-V24)&lt;0,0,(V23-V24))</f>
        <v>7.5000000000000067E-3</v>
      </c>
      <c r="W25" s="77"/>
      <c r="X25" s="171"/>
    </row>
    <row r="26" spans="1:26" ht="13" x14ac:dyDescent="0.3">
      <c r="A26" s="62" t="s">
        <v>45</v>
      </c>
      <c r="B26" s="63">
        <v>13.7</v>
      </c>
      <c r="C26" s="64">
        <v>17.8</v>
      </c>
      <c r="D26" s="64">
        <v>20.079999999999998</v>
      </c>
      <c r="E26" s="64">
        <v>38.89</v>
      </c>
      <c r="F26" s="64">
        <v>38</v>
      </c>
      <c r="G26" s="64">
        <v>40</v>
      </c>
      <c r="H26" s="64">
        <v>48</v>
      </c>
      <c r="I26" s="65">
        <v>50</v>
      </c>
      <c r="J26" s="63">
        <v>13.6</v>
      </c>
      <c r="K26" s="64">
        <v>13.7</v>
      </c>
      <c r="L26" s="64">
        <v>28.7</v>
      </c>
      <c r="M26" s="64">
        <v>38</v>
      </c>
      <c r="N26" s="64">
        <v>40</v>
      </c>
      <c r="O26" s="65">
        <v>48</v>
      </c>
      <c r="P26" s="63">
        <v>13.7</v>
      </c>
      <c r="Q26" s="18">
        <v>17.8</v>
      </c>
      <c r="R26" s="64">
        <v>38</v>
      </c>
      <c r="S26" s="65">
        <v>40</v>
      </c>
      <c r="U26" s="173" t="s">
        <v>87</v>
      </c>
      <c r="V26" s="174">
        <f>(V25/360)*V22</f>
        <v>2.5000000000000022E-3</v>
      </c>
      <c r="X26" s="170"/>
    </row>
    <row r="27" spans="1:26" x14ac:dyDescent="0.25">
      <c r="A27" s="70" t="s">
        <v>46</v>
      </c>
      <c r="B27" s="71">
        <f t="shared" ref="B27:S27" si="18">1-B28</f>
        <v>0</v>
      </c>
      <c r="C27" s="72">
        <f t="shared" si="18"/>
        <v>0</v>
      </c>
      <c r="D27" s="72">
        <f t="shared" si="18"/>
        <v>0</v>
      </c>
      <c r="E27" s="72">
        <f t="shared" si="18"/>
        <v>0</v>
      </c>
      <c r="F27" s="72">
        <f t="shared" si="18"/>
        <v>0</v>
      </c>
      <c r="G27" s="72">
        <f t="shared" si="18"/>
        <v>0</v>
      </c>
      <c r="H27" s="72">
        <f t="shared" si="18"/>
        <v>0</v>
      </c>
      <c r="I27" s="73">
        <f t="shared" si="18"/>
        <v>0</v>
      </c>
      <c r="J27" s="71">
        <f t="shared" si="18"/>
        <v>0</v>
      </c>
      <c r="K27" s="72">
        <f t="shared" si="18"/>
        <v>0</v>
      </c>
      <c r="L27" s="72">
        <f t="shared" si="18"/>
        <v>0</v>
      </c>
      <c r="M27" s="72">
        <f t="shared" si="18"/>
        <v>0</v>
      </c>
      <c r="N27" s="72">
        <f t="shared" si="18"/>
        <v>0</v>
      </c>
      <c r="O27" s="73">
        <f t="shared" si="18"/>
        <v>0</v>
      </c>
      <c r="P27" s="71">
        <f t="shared" si="18"/>
        <v>0</v>
      </c>
      <c r="Q27" s="75">
        <f t="shared" si="18"/>
        <v>0</v>
      </c>
      <c r="R27" s="72">
        <f t="shared" si="18"/>
        <v>0</v>
      </c>
      <c r="S27" s="73">
        <f t="shared" si="18"/>
        <v>0</v>
      </c>
      <c r="W27" s="169"/>
    </row>
    <row r="28" spans="1:26" x14ac:dyDescent="0.25">
      <c r="A28" s="80" t="s">
        <v>52</v>
      </c>
      <c r="B28" s="81">
        <v>1</v>
      </c>
      <c r="C28" s="82">
        <v>1</v>
      </c>
      <c r="D28" s="82">
        <v>1</v>
      </c>
      <c r="E28" s="82">
        <v>1</v>
      </c>
      <c r="F28" s="82">
        <v>1</v>
      </c>
      <c r="G28" s="82">
        <v>1</v>
      </c>
      <c r="H28" s="82">
        <v>1</v>
      </c>
      <c r="I28" s="83">
        <v>1</v>
      </c>
      <c r="J28" s="81">
        <v>1</v>
      </c>
      <c r="K28" s="82">
        <v>1</v>
      </c>
      <c r="L28" s="82">
        <v>1</v>
      </c>
      <c r="M28" s="82">
        <v>1</v>
      </c>
      <c r="N28" s="82">
        <v>1</v>
      </c>
      <c r="O28" s="83">
        <v>1</v>
      </c>
      <c r="P28" s="81">
        <v>1</v>
      </c>
      <c r="Q28" s="85">
        <v>1</v>
      </c>
      <c r="R28" s="82">
        <v>1</v>
      </c>
      <c r="S28" s="83">
        <v>1</v>
      </c>
      <c r="V28" s="170"/>
    </row>
    <row r="29" spans="1:26" x14ac:dyDescent="0.25">
      <c r="A29" s="86" t="s">
        <v>32</v>
      </c>
      <c r="B29" s="87">
        <v>0.01</v>
      </c>
      <c r="C29" s="88">
        <v>0.01</v>
      </c>
      <c r="D29" s="88">
        <v>0.01</v>
      </c>
      <c r="E29" s="88">
        <v>0.01</v>
      </c>
      <c r="F29" s="88">
        <v>0.01</v>
      </c>
      <c r="G29" s="88">
        <v>0.01</v>
      </c>
      <c r="H29" s="88">
        <v>0.01</v>
      </c>
      <c r="I29" s="89">
        <v>0.01</v>
      </c>
      <c r="J29" s="87">
        <v>0.01</v>
      </c>
      <c r="K29" s="88">
        <v>0.01</v>
      </c>
      <c r="L29" s="88">
        <v>0.01</v>
      </c>
      <c r="M29" s="88">
        <v>0.01</v>
      </c>
      <c r="N29" s="88">
        <v>0.01</v>
      </c>
      <c r="O29" s="89">
        <v>0.01</v>
      </c>
      <c r="P29" s="87">
        <v>0.01</v>
      </c>
      <c r="Q29" s="91">
        <v>0.01</v>
      </c>
      <c r="R29" s="88">
        <v>0.01</v>
      </c>
      <c r="S29" s="89">
        <v>0.01</v>
      </c>
    </row>
    <row r="30" spans="1:26" x14ac:dyDescent="0.25">
      <c r="A30" s="92" t="s">
        <v>54</v>
      </c>
      <c r="B30" s="93">
        <f t="shared" ref="B30:I30" si="19">(($V$13*B27)+($V$19*B28))*(1+B29)</f>
        <v>6974.362801362623</v>
      </c>
      <c r="C30" s="94">
        <f t="shared" si="19"/>
        <v>6974.362801362623</v>
      </c>
      <c r="D30" s="94">
        <f t="shared" si="19"/>
        <v>6974.362801362623</v>
      </c>
      <c r="E30" s="94">
        <f t="shared" si="19"/>
        <v>6974.362801362623</v>
      </c>
      <c r="F30" s="94">
        <f t="shared" si="19"/>
        <v>6974.362801362623</v>
      </c>
      <c r="G30" s="94">
        <f t="shared" si="19"/>
        <v>6974.362801362623</v>
      </c>
      <c r="H30" s="94">
        <f t="shared" si="19"/>
        <v>6974.362801362623</v>
      </c>
      <c r="I30" s="95">
        <f t="shared" si="19"/>
        <v>6974.362801362623</v>
      </c>
      <c r="J30" s="93">
        <f>(($W$13*J27)+($W$19*J28))*(1+J29)</f>
        <v>7623.6485156483377</v>
      </c>
      <c r="K30" s="94">
        <f t="shared" ref="K30:O30" si="20">(($W$13*K27)+($W$19*K28))*(1+K29)</f>
        <v>7623.6485156483377</v>
      </c>
      <c r="L30" s="94">
        <f t="shared" si="20"/>
        <v>7623.6485156483377</v>
      </c>
      <c r="M30" s="94">
        <f t="shared" si="20"/>
        <v>7623.6485156483377</v>
      </c>
      <c r="N30" s="94">
        <f t="shared" si="20"/>
        <v>7623.6485156483377</v>
      </c>
      <c r="O30" s="95">
        <f t="shared" si="20"/>
        <v>7623.6485156483377</v>
      </c>
      <c r="P30" s="93">
        <f>(($X$13*P27)+($X$19*P28))*(1+P29)</f>
        <v>6974.362801362623</v>
      </c>
      <c r="Q30" s="97">
        <f>(($X$13*Q27)+($X$19*Q28))*(1+Q29)</f>
        <v>6974.362801362623</v>
      </c>
      <c r="R30" s="94">
        <f>(($X$13*R27)+($X$19*R28))*(1+R29)</f>
        <v>6974.362801362623</v>
      </c>
      <c r="S30" s="95">
        <f>(($X$13*S27)+($X$19*S28))*(1+S29)</f>
        <v>6974.362801362623</v>
      </c>
      <c r="V30" s="169"/>
    </row>
    <row r="31" spans="1:26" x14ac:dyDescent="0.25">
      <c r="A31" s="92" t="s">
        <v>59</v>
      </c>
      <c r="B31" s="99">
        <f t="shared" ref="B31:S31" si="21">B32/$X$1</f>
        <v>18.372643613942223</v>
      </c>
      <c r="C31" s="5">
        <f t="shared" si="21"/>
        <v>23.871026009355592</v>
      </c>
      <c r="D31" s="5">
        <f t="shared" si="21"/>
        <v>26.928663048756192</v>
      </c>
      <c r="E31" s="5">
        <f t="shared" si="21"/>
        <v>52.154168623811181</v>
      </c>
      <c r="F31" s="5">
        <f t="shared" si="21"/>
        <v>50.960617323343399</v>
      </c>
      <c r="G31" s="5">
        <f t="shared" si="21"/>
        <v>53.642755077203581</v>
      </c>
      <c r="H31" s="5">
        <f t="shared" si="21"/>
        <v>64.371306092644303</v>
      </c>
      <c r="I31" s="100">
        <f t="shared" si="21"/>
        <v>67.053443846504479</v>
      </c>
      <c r="J31" s="99">
        <f t="shared" si="21"/>
        <v>19.936472678694265</v>
      </c>
      <c r="K31" s="5">
        <f t="shared" si="21"/>
        <v>20.083064389567017</v>
      </c>
      <c r="L31" s="5">
        <f t="shared" si="21"/>
        <v>42.07182102047981</v>
      </c>
      <c r="M31" s="5">
        <f t="shared" si="21"/>
        <v>55.704850131645749</v>
      </c>
      <c r="N31" s="5">
        <f t="shared" si="21"/>
        <v>58.63668434910079</v>
      </c>
      <c r="O31" s="100">
        <f t="shared" si="21"/>
        <v>70.364021218920939</v>
      </c>
      <c r="P31" s="99">
        <f t="shared" si="21"/>
        <v>18.372643613942223</v>
      </c>
      <c r="Q31" s="102">
        <f t="shared" si="21"/>
        <v>23.871026009355592</v>
      </c>
      <c r="R31" s="5">
        <f t="shared" si="21"/>
        <v>50.960617323343399</v>
      </c>
      <c r="S31" s="100">
        <f t="shared" si="21"/>
        <v>53.642755077203581</v>
      </c>
    </row>
    <row r="32" spans="1:26" x14ac:dyDescent="0.25">
      <c r="A32" s="86" t="s">
        <v>63</v>
      </c>
      <c r="B32" s="93">
        <f t="shared" ref="B32:S32" si="22">B30*(B26/1000)</f>
        <v>95.548770378667925</v>
      </c>
      <c r="C32" s="94">
        <f t="shared" si="22"/>
        <v>124.14365786425469</v>
      </c>
      <c r="D32" s="94">
        <f t="shared" si="22"/>
        <v>140.04520505136145</v>
      </c>
      <c r="E32" s="94">
        <f t="shared" si="22"/>
        <v>271.2329693449924</v>
      </c>
      <c r="F32" s="94">
        <f t="shared" ref="F32" si="23">F30*(F26/1000)</f>
        <v>265.02578645177965</v>
      </c>
      <c r="G32" s="94">
        <f t="shared" si="22"/>
        <v>278.97451205450494</v>
      </c>
      <c r="H32" s="94">
        <f t="shared" si="22"/>
        <v>334.76941446540593</v>
      </c>
      <c r="I32" s="95">
        <f t="shared" si="22"/>
        <v>348.71814006813116</v>
      </c>
      <c r="J32" s="93">
        <f t="shared" si="22"/>
        <v>103.68161981281739</v>
      </c>
      <c r="K32" s="94">
        <f t="shared" si="22"/>
        <v>104.44398466438221</v>
      </c>
      <c r="L32" s="94">
        <f t="shared" si="22"/>
        <v>218.7987123991073</v>
      </c>
      <c r="M32" s="94">
        <f t="shared" si="22"/>
        <v>289.69864359463685</v>
      </c>
      <c r="N32" s="94">
        <f t="shared" si="22"/>
        <v>304.94594062593353</v>
      </c>
      <c r="O32" s="95">
        <f t="shared" si="22"/>
        <v>365.9351287511202</v>
      </c>
      <c r="P32" s="93">
        <f t="shared" si="22"/>
        <v>95.548770378667925</v>
      </c>
      <c r="Q32" s="97">
        <f t="shared" si="22"/>
        <v>124.14365786425469</v>
      </c>
      <c r="R32" s="94">
        <f t="shared" si="22"/>
        <v>265.02578645177965</v>
      </c>
      <c r="S32" s="95">
        <f t="shared" si="22"/>
        <v>278.97451205450494</v>
      </c>
    </row>
    <row r="33" spans="1:19" x14ac:dyDescent="0.25">
      <c r="A33" s="86" t="s">
        <v>66</v>
      </c>
      <c r="B33" s="93">
        <v>24.0242662</v>
      </c>
      <c r="C33" s="94">
        <v>29.1358122</v>
      </c>
      <c r="D33" s="94">
        <v>29.1358122</v>
      </c>
      <c r="E33" s="94">
        <v>47.956524571999999</v>
      </c>
      <c r="F33" s="94">
        <v>47.956524571999999</v>
      </c>
      <c r="G33" s="94">
        <v>47.956524571999999</v>
      </c>
      <c r="H33" s="94">
        <v>47.956524571999999</v>
      </c>
      <c r="I33" s="95">
        <v>47.956524571999999</v>
      </c>
      <c r="J33" s="93">
        <v>24.0242662</v>
      </c>
      <c r="K33" s="94">
        <v>24.0242662</v>
      </c>
      <c r="L33" s="94">
        <v>36.291976599999998</v>
      </c>
      <c r="M33" s="94">
        <v>47.956524571999999</v>
      </c>
      <c r="N33" s="94">
        <v>47.956524571999999</v>
      </c>
      <c r="O33" s="96">
        <v>47.956524571999999</v>
      </c>
      <c r="P33" s="93">
        <v>24.0242662</v>
      </c>
      <c r="Q33" s="97">
        <v>29.1358122</v>
      </c>
      <c r="R33" s="94">
        <v>47.956524571999999</v>
      </c>
      <c r="S33" s="95">
        <v>47.956524571999999</v>
      </c>
    </row>
    <row r="34" spans="1:19" x14ac:dyDescent="0.25">
      <c r="A34" s="86" t="s">
        <v>69</v>
      </c>
      <c r="B34" s="106"/>
      <c r="C34" s="103"/>
      <c r="D34" s="103"/>
      <c r="E34" s="103"/>
      <c r="F34" s="103"/>
      <c r="G34" s="103"/>
      <c r="H34" s="103"/>
      <c r="I34" s="107"/>
      <c r="J34" s="106"/>
      <c r="K34" s="103"/>
      <c r="L34" s="103"/>
      <c r="M34" s="103"/>
      <c r="N34" s="103"/>
      <c r="O34" s="107"/>
      <c r="P34" s="99"/>
      <c r="Q34" s="102">
        <v>2.4300000000000002</v>
      </c>
      <c r="R34" s="5"/>
      <c r="S34" s="100"/>
    </row>
    <row r="35" spans="1:19" x14ac:dyDescent="0.25">
      <c r="A35" s="86" t="s">
        <v>71</v>
      </c>
      <c r="B35" s="109">
        <f t="shared" ref="B35:S35" si="24">$V$26</f>
        <v>2.5000000000000022E-3</v>
      </c>
      <c r="C35" s="110">
        <f t="shared" si="24"/>
        <v>2.5000000000000022E-3</v>
      </c>
      <c r="D35" s="110">
        <f t="shared" si="24"/>
        <v>2.5000000000000022E-3</v>
      </c>
      <c r="E35" s="110">
        <f t="shared" si="24"/>
        <v>2.5000000000000022E-3</v>
      </c>
      <c r="F35" s="110">
        <f t="shared" si="24"/>
        <v>2.5000000000000022E-3</v>
      </c>
      <c r="G35" s="110">
        <f t="shared" si="24"/>
        <v>2.5000000000000022E-3</v>
      </c>
      <c r="H35" s="110">
        <f t="shared" si="24"/>
        <v>2.5000000000000022E-3</v>
      </c>
      <c r="I35" s="111">
        <f t="shared" si="24"/>
        <v>2.5000000000000022E-3</v>
      </c>
      <c r="J35" s="109">
        <f t="shared" si="24"/>
        <v>2.5000000000000022E-3</v>
      </c>
      <c r="K35" s="110">
        <f t="shared" si="24"/>
        <v>2.5000000000000022E-3</v>
      </c>
      <c r="L35" s="110">
        <f t="shared" si="24"/>
        <v>2.5000000000000022E-3</v>
      </c>
      <c r="M35" s="110">
        <f t="shared" si="24"/>
        <v>2.5000000000000022E-3</v>
      </c>
      <c r="N35" s="110">
        <f t="shared" si="24"/>
        <v>2.5000000000000022E-3</v>
      </c>
      <c r="O35" s="111">
        <f t="shared" si="24"/>
        <v>2.5000000000000022E-3</v>
      </c>
      <c r="P35" s="109">
        <f t="shared" si="24"/>
        <v>2.5000000000000022E-3</v>
      </c>
      <c r="Q35" s="113">
        <f t="shared" si="24"/>
        <v>2.5000000000000022E-3</v>
      </c>
      <c r="R35" s="110">
        <f t="shared" si="24"/>
        <v>2.5000000000000022E-3</v>
      </c>
      <c r="S35" s="111">
        <f t="shared" si="24"/>
        <v>2.5000000000000022E-3</v>
      </c>
    </row>
    <row r="36" spans="1:19" ht="13" x14ac:dyDescent="0.3">
      <c r="A36" s="62" t="s">
        <v>73</v>
      </c>
      <c r="B36" s="116">
        <f t="shared" ref="B36:S36" si="25">(B32+B33+(B34*$X$1))*(1+B35)</f>
        <v>119.87196917011458</v>
      </c>
      <c r="C36" s="117">
        <f t="shared" si="25"/>
        <v>153.66266873941532</v>
      </c>
      <c r="D36" s="117">
        <f t="shared" si="25"/>
        <v>169.60396979448984</v>
      </c>
      <c r="E36" s="117">
        <f t="shared" si="25"/>
        <v>319.98746765178481</v>
      </c>
      <c r="F36" s="117">
        <f t="shared" si="25"/>
        <v>313.76476680133908</v>
      </c>
      <c r="G36" s="117">
        <f t="shared" si="25"/>
        <v>327.74836421807117</v>
      </c>
      <c r="H36" s="117">
        <f t="shared" si="25"/>
        <v>383.68275388499939</v>
      </c>
      <c r="I36" s="118">
        <f t="shared" si="25"/>
        <v>397.66635130173142</v>
      </c>
      <c r="J36" s="119">
        <f t="shared" si="25"/>
        <v>128.02515072784942</v>
      </c>
      <c r="K36" s="120">
        <f t="shared" si="25"/>
        <v>128.78942149154315</v>
      </c>
      <c r="L36" s="120">
        <f t="shared" si="25"/>
        <v>255.72841572160505</v>
      </c>
      <c r="M36" s="120">
        <f t="shared" si="25"/>
        <v>338.49930608705341</v>
      </c>
      <c r="N36" s="120">
        <f t="shared" si="25"/>
        <v>353.7847213609283</v>
      </c>
      <c r="O36" s="175">
        <f t="shared" si="25"/>
        <v>414.92638245642797</v>
      </c>
      <c r="P36" s="122">
        <f t="shared" si="25"/>
        <v>119.87196917011458</v>
      </c>
      <c r="Q36" s="123">
        <f t="shared" si="25"/>
        <v>166.33172038441532</v>
      </c>
      <c r="R36" s="124">
        <f t="shared" si="25"/>
        <v>313.76476680133908</v>
      </c>
      <c r="S36" s="125">
        <f t="shared" si="25"/>
        <v>327.74836421807117</v>
      </c>
    </row>
    <row r="37" spans="1:19" x14ac:dyDescent="0.25">
      <c r="A37" s="86" t="s">
        <v>75</v>
      </c>
      <c r="B37" s="129">
        <v>9.2499999999999999E-2</v>
      </c>
      <c r="C37" s="130">
        <v>9.2499999999999999E-2</v>
      </c>
      <c r="D37" s="130">
        <v>9.2499999999999999E-2</v>
      </c>
      <c r="E37" s="130">
        <v>9.2499999999999999E-2</v>
      </c>
      <c r="F37" s="130">
        <v>9.2499999999999999E-2</v>
      </c>
      <c r="G37" s="130">
        <v>9.2499999999999999E-2</v>
      </c>
      <c r="H37" s="130">
        <v>9.2499999999999999E-2</v>
      </c>
      <c r="I37" s="131">
        <v>9.2499999999999999E-2</v>
      </c>
      <c r="J37" s="129">
        <v>9.2499999999999999E-2</v>
      </c>
      <c r="K37" s="130">
        <v>9.2499999999999999E-2</v>
      </c>
      <c r="L37" s="130">
        <v>9.2499999999999999E-2</v>
      </c>
      <c r="M37" s="130">
        <v>9.2499999999999999E-2</v>
      </c>
      <c r="N37" s="130">
        <v>9.2499999999999999E-2</v>
      </c>
      <c r="O37" s="131">
        <v>9.2499999999999999E-2</v>
      </c>
      <c r="P37" s="129">
        <v>9.2499999999999999E-2</v>
      </c>
      <c r="Q37" s="133">
        <v>9.2499999999999999E-2</v>
      </c>
      <c r="R37" s="130">
        <v>9.2499999999999999E-2</v>
      </c>
      <c r="S37" s="131">
        <v>9.2499999999999999E-2</v>
      </c>
    </row>
    <row r="38" spans="1:19" x14ac:dyDescent="0.25">
      <c r="A38" s="86" t="s">
        <v>36</v>
      </c>
      <c r="B38" s="87">
        <v>0.22</v>
      </c>
      <c r="C38" s="88">
        <v>0.22</v>
      </c>
      <c r="D38" s="88">
        <v>0.22</v>
      </c>
      <c r="E38" s="88">
        <v>0.22</v>
      </c>
      <c r="F38" s="88">
        <v>0.22</v>
      </c>
      <c r="G38" s="88">
        <v>0.22</v>
      </c>
      <c r="H38" s="88">
        <v>0.22</v>
      </c>
      <c r="I38" s="89">
        <v>0.22</v>
      </c>
      <c r="J38" s="135">
        <v>0.20499999999999999</v>
      </c>
      <c r="K38" s="136">
        <v>0.20499999999999999</v>
      </c>
      <c r="L38" s="136">
        <v>0.20499999999999999</v>
      </c>
      <c r="M38" s="136">
        <v>0.20499999999999999</v>
      </c>
      <c r="N38" s="136">
        <v>0.20499999999999999</v>
      </c>
      <c r="O38" s="176">
        <v>0.20499999999999999</v>
      </c>
      <c r="P38" s="87">
        <v>0.18</v>
      </c>
      <c r="Q38" s="91">
        <v>0.18</v>
      </c>
      <c r="R38" s="88">
        <v>0.18</v>
      </c>
      <c r="S38" s="89">
        <v>0.18</v>
      </c>
    </row>
    <row r="39" spans="1:19" ht="13" x14ac:dyDescent="0.3">
      <c r="A39" s="62" t="s">
        <v>76</v>
      </c>
      <c r="B39" s="139">
        <f>(B36/(1-B37))/(1-B38)</f>
        <v>169.34656942871311</v>
      </c>
      <c r="C39" s="140">
        <f t="shared" ref="C39:S39" si="26">(C36/(1-C37))/(1-C38)</f>
        <v>217.08366001188855</v>
      </c>
      <c r="D39" s="140">
        <f t="shared" si="26"/>
        <v>239.60439329588169</v>
      </c>
      <c r="E39" s="140">
        <f t="shared" si="26"/>
        <v>452.05547453808686</v>
      </c>
      <c r="F39" s="140">
        <f t="shared" ref="F39" si="27">(F36/(1-F37))/(1-F38)</f>
        <v>443.26448654565098</v>
      </c>
      <c r="G39" s="140">
        <f t="shared" si="26"/>
        <v>463.01951574213626</v>
      </c>
      <c r="H39" s="140">
        <f t="shared" si="26"/>
        <v>542.03963252807716</v>
      </c>
      <c r="I39" s="141">
        <f t="shared" si="26"/>
        <v>561.79466172456227</v>
      </c>
      <c r="J39" s="139">
        <f t="shared" si="26"/>
        <v>177.45225944224322</v>
      </c>
      <c r="K39" s="140">
        <f t="shared" si="26"/>
        <v>178.51159483901543</v>
      </c>
      <c r="L39" s="140">
        <f t="shared" si="26"/>
        <v>354.45836162185145</v>
      </c>
      <c r="M39" s="140">
        <f t="shared" si="26"/>
        <v>469.18489330637891</v>
      </c>
      <c r="N39" s="140">
        <f t="shared" si="26"/>
        <v>490.37160124182236</v>
      </c>
      <c r="O39" s="141">
        <f t="shared" si="26"/>
        <v>575.11843298359645</v>
      </c>
      <c r="P39" s="139">
        <f t="shared" si="26"/>
        <v>161.08576116389781</v>
      </c>
      <c r="Q39" s="143">
        <f t="shared" si="26"/>
        <v>223.51907597180048</v>
      </c>
      <c r="R39" s="140">
        <f t="shared" si="26"/>
        <v>421.64182866537533</v>
      </c>
      <c r="S39" s="141">
        <f t="shared" si="26"/>
        <v>440.43319790105642</v>
      </c>
    </row>
    <row r="40" spans="1:19" x14ac:dyDescent="0.25">
      <c r="A40" s="76"/>
      <c r="B40" s="146"/>
      <c r="I40" s="147"/>
      <c r="J40" s="146"/>
      <c r="O40" s="147"/>
      <c r="P40" s="106"/>
      <c r="Q40" s="148"/>
      <c r="R40" s="103"/>
      <c r="S40" s="107"/>
    </row>
    <row r="41" spans="1:19" x14ac:dyDescent="0.25">
      <c r="A41" s="86" t="s">
        <v>75</v>
      </c>
      <c r="B41" s="129">
        <v>9.2499999999999999E-2</v>
      </c>
      <c r="C41" s="130">
        <v>9.2499999999999999E-2</v>
      </c>
      <c r="D41" s="130">
        <v>9.2499999999999999E-2</v>
      </c>
      <c r="E41" s="130">
        <v>9.2499999999999999E-2</v>
      </c>
      <c r="F41" s="130">
        <v>9.2499999999999999E-2</v>
      </c>
      <c r="G41" s="130">
        <v>9.2499999999999999E-2</v>
      </c>
      <c r="H41" s="130">
        <v>9.2499999999999999E-2</v>
      </c>
      <c r="I41" s="131">
        <v>9.2499999999999999E-2</v>
      </c>
      <c r="J41" s="129">
        <v>9.2499999999999999E-2</v>
      </c>
      <c r="K41" s="130">
        <v>9.2499999999999999E-2</v>
      </c>
      <c r="L41" s="130">
        <v>9.2499999999999999E-2</v>
      </c>
      <c r="M41" s="130">
        <v>9.2499999999999999E-2</v>
      </c>
      <c r="N41" s="130">
        <v>9.2499999999999999E-2</v>
      </c>
      <c r="O41" s="131">
        <v>9.2499999999999999E-2</v>
      </c>
      <c r="P41" s="129">
        <v>9.2499999999999999E-2</v>
      </c>
      <c r="Q41" s="133">
        <v>9.2499999999999999E-2</v>
      </c>
      <c r="R41" s="130">
        <v>9.2499999999999999E-2</v>
      </c>
      <c r="S41" s="131">
        <v>9.2499999999999999E-2</v>
      </c>
    </row>
    <row r="42" spans="1:19" x14ac:dyDescent="0.25">
      <c r="A42" s="86" t="s">
        <v>36</v>
      </c>
      <c r="B42" s="87">
        <v>0.12</v>
      </c>
      <c r="C42" s="88">
        <v>0.12</v>
      </c>
      <c r="D42" s="88">
        <v>0.12</v>
      </c>
      <c r="E42" s="88">
        <v>0.12</v>
      </c>
      <c r="F42" s="88">
        <v>0.12</v>
      </c>
      <c r="G42" s="88">
        <v>0.12</v>
      </c>
      <c r="H42" s="88">
        <v>0.12</v>
      </c>
      <c r="I42" s="89">
        <v>0.12</v>
      </c>
      <c r="J42" s="87">
        <v>0.12</v>
      </c>
      <c r="K42" s="88">
        <v>0.12</v>
      </c>
      <c r="L42" s="88">
        <v>0.12</v>
      </c>
      <c r="M42" s="88">
        <v>0.12</v>
      </c>
      <c r="N42" s="88">
        <v>0.12</v>
      </c>
      <c r="O42" s="89">
        <v>0.12</v>
      </c>
      <c r="P42" s="87">
        <v>0.12</v>
      </c>
      <c r="Q42" s="91">
        <v>0.12</v>
      </c>
      <c r="R42" s="88">
        <v>0.12</v>
      </c>
      <c r="S42" s="89">
        <v>0.12</v>
      </c>
    </row>
    <row r="43" spans="1:19" ht="13" x14ac:dyDescent="0.3">
      <c r="A43" s="62" t="s">
        <v>76</v>
      </c>
      <c r="B43" s="139">
        <f>(B36/(1-B41))/(1-B42)</f>
        <v>150.10264108454118</v>
      </c>
      <c r="C43" s="140">
        <f t="shared" ref="C43:S43" si="28">(C36/(1-C41))/(1-C42)</f>
        <v>192.41506228326486</v>
      </c>
      <c r="D43" s="140">
        <f t="shared" si="28"/>
        <v>212.3766213304406</v>
      </c>
      <c r="E43" s="140">
        <f t="shared" si="28"/>
        <v>400.68553424966791</v>
      </c>
      <c r="F43" s="140">
        <f t="shared" ref="F43" si="29">(F36/(1-F41))/(1-F42)</f>
        <v>392.89352216546342</v>
      </c>
      <c r="G43" s="140">
        <f t="shared" si="28"/>
        <v>410.40366168052986</v>
      </c>
      <c r="H43" s="140">
        <f t="shared" si="28"/>
        <v>480.44421974079563</v>
      </c>
      <c r="I43" s="141">
        <f t="shared" si="28"/>
        <v>497.95435925586202</v>
      </c>
      <c r="J43" s="139">
        <f t="shared" si="28"/>
        <v>160.31198438248111</v>
      </c>
      <c r="K43" s="140">
        <f t="shared" si="28"/>
        <v>161.26899761024688</v>
      </c>
      <c r="L43" s="140">
        <f t="shared" si="28"/>
        <v>320.22090623792263</v>
      </c>
      <c r="M43" s="140">
        <f t="shared" si="28"/>
        <v>423.86589793019459</v>
      </c>
      <c r="N43" s="140">
        <f t="shared" si="28"/>
        <v>443.00616248551</v>
      </c>
      <c r="O43" s="141">
        <f t="shared" si="28"/>
        <v>519.56722070677188</v>
      </c>
      <c r="P43" s="139">
        <f t="shared" si="28"/>
        <v>150.10264108454118</v>
      </c>
      <c r="Q43" s="143">
        <f t="shared" si="28"/>
        <v>208.27913897372318</v>
      </c>
      <c r="R43" s="140">
        <f t="shared" si="28"/>
        <v>392.89352216546342</v>
      </c>
      <c r="S43" s="141">
        <f t="shared" si="28"/>
        <v>410.40366168052986</v>
      </c>
    </row>
    <row r="44" spans="1:19" x14ac:dyDescent="0.25">
      <c r="A44" s="76"/>
      <c r="B44" s="146"/>
      <c r="I44" s="147"/>
      <c r="J44" s="156"/>
      <c r="K44" s="157"/>
      <c r="L44" s="157"/>
      <c r="M44" s="157"/>
      <c r="N44" s="157"/>
      <c r="O44" s="157"/>
      <c r="P44" s="156"/>
      <c r="Q44" s="157"/>
      <c r="R44" s="157"/>
      <c r="S44" s="158"/>
    </row>
    <row r="45" spans="1:19" x14ac:dyDescent="0.25">
      <c r="A45" s="86" t="s">
        <v>75</v>
      </c>
      <c r="B45" s="129">
        <v>9.2499999999999999E-2</v>
      </c>
      <c r="C45" s="130">
        <v>9.2499999999999999E-2</v>
      </c>
      <c r="D45" s="130">
        <v>9.2499999999999999E-2</v>
      </c>
      <c r="E45" s="130">
        <v>9.2499999999999999E-2</v>
      </c>
      <c r="F45" s="130">
        <v>9.2499999999999999E-2</v>
      </c>
      <c r="G45" s="130">
        <v>9.2499999999999999E-2</v>
      </c>
      <c r="H45" s="130">
        <v>9.2499999999999999E-2</v>
      </c>
      <c r="I45" s="131">
        <v>9.2499999999999999E-2</v>
      </c>
      <c r="J45" s="76"/>
      <c r="K45"/>
      <c r="L45" s="103" t="s">
        <v>82</v>
      </c>
      <c r="M45"/>
      <c r="N45"/>
      <c r="O45"/>
      <c r="P45" s="129">
        <v>9.2499999999999999E-2</v>
      </c>
      <c r="Q45" s="133">
        <v>9.2499999999999999E-2</v>
      </c>
      <c r="R45" s="130">
        <v>9.2499999999999999E-2</v>
      </c>
      <c r="S45" s="131">
        <v>9.2499999999999999E-2</v>
      </c>
    </row>
    <row r="46" spans="1:19" x14ac:dyDescent="0.25">
      <c r="A46" s="86" t="s">
        <v>36</v>
      </c>
      <c r="B46" s="87">
        <v>7.0000000000000007E-2</v>
      </c>
      <c r="C46" s="88">
        <v>7.0000000000000007E-2</v>
      </c>
      <c r="D46" s="88">
        <v>7.0000000000000007E-2</v>
      </c>
      <c r="E46" s="88">
        <v>7.0000000000000007E-2</v>
      </c>
      <c r="F46" s="88">
        <v>7.0000000000000007E-2</v>
      </c>
      <c r="G46" s="88">
        <v>7.0000000000000007E-2</v>
      </c>
      <c r="H46" s="88">
        <v>7.0000000000000007E-2</v>
      </c>
      <c r="I46" s="89">
        <v>7.0000000000000007E-2</v>
      </c>
      <c r="J46" s="76"/>
      <c r="K46"/>
      <c r="L46" s="94">
        <f>L36*(1+12%)</f>
        <v>286.41582560819768</v>
      </c>
      <c r="M46"/>
      <c r="N46"/>
      <c r="O46"/>
      <c r="P46" s="87">
        <v>7.0000000000000007E-2</v>
      </c>
      <c r="Q46" s="91">
        <v>7.0000000000000007E-2</v>
      </c>
      <c r="R46" s="88">
        <v>7.0000000000000007E-2</v>
      </c>
      <c r="S46" s="89">
        <v>7.0000000000000007E-2</v>
      </c>
    </row>
    <row r="47" spans="1:19" ht="13.5" thickBot="1" x14ac:dyDescent="0.35">
      <c r="A47" s="163" t="s">
        <v>76</v>
      </c>
      <c r="B47" s="164">
        <f>(B36/(1-B45))/(1-B46)</f>
        <v>142.03260661763036</v>
      </c>
      <c r="C47" s="165">
        <f t="shared" ref="C47:I47" si="30">(C36/(1-C45))/(1-C46)</f>
        <v>182.07016646158397</v>
      </c>
      <c r="D47" s="165">
        <f t="shared" si="30"/>
        <v>200.95852340944919</v>
      </c>
      <c r="E47" s="165">
        <f t="shared" si="30"/>
        <v>379.14330122549228</v>
      </c>
      <c r="F47" s="165">
        <f t="shared" ref="F47" si="31">(F36/(1-F45))/(1-F46)</f>
        <v>371.77021452215894</v>
      </c>
      <c r="G47" s="165">
        <f t="shared" si="30"/>
        <v>388.33894868695302</v>
      </c>
      <c r="H47" s="165">
        <f t="shared" si="30"/>
        <v>454.61388534612922</v>
      </c>
      <c r="I47" s="166">
        <f t="shared" si="30"/>
        <v>471.18261951092325</v>
      </c>
      <c r="J47" s="167"/>
      <c r="K47" s="168"/>
      <c r="L47" s="168"/>
      <c r="M47" s="168"/>
      <c r="N47" s="168"/>
      <c r="O47" s="168"/>
      <c r="P47" s="164">
        <f>(P36/(1-P45))/(1-P46)</f>
        <v>142.03260661763036</v>
      </c>
      <c r="Q47" s="195">
        <f t="shared" ref="Q47:S47" si="32">(Q36/(1-Q45))/(1-Q46)</f>
        <v>197.08133580309291</v>
      </c>
      <c r="R47" s="165">
        <f t="shared" si="32"/>
        <v>371.77021452215894</v>
      </c>
      <c r="S47" s="166">
        <f t="shared" si="32"/>
        <v>388.33894868695302</v>
      </c>
    </row>
    <row r="48" spans="1:19" ht="13" thickBot="1" x14ac:dyDescent="0.3"/>
    <row r="49" spans="1:19" ht="13" x14ac:dyDescent="0.3">
      <c r="A49" s="47" t="s">
        <v>40</v>
      </c>
      <c r="B49" s="48" t="s">
        <v>41</v>
      </c>
      <c r="C49" s="49" t="s">
        <v>41</v>
      </c>
      <c r="D49" s="49" t="s">
        <v>41</v>
      </c>
      <c r="E49" s="49" t="s">
        <v>41</v>
      </c>
      <c r="F49" s="49" t="s">
        <v>41</v>
      </c>
      <c r="G49" s="49" t="s">
        <v>41</v>
      </c>
      <c r="H49" s="49" t="s">
        <v>41</v>
      </c>
      <c r="I49" s="50" t="s">
        <v>41</v>
      </c>
      <c r="J49" s="51" t="s">
        <v>42</v>
      </c>
      <c r="K49" s="52" t="s">
        <v>42</v>
      </c>
      <c r="L49" s="52" t="s">
        <v>42</v>
      </c>
      <c r="M49" s="52" t="s">
        <v>42</v>
      </c>
      <c r="N49" s="52" t="s">
        <v>42</v>
      </c>
      <c r="O49" s="172" t="s">
        <v>42</v>
      </c>
      <c r="P49" s="54" t="s">
        <v>43</v>
      </c>
      <c r="Q49" s="55" t="s">
        <v>43</v>
      </c>
      <c r="R49" s="56" t="s">
        <v>43</v>
      </c>
      <c r="S49" s="57" t="s">
        <v>43</v>
      </c>
    </row>
    <row r="50" spans="1:19" ht="13" x14ac:dyDescent="0.3">
      <c r="A50" s="62" t="s">
        <v>45</v>
      </c>
      <c r="B50" s="63">
        <v>13.7</v>
      </c>
      <c r="C50" s="64">
        <v>17.8</v>
      </c>
      <c r="D50" s="64">
        <v>20.079999999999998</v>
      </c>
      <c r="E50" s="64">
        <v>38.89</v>
      </c>
      <c r="F50" s="64">
        <v>38</v>
      </c>
      <c r="G50" s="64">
        <v>40</v>
      </c>
      <c r="H50" s="64">
        <v>48</v>
      </c>
      <c r="I50" s="65">
        <v>50</v>
      </c>
      <c r="J50" s="63">
        <v>13.6</v>
      </c>
      <c r="K50" s="64">
        <v>13.7</v>
      </c>
      <c r="L50" s="64">
        <v>28.7</v>
      </c>
      <c r="M50" s="64">
        <v>38</v>
      </c>
      <c r="N50" s="64">
        <v>40</v>
      </c>
      <c r="O50" s="65">
        <v>48</v>
      </c>
      <c r="P50" s="63">
        <v>13.7</v>
      </c>
      <c r="Q50" s="18">
        <v>17.8</v>
      </c>
      <c r="R50" s="64">
        <v>38</v>
      </c>
      <c r="S50" s="65">
        <v>40</v>
      </c>
    </row>
    <row r="51" spans="1:19" x14ac:dyDescent="0.25">
      <c r="A51" s="70" t="s">
        <v>46</v>
      </c>
      <c r="B51" s="71">
        <f t="shared" ref="B51:S51" si="33">1-B52</f>
        <v>0.6</v>
      </c>
      <c r="C51" s="72">
        <f t="shared" si="33"/>
        <v>0.6</v>
      </c>
      <c r="D51" s="72">
        <f t="shared" si="33"/>
        <v>0.6</v>
      </c>
      <c r="E51" s="72">
        <f t="shared" si="33"/>
        <v>0.6</v>
      </c>
      <c r="F51" s="72">
        <f t="shared" si="33"/>
        <v>0.6</v>
      </c>
      <c r="G51" s="72">
        <f t="shared" si="33"/>
        <v>0.6</v>
      </c>
      <c r="H51" s="72">
        <f t="shared" si="33"/>
        <v>0.6</v>
      </c>
      <c r="I51" s="73">
        <f t="shared" si="33"/>
        <v>0.6</v>
      </c>
      <c r="J51" s="71">
        <f t="shared" si="33"/>
        <v>0.6</v>
      </c>
      <c r="K51" s="72">
        <f t="shared" si="33"/>
        <v>0.6</v>
      </c>
      <c r="L51" s="72">
        <f t="shared" si="33"/>
        <v>0.6</v>
      </c>
      <c r="M51" s="72">
        <f t="shared" si="33"/>
        <v>0.6</v>
      </c>
      <c r="N51" s="72">
        <f t="shared" si="33"/>
        <v>0.6</v>
      </c>
      <c r="O51" s="73">
        <f t="shared" si="33"/>
        <v>0.6</v>
      </c>
      <c r="P51" s="71">
        <f t="shared" si="33"/>
        <v>0.6</v>
      </c>
      <c r="Q51" s="75">
        <f t="shared" si="33"/>
        <v>0.6</v>
      </c>
      <c r="R51" s="72">
        <f t="shared" si="33"/>
        <v>0.6</v>
      </c>
      <c r="S51" s="73">
        <f t="shared" si="33"/>
        <v>0.6</v>
      </c>
    </row>
    <row r="52" spans="1:19" x14ac:dyDescent="0.25">
      <c r="A52" s="80" t="s">
        <v>52</v>
      </c>
      <c r="B52" s="81">
        <v>0.4</v>
      </c>
      <c r="C52" s="82">
        <v>0.4</v>
      </c>
      <c r="D52" s="82">
        <v>0.4</v>
      </c>
      <c r="E52" s="82">
        <v>0.4</v>
      </c>
      <c r="F52" s="82">
        <v>0.4</v>
      </c>
      <c r="G52" s="82">
        <v>0.4</v>
      </c>
      <c r="H52" s="82">
        <v>0.4</v>
      </c>
      <c r="I52" s="83">
        <v>0.4</v>
      </c>
      <c r="J52" s="81">
        <v>0.4</v>
      </c>
      <c r="K52" s="82">
        <v>0.4</v>
      </c>
      <c r="L52" s="82">
        <v>0.4</v>
      </c>
      <c r="M52" s="82">
        <v>0.4</v>
      </c>
      <c r="N52" s="82">
        <v>0.4</v>
      </c>
      <c r="O52" s="83">
        <v>0.4</v>
      </c>
      <c r="P52" s="81">
        <v>0.4</v>
      </c>
      <c r="Q52" s="85">
        <v>0.4</v>
      </c>
      <c r="R52" s="82">
        <v>0.4</v>
      </c>
      <c r="S52" s="83">
        <v>0.4</v>
      </c>
    </row>
    <row r="53" spans="1:19" x14ac:dyDescent="0.25">
      <c r="A53" s="86" t="s">
        <v>32</v>
      </c>
      <c r="B53" s="87">
        <v>0.01</v>
      </c>
      <c r="C53" s="88">
        <v>0.01</v>
      </c>
      <c r="D53" s="88">
        <v>0.01</v>
      </c>
      <c r="E53" s="88">
        <v>0.01</v>
      </c>
      <c r="F53" s="88">
        <v>0.01</v>
      </c>
      <c r="G53" s="88">
        <v>0.01</v>
      </c>
      <c r="H53" s="88">
        <v>0.01</v>
      </c>
      <c r="I53" s="89">
        <v>0.01</v>
      </c>
      <c r="J53" s="87">
        <v>0.01</v>
      </c>
      <c r="K53" s="88">
        <v>0.01</v>
      </c>
      <c r="L53" s="88">
        <v>0.01</v>
      </c>
      <c r="M53" s="88">
        <v>0.01</v>
      </c>
      <c r="N53" s="88">
        <v>0.01</v>
      </c>
      <c r="O53" s="89">
        <v>0.01</v>
      </c>
      <c r="P53" s="87">
        <v>0.01</v>
      </c>
      <c r="Q53" s="91">
        <v>0.01</v>
      </c>
      <c r="R53" s="88">
        <v>0.01</v>
      </c>
      <c r="S53" s="89">
        <v>0.01</v>
      </c>
    </row>
    <row r="54" spans="1:19" x14ac:dyDescent="0.25">
      <c r="A54" s="92" t="s">
        <v>54</v>
      </c>
      <c r="B54" s="93">
        <f t="shared" ref="B54:I54" si="34">(($V$13*B51)+($V$19*B52))*(1+B53)</f>
        <v>6617.5977109672885</v>
      </c>
      <c r="C54" s="94">
        <f t="shared" si="34"/>
        <v>6617.5977109672885</v>
      </c>
      <c r="D54" s="94">
        <f t="shared" si="34"/>
        <v>6617.5977109672885</v>
      </c>
      <c r="E54" s="94">
        <f t="shared" si="34"/>
        <v>6617.5977109672885</v>
      </c>
      <c r="F54" s="94">
        <f t="shared" si="34"/>
        <v>6617.5977109672885</v>
      </c>
      <c r="G54" s="94">
        <f t="shared" si="34"/>
        <v>6617.5977109672885</v>
      </c>
      <c r="H54" s="94">
        <f t="shared" si="34"/>
        <v>6617.5977109672885</v>
      </c>
      <c r="I54" s="95">
        <f t="shared" si="34"/>
        <v>6617.5977109672885</v>
      </c>
      <c r="J54" s="93">
        <f>(($W$13*J51)+($W$19*J52))*(1+J53)</f>
        <v>6825.8482237190146</v>
      </c>
      <c r="K54" s="94">
        <f t="shared" ref="K54:O54" si="35">(($W$13*K51)+($W$19*K52))*(1+K53)</f>
        <v>6825.8482237190146</v>
      </c>
      <c r="L54" s="94">
        <f t="shared" si="35"/>
        <v>6825.8482237190146</v>
      </c>
      <c r="M54" s="94">
        <f t="shared" si="35"/>
        <v>6825.8482237190146</v>
      </c>
      <c r="N54" s="94">
        <f t="shared" si="35"/>
        <v>6825.8482237190146</v>
      </c>
      <c r="O54" s="95">
        <f t="shared" si="35"/>
        <v>6825.8482237190146</v>
      </c>
      <c r="P54" s="93">
        <f>(($X$13*P51)+($X$19*P52))*(1+P53)</f>
        <v>6669.0614839298487</v>
      </c>
      <c r="Q54" s="97">
        <f>(($X$13*Q51)+($X$19*Q52))*(1+Q53)</f>
        <v>6669.0614839298487</v>
      </c>
      <c r="R54" s="94">
        <f>(($X$13*R51)+($X$19*R52))*(1+R53)</f>
        <v>6669.0614839298487</v>
      </c>
      <c r="S54" s="95">
        <f>(($X$13*S51)+($X$19*S52))*(1+S53)</f>
        <v>6669.0614839298487</v>
      </c>
    </row>
    <row r="55" spans="1:19" x14ac:dyDescent="0.25">
      <c r="A55" s="92" t="s">
        <v>59</v>
      </c>
      <c r="B55" s="99">
        <f t="shared" ref="B55:S55" si="36">B56/$X$1</f>
        <v>17.432813260056889</v>
      </c>
      <c r="C55" s="5">
        <f t="shared" si="36"/>
        <v>22.649932556862236</v>
      </c>
      <c r="D55" s="5">
        <f t="shared" si="36"/>
        <v>25.55115987313447</v>
      </c>
      <c r="E55" s="5">
        <f t="shared" si="36"/>
        <v>49.486285232380474</v>
      </c>
      <c r="F55" s="5">
        <f t="shared" si="36"/>
        <v>48.353788604537357</v>
      </c>
      <c r="G55" s="5">
        <f t="shared" si="36"/>
        <v>50.898724846881429</v>
      </c>
      <c r="H55" s="5">
        <f t="shared" si="36"/>
        <v>61.078469816257716</v>
      </c>
      <c r="I55" s="100">
        <f t="shared" si="36"/>
        <v>63.623406058601788</v>
      </c>
      <c r="J55" s="99">
        <f t="shared" si="36"/>
        <v>17.850158797557704</v>
      </c>
      <c r="K55" s="5">
        <f t="shared" si="36"/>
        <v>17.981409965186806</v>
      </c>
      <c r="L55" s="5">
        <f t="shared" si="36"/>
        <v>37.669085109551922</v>
      </c>
      <c r="M55" s="5">
        <f t="shared" si="36"/>
        <v>49.875443699058295</v>
      </c>
      <c r="N55" s="5">
        <f t="shared" si="36"/>
        <v>52.500467051640314</v>
      </c>
      <c r="O55" s="100">
        <f t="shared" si="36"/>
        <v>63.000560461968377</v>
      </c>
      <c r="P55" s="99">
        <f t="shared" si="36"/>
        <v>17.568384865176888</v>
      </c>
      <c r="Q55" s="102">
        <f t="shared" si="36"/>
        <v>22.826076686142237</v>
      </c>
      <c r="R55" s="5">
        <f t="shared" si="36"/>
        <v>48.72982663333736</v>
      </c>
      <c r="S55" s="100">
        <f t="shared" si="36"/>
        <v>51.294554350881434</v>
      </c>
    </row>
    <row r="56" spans="1:19" x14ac:dyDescent="0.25">
      <c r="A56" s="86" t="s">
        <v>63</v>
      </c>
      <c r="B56" s="93">
        <f t="shared" ref="B56:S56" si="37">B54*(B50/1000)</f>
        <v>90.661088640251847</v>
      </c>
      <c r="C56" s="94">
        <f t="shared" si="37"/>
        <v>117.79323925521774</v>
      </c>
      <c r="D56" s="94">
        <f t="shared" si="37"/>
        <v>132.88136203622312</v>
      </c>
      <c r="E56" s="94">
        <f t="shared" si="37"/>
        <v>257.35837497951786</v>
      </c>
      <c r="F56" s="94">
        <f t="shared" ref="F56" si="38">F54*(F50/1000)</f>
        <v>251.46871301675696</v>
      </c>
      <c r="G56" s="94">
        <f t="shared" si="37"/>
        <v>264.70390843869154</v>
      </c>
      <c r="H56" s="94">
        <f t="shared" si="37"/>
        <v>317.64469012642985</v>
      </c>
      <c r="I56" s="95">
        <f t="shared" si="37"/>
        <v>330.87988554836443</v>
      </c>
      <c r="J56" s="93">
        <f t="shared" si="37"/>
        <v>92.831535842578589</v>
      </c>
      <c r="K56" s="94">
        <f t="shared" si="37"/>
        <v>93.514120664950497</v>
      </c>
      <c r="L56" s="94">
        <f t="shared" si="37"/>
        <v>195.90184402073572</v>
      </c>
      <c r="M56" s="94">
        <f t="shared" si="37"/>
        <v>259.38223250132256</v>
      </c>
      <c r="N56" s="94">
        <f t="shared" si="37"/>
        <v>273.0339289487606</v>
      </c>
      <c r="O56" s="95">
        <f t="shared" si="37"/>
        <v>327.64071473851271</v>
      </c>
      <c r="P56" s="93">
        <f t="shared" si="37"/>
        <v>91.366142329838922</v>
      </c>
      <c r="Q56" s="97">
        <f t="shared" si="37"/>
        <v>118.70929441395131</v>
      </c>
      <c r="R56" s="94">
        <f t="shared" si="37"/>
        <v>253.42433638933426</v>
      </c>
      <c r="S56" s="95">
        <f t="shared" si="37"/>
        <v>266.76245935719396</v>
      </c>
    </row>
    <row r="57" spans="1:19" x14ac:dyDescent="0.25">
      <c r="A57" s="86" t="s">
        <v>66</v>
      </c>
      <c r="B57" s="93">
        <v>24.0242662</v>
      </c>
      <c r="C57" s="94">
        <v>29.1358122</v>
      </c>
      <c r="D57" s="94">
        <v>29.1358122</v>
      </c>
      <c r="E57" s="94">
        <v>47.956524571999999</v>
      </c>
      <c r="F57" s="94">
        <v>47.956524571999999</v>
      </c>
      <c r="G57" s="94">
        <v>47.956524571999999</v>
      </c>
      <c r="H57" s="94">
        <v>47.956524571999999</v>
      </c>
      <c r="I57" s="95">
        <v>47.956524571999999</v>
      </c>
      <c r="J57" s="93">
        <v>24.0242662</v>
      </c>
      <c r="K57" s="94">
        <v>24.0242662</v>
      </c>
      <c r="L57" s="94">
        <v>36.291976599999998</v>
      </c>
      <c r="M57" s="94">
        <v>47.956524571999999</v>
      </c>
      <c r="N57" s="94">
        <v>47.956524571999999</v>
      </c>
      <c r="O57" s="96">
        <v>47.956524571999999</v>
      </c>
      <c r="P57" s="93">
        <v>24.0242662</v>
      </c>
      <c r="Q57" s="97">
        <v>29.1358122</v>
      </c>
      <c r="R57" s="94">
        <v>47.956524571999999</v>
      </c>
      <c r="S57" s="95">
        <v>47.956524571999999</v>
      </c>
    </row>
    <row r="58" spans="1:19" x14ac:dyDescent="0.25">
      <c r="A58" s="86" t="s">
        <v>69</v>
      </c>
      <c r="B58" s="106"/>
      <c r="C58" s="103"/>
      <c r="D58" s="103"/>
      <c r="E58" s="103"/>
      <c r="F58" s="103"/>
      <c r="G58" s="103"/>
      <c r="H58" s="103"/>
      <c r="I58" s="107"/>
      <c r="J58" s="106"/>
      <c r="K58" s="103"/>
      <c r="L58" s="103"/>
      <c r="M58" s="103"/>
      <c r="N58" s="103"/>
      <c r="O58" s="107"/>
      <c r="P58" s="99"/>
      <c r="Q58" s="102">
        <v>2.4300000000000002</v>
      </c>
      <c r="R58" s="5"/>
      <c r="S58" s="100"/>
    </row>
    <row r="59" spans="1:19" x14ac:dyDescent="0.25">
      <c r="A59" s="86" t="s">
        <v>71</v>
      </c>
      <c r="B59" s="109">
        <f t="shared" ref="B59:S59" si="39">$V$26</f>
        <v>2.5000000000000022E-3</v>
      </c>
      <c r="C59" s="110">
        <f t="shared" si="39"/>
        <v>2.5000000000000022E-3</v>
      </c>
      <c r="D59" s="110">
        <f t="shared" si="39"/>
        <v>2.5000000000000022E-3</v>
      </c>
      <c r="E59" s="110">
        <f t="shared" si="39"/>
        <v>2.5000000000000022E-3</v>
      </c>
      <c r="F59" s="110">
        <f t="shared" si="39"/>
        <v>2.5000000000000022E-3</v>
      </c>
      <c r="G59" s="110">
        <f t="shared" si="39"/>
        <v>2.5000000000000022E-3</v>
      </c>
      <c r="H59" s="110">
        <f t="shared" si="39"/>
        <v>2.5000000000000022E-3</v>
      </c>
      <c r="I59" s="111">
        <f t="shared" si="39"/>
        <v>2.5000000000000022E-3</v>
      </c>
      <c r="J59" s="109">
        <f t="shared" si="39"/>
        <v>2.5000000000000022E-3</v>
      </c>
      <c r="K59" s="110">
        <f t="shared" si="39"/>
        <v>2.5000000000000022E-3</v>
      </c>
      <c r="L59" s="110">
        <f t="shared" si="39"/>
        <v>2.5000000000000022E-3</v>
      </c>
      <c r="M59" s="110">
        <f t="shared" si="39"/>
        <v>2.5000000000000022E-3</v>
      </c>
      <c r="N59" s="110">
        <f t="shared" si="39"/>
        <v>2.5000000000000022E-3</v>
      </c>
      <c r="O59" s="111">
        <f t="shared" si="39"/>
        <v>2.5000000000000022E-3</v>
      </c>
      <c r="P59" s="109">
        <f t="shared" si="39"/>
        <v>2.5000000000000022E-3</v>
      </c>
      <c r="Q59" s="113">
        <f t="shared" si="39"/>
        <v>2.5000000000000022E-3</v>
      </c>
      <c r="R59" s="110">
        <f t="shared" si="39"/>
        <v>2.5000000000000022E-3</v>
      </c>
      <c r="S59" s="111">
        <f t="shared" si="39"/>
        <v>2.5000000000000022E-3</v>
      </c>
    </row>
    <row r="60" spans="1:19" ht="13" x14ac:dyDescent="0.3">
      <c r="A60" s="62" t="s">
        <v>73</v>
      </c>
      <c r="B60" s="116">
        <f t="shared" ref="B60:S60" si="40">(B56+B57+(B58*$X$1))*(1+B59)</f>
        <v>114.97206822735247</v>
      </c>
      <c r="C60" s="117">
        <f t="shared" si="40"/>
        <v>147.2963740838558</v>
      </c>
      <c r="D60" s="117">
        <f t="shared" si="40"/>
        <v>162.42221717181368</v>
      </c>
      <c r="E60" s="117">
        <f t="shared" si="40"/>
        <v>306.07818680039662</v>
      </c>
      <c r="F60" s="117">
        <f t="shared" si="40"/>
        <v>300.17380068272882</v>
      </c>
      <c r="G60" s="117">
        <f t="shared" si="40"/>
        <v>313.44208409321823</v>
      </c>
      <c r="H60" s="117">
        <f t="shared" si="40"/>
        <v>366.5152177351759</v>
      </c>
      <c r="I60" s="118">
        <f t="shared" si="40"/>
        <v>379.7835011456653</v>
      </c>
      <c r="J60" s="119">
        <f t="shared" si="40"/>
        <v>117.14794154768502</v>
      </c>
      <c r="K60" s="120">
        <f t="shared" si="40"/>
        <v>117.83223283211287</v>
      </c>
      <c r="L60" s="120">
        <f t="shared" si="40"/>
        <v>232.77430517228754</v>
      </c>
      <c r="M60" s="120">
        <f t="shared" si="40"/>
        <v>308.10710396600581</v>
      </c>
      <c r="N60" s="120">
        <f t="shared" si="40"/>
        <v>321.79292965456244</v>
      </c>
      <c r="O60" s="175">
        <f t="shared" si="40"/>
        <v>376.53623240878898</v>
      </c>
      <c r="P60" s="122">
        <f t="shared" si="40"/>
        <v>115.67888455116352</v>
      </c>
      <c r="Q60" s="123">
        <f t="shared" si="40"/>
        <v>160.8837710254862</v>
      </c>
      <c r="R60" s="124">
        <f t="shared" si="40"/>
        <v>302.13431311373756</v>
      </c>
      <c r="S60" s="125">
        <f t="shared" si="40"/>
        <v>315.50578138901693</v>
      </c>
    </row>
    <row r="61" spans="1:19" x14ac:dyDescent="0.25">
      <c r="A61" s="86" t="s">
        <v>75</v>
      </c>
      <c r="B61" s="129">
        <v>9.2499999999999999E-2</v>
      </c>
      <c r="C61" s="130">
        <v>9.2499999999999999E-2</v>
      </c>
      <c r="D61" s="130">
        <v>9.2499999999999999E-2</v>
      </c>
      <c r="E61" s="130">
        <v>9.2499999999999999E-2</v>
      </c>
      <c r="F61" s="130">
        <v>9.2499999999999999E-2</v>
      </c>
      <c r="G61" s="130">
        <v>9.2499999999999999E-2</v>
      </c>
      <c r="H61" s="130">
        <v>9.2499999999999999E-2</v>
      </c>
      <c r="I61" s="131">
        <v>9.2499999999999999E-2</v>
      </c>
      <c r="J61" s="129">
        <v>9.2499999999999999E-2</v>
      </c>
      <c r="K61" s="130">
        <v>9.2499999999999999E-2</v>
      </c>
      <c r="L61" s="130">
        <v>9.2499999999999999E-2</v>
      </c>
      <c r="M61" s="130">
        <v>9.2499999999999999E-2</v>
      </c>
      <c r="N61" s="130">
        <v>9.2499999999999999E-2</v>
      </c>
      <c r="O61" s="131">
        <v>9.2499999999999999E-2</v>
      </c>
      <c r="P61" s="129">
        <v>9.2499999999999999E-2</v>
      </c>
      <c r="Q61" s="133">
        <v>9.2499999999999999E-2</v>
      </c>
      <c r="R61" s="130">
        <v>9.2499999999999999E-2</v>
      </c>
      <c r="S61" s="131">
        <v>9.2499999999999999E-2</v>
      </c>
    </row>
    <row r="62" spans="1:19" x14ac:dyDescent="0.25">
      <c r="A62" s="86" t="s">
        <v>36</v>
      </c>
      <c r="B62" s="87">
        <v>0.22</v>
      </c>
      <c r="C62" s="88">
        <v>0.22</v>
      </c>
      <c r="D62" s="88">
        <v>0.22</v>
      </c>
      <c r="E62" s="88">
        <v>0.22</v>
      </c>
      <c r="F62" s="88">
        <v>0.22</v>
      </c>
      <c r="G62" s="88">
        <v>0.22</v>
      </c>
      <c r="H62" s="88">
        <v>0.22</v>
      </c>
      <c r="I62" s="89">
        <v>0.22</v>
      </c>
      <c r="J62" s="135">
        <v>0.20499999999999999</v>
      </c>
      <c r="K62" s="136">
        <v>0.20499999999999999</v>
      </c>
      <c r="L62" s="136">
        <v>0.20499999999999999</v>
      </c>
      <c r="M62" s="136">
        <v>0.20499999999999999</v>
      </c>
      <c r="N62" s="136">
        <v>0.20499999999999999</v>
      </c>
      <c r="O62" s="176">
        <v>0.20499999999999999</v>
      </c>
      <c r="P62" s="87">
        <v>0.18</v>
      </c>
      <c r="Q62" s="91">
        <v>0.18</v>
      </c>
      <c r="R62" s="88">
        <v>0.18</v>
      </c>
      <c r="S62" s="89">
        <v>0.18</v>
      </c>
    </row>
    <row r="63" spans="1:19" ht="13" x14ac:dyDescent="0.3">
      <c r="A63" s="62" t="s">
        <v>76</v>
      </c>
      <c r="B63" s="139">
        <f>(B60/(1-B61))/(1-B62)</f>
        <v>162.42433881098037</v>
      </c>
      <c r="C63" s="140">
        <f t="shared" ref="C63:S63" si="41">(C60/(1-C61))/(1-C62)</f>
        <v>208.08981293191468</v>
      </c>
      <c r="D63" s="140">
        <f t="shared" si="41"/>
        <v>229.45852535397853</v>
      </c>
      <c r="E63" s="140">
        <f t="shared" si="41"/>
        <v>432.40543448526751</v>
      </c>
      <c r="F63" s="140">
        <f t="shared" ref="F63" si="42">(F60/(1-F61))/(1-F62)</f>
        <v>424.0641388468303</v>
      </c>
      <c r="G63" s="140">
        <f t="shared" si="41"/>
        <v>442.80862342758809</v>
      </c>
      <c r="H63" s="140">
        <f t="shared" si="41"/>
        <v>517.7865617506194</v>
      </c>
      <c r="I63" s="141">
        <f t="shared" si="41"/>
        <v>536.53104633137707</v>
      </c>
      <c r="J63" s="139">
        <f t="shared" si="41"/>
        <v>162.37564883508847</v>
      </c>
      <c r="K63" s="140">
        <f t="shared" si="41"/>
        <v>163.32412680092571</v>
      </c>
      <c r="L63" s="140">
        <f t="shared" si="41"/>
        <v>322.64227894351757</v>
      </c>
      <c r="M63" s="140">
        <f t="shared" si="41"/>
        <v>427.05906955109356</v>
      </c>
      <c r="N63" s="140">
        <f t="shared" si="41"/>
        <v>446.02862886783777</v>
      </c>
      <c r="O63" s="141">
        <f t="shared" si="41"/>
        <v>521.906866134815</v>
      </c>
      <c r="P63" s="139">
        <f t="shared" si="41"/>
        <v>155.45103077492914</v>
      </c>
      <c r="Q63" s="143">
        <f t="shared" si="41"/>
        <v>216.19803940803089</v>
      </c>
      <c r="R63" s="140">
        <f t="shared" si="41"/>
        <v>406.01264948429429</v>
      </c>
      <c r="S63" s="141">
        <f t="shared" si="41"/>
        <v>423.98143034202371</v>
      </c>
    </row>
    <row r="64" spans="1:19" x14ac:dyDescent="0.25">
      <c r="A64" s="76"/>
      <c r="B64" s="146"/>
      <c r="I64" s="147"/>
      <c r="J64" s="146"/>
      <c r="O64" s="147"/>
      <c r="P64" s="106"/>
      <c r="Q64" s="148"/>
      <c r="R64" s="103"/>
      <c r="S64" s="107"/>
    </row>
    <row r="65" spans="1:19" x14ac:dyDescent="0.25">
      <c r="A65" s="86" t="s">
        <v>75</v>
      </c>
      <c r="B65" s="129">
        <v>9.2499999999999999E-2</v>
      </c>
      <c r="C65" s="130">
        <v>9.2499999999999999E-2</v>
      </c>
      <c r="D65" s="130">
        <v>9.2499999999999999E-2</v>
      </c>
      <c r="E65" s="130">
        <v>9.2499999999999999E-2</v>
      </c>
      <c r="F65" s="130">
        <v>9.2499999999999999E-2</v>
      </c>
      <c r="G65" s="130">
        <v>9.2499999999999999E-2</v>
      </c>
      <c r="H65" s="130">
        <v>9.2499999999999999E-2</v>
      </c>
      <c r="I65" s="131">
        <v>9.2499999999999999E-2</v>
      </c>
      <c r="J65" s="129">
        <v>9.2499999999999999E-2</v>
      </c>
      <c r="K65" s="130">
        <v>9.2499999999999999E-2</v>
      </c>
      <c r="L65" s="130">
        <v>9.2499999999999999E-2</v>
      </c>
      <c r="M65" s="130">
        <v>9.2499999999999999E-2</v>
      </c>
      <c r="N65" s="130">
        <v>9.2499999999999999E-2</v>
      </c>
      <c r="O65" s="131">
        <v>9.2499999999999999E-2</v>
      </c>
      <c r="P65" s="129">
        <v>9.2499999999999999E-2</v>
      </c>
      <c r="Q65" s="133">
        <v>9.2499999999999999E-2</v>
      </c>
      <c r="R65" s="130">
        <v>9.2499999999999999E-2</v>
      </c>
      <c r="S65" s="131">
        <v>9.2499999999999999E-2</v>
      </c>
    </row>
    <row r="66" spans="1:19" x14ac:dyDescent="0.25">
      <c r="A66" s="86" t="s">
        <v>36</v>
      </c>
      <c r="B66" s="87">
        <v>0.12</v>
      </c>
      <c r="C66" s="88">
        <v>0.12</v>
      </c>
      <c r="D66" s="88">
        <v>0.12</v>
      </c>
      <c r="E66" s="88">
        <v>0.12</v>
      </c>
      <c r="F66" s="88">
        <v>0.12</v>
      </c>
      <c r="G66" s="88">
        <v>0.12</v>
      </c>
      <c r="H66" s="88">
        <v>0.12</v>
      </c>
      <c r="I66" s="89">
        <v>0.12</v>
      </c>
      <c r="J66" s="87">
        <v>0.12</v>
      </c>
      <c r="K66" s="88">
        <v>0.12</v>
      </c>
      <c r="L66" s="88">
        <v>0.12</v>
      </c>
      <c r="M66" s="88">
        <v>0.12</v>
      </c>
      <c r="N66" s="88">
        <v>0.12</v>
      </c>
      <c r="O66" s="89">
        <v>0.12</v>
      </c>
      <c r="P66" s="87">
        <v>0.12</v>
      </c>
      <c r="Q66" s="91">
        <v>0.12</v>
      </c>
      <c r="R66" s="88">
        <v>0.12</v>
      </c>
      <c r="S66" s="89">
        <v>0.12</v>
      </c>
    </row>
    <row r="67" spans="1:19" ht="13" x14ac:dyDescent="0.3">
      <c r="A67" s="62" t="s">
        <v>76</v>
      </c>
      <c r="B67" s="139">
        <f>(B60/(1-B65))/(1-B66)</f>
        <v>143.96702758245988</v>
      </c>
      <c r="C67" s="140">
        <f t="shared" ref="C67:S67" si="43">(C60/(1-C65))/(1-C66)</f>
        <v>184.44324328056072</v>
      </c>
      <c r="D67" s="140">
        <f t="shared" si="43"/>
        <v>203.38369292739006</v>
      </c>
      <c r="E67" s="140">
        <f t="shared" si="43"/>
        <v>383.26845329375982</v>
      </c>
      <c r="F67" s="140">
        <f t="shared" ref="F67" si="44">(F60/(1-F65))/(1-F66)</f>
        <v>375.87503215969053</v>
      </c>
      <c r="G67" s="140">
        <f t="shared" si="43"/>
        <v>392.48946167445308</v>
      </c>
      <c r="H67" s="140">
        <f t="shared" si="43"/>
        <v>458.94717973350356</v>
      </c>
      <c r="I67" s="141">
        <f t="shared" si="43"/>
        <v>475.56160924826605</v>
      </c>
      <c r="J67" s="139">
        <f t="shared" si="43"/>
        <v>146.69163729988105</v>
      </c>
      <c r="K67" s="140">
        <f t="shared" si="43"/>
        <v>147.54850091674541</v>
      </c>
      <c r="L67" s="140">
        <f t="shared" si="43"/>
        <v>291.47796790920057</v>
      </c>
      <c r="M67" s="140">
        <f t="shared" si="43"/>
        <v>385.80904578763568</v>
      </c>
      <c r="N67" s="140">
        <f t="shared" si="43"/>
        <v>402.94631812492167</v>
      </c>
      <c r="O67" s="141">
        <f t="shared" si="43"/>
        <v>471.49540747406587</v>
      </c>
      <c r="P67" s="139">
        <f t="shared" si="43"/>
        <v>144.85209685845669</v>
      </c>
      <c r="Q67" s="143">
        <f t="shared" si="43"/>
        <v>201.45726399384696</v>
      </c>
      <c r="R67" s="140">
        <f t="shared" si="43"/>
        <v>378.32996883763786</v>
      </c>
      <c r="S67" s="141">
        <f t="shared" si="43"/>
        <v>395.07360554597665</v>
      </c>
    </row>
    <row r="68" spans="1:19" x14ac:dyDescent="0.25">
      <c r="A68" s="76"/>
      <c r="B68" s="146"/>
      <c r="I68" s="147"/>
      <c r="J68" s="156"/>
      <c r="K68" s="157"/>
      <c r="L68" s="157"/>
      <c r="M68" s="157"/>
      <c r="N68" s="157"/>
      <c r="O68" s="157"/>
      <c r="P68" s="156"/>
      <c r="Q68" s="157"/>
      <c r="R68" s="157"/>
      <c r="S68" s="158"/>
    </row>
    <row r="69" spans="1:19" x14ac:dyDescent="0.25">
      <c r="A69" s="86" t="s">
        <v>75</v>
      </c>
      <c r="B69" s="129">
        <v>9.2499999999999999E-2</v>
      </c>
      <c r="C69" s="130">
        <v>9.2499999999999999E-2</v>
      </c>
      <c r="D69" s="130">
        <v>9.2499999999999999E-2</v>
      </c>
      <c r="E69" s="130">
        <v>9.2499999999999999E-2</v>
      </c>
      <c r="F69" s="130">
        <v>9.2499999999999999E-2</v>
      </c>
      <c r="G69" s="130">
        <v>9.2499999999999999E-2</v>
      </c>
      <c r="H69" s="130">
        <v>9.2499999999999999E-2</v>
      </c>
      <c r="I69" s="131">
        <v>9.2499999999999999E-2</v>
      </c>
      <c r="J69" s="76"/>
      <c r="K69"/>
      <c r="L69" s="103" t="s">
        <v>82</v>
      </c>
      <c r="M69"/>
      <c r="N69"/>
      <c r="O69"/>
      <c r="P69" s="129">
        <v>9.2499999999999999E-2</v>
      </c>
      <c r="Q69" s="133">
        <v>9.2499999999999999E-2</v>
      </c>
      <c r="R69" s="130">
        <v>9.2499999999999999E-2</v>
      </c>
      <c r="S69" s="131">
        <v>9.2499999999999999E-2</v>
      </c>
    </row>
    <row r="70" spans="1:19" x14ac:dyDescent="0.25">
      <c r="A70" s="86" t="s">
        <v>36</v>
      </c>
      <c r="B70" s="87">
        <v>7.0000000000000007E-2</v>
      </c>
      <c r="C70" s="88">
        <v>7.0000000000000007E-2</v>
      </c>
      <c r="D70" s="88">
        <v>7.0000000000000007E-2</v>
      </c>
      <c r="E70" s="88">
        <v>7.0000000000000007E-2</v>
      </c>
      <c r="F70" s="88">
        <v>7.0000000000000007E-2</v>
      </c>
      <c r="G70" s="88">
        <v>7.0000000000000007E-2</v>
      </c>
      <c r="H70" s="88">
        <v>7.0000000000000007E-2</v>
      </c>
      <c r="I70" s="89">
        <v>7.0000000000000007E-2</v>
      </c>
      <c r="J70" s="76"/>
      <c r="K70"/>
      <c r="L70" s="94">
        <f>L60*(1+12%)</f>
        <v>260.70722179296206</v>
      </c>
      <c r="M70"/>
      <c r="N70"/>
      <c r="O70"/>
      <c r="P70" s="87">
        <v>7.0000000000000007E-2</v>
      </c>
      <c r="Q70" s="91">
        <v>7.0000000000000007E-2</v>
      </c>
      <c r="R70" s="88">
        <v>7.0000000000000007E-2</v>
      </c>
      <c r="S70" s="89">
        <v>7.0000000000000007E-2</v>
      </c>
    </row>
    <row r="71" spans="1:19" ht="13.5" thickBot="1" x14ac:dyDescent="0.35">
      <c r="A71" s="163" t="s">
        <v>76</v>
      </c>
      <c r="B71" s="164">
        <f>(B60/(1-B69))/(1-B70)</f>
        <v>136.22686480920936</v>
      </c>
      <c r="C71" s="165">
        <f t="shared" ref="C71:I71" si="45">(C60/(1-C69))/(1-C70)</f>
        <v>174.52693987838006</v>
      </c>
      <c r="D71" s="165">
        <f t="shared" si="45"/>
        <v>192.44908578075621</v>
      </c>
      <c r="E71" s="165">
        <f t="shared" si="45"/>
        <v>362.66262247151474</v>
      </c>
      <c r="F71" s="165">
        <f t="shared" ref="F71" si="46">(F60/(1-F69))/(1-F70)</f>
        <v>355.66669709734157</v>
      </c>
      <c r="G71" s="165">
        <f t="shared" si="45"/>
        <v>371.38787771346102</v>
      </c>
      <c r="H71" s="165">
        <f t="shared" si="45"/>
        <v>434.27260017793884</v>
      </c>
      <c r="I71" s="166">
        <f t="shared" si="45"/>
        <v>449.99378079405824</v>
      </c>
      <c r="J71" s="167"/>
      <c r="K71" s="168"/>
      <c r="L71" s="168"/>
      <c r="M71" s="168"/>
      <c r="N71" s="168"/>
      <c r="O71" s="168"/>
      <c r="P71" s="164">
        <f>(P60/(1-P69))/(1-P70)</f>
        <v>137.06434971552892</v>
      </c>
      <c r="Q71" s="195">
        <f t="shared" ref="Q71:S71" si="47">(Q60/(1-Q69))/(1-Q70)</f>
        <v>190.62622829525307</v>
      </c>
      <c r="R71" s="165">
        <f t="shared" si="47"/>
        <v>357.98964793238855</v>
      </c>
      <c r="S71" s="166">
        <f t="shared" si="47"/>
        <v>373.83308911877361</v>
      </c>
    </row>
    <row r="72" spans="1:19" ht="13" thickBot="1" x14ac:dyDescent="0.3"/>
    <row r="73" spans="1:19" ht="13" x14ac:dyDescent="0.3">
      <c r="A73" s="47" t="s">
        <v>40</v>
      </c>
      <c r="B73" s="48" t="s">
        <v>41</v>
      </c>
      <c r="C73" s="49" t="s">
        <v>41</v>
      </c>
      <c r="D73" s="49" t="s">
        <v>41</v>
      </c>
      <c r="E73" s="49" t="s">
        <v>41</v>
      </c>
      <c r="F73" s="49" t="s">
        <v>41</v>
      </c>
      <c r="G73" s="49" t="s">
        <v>41</v>
      </c>
      <c r="H73" s="49" t="s">
        <v>41</v>
      </c>
      <c r="I73" s="50" t="s">
        <v>41</v>
      </c>
      <c r="J73" s="51" t="s">
        <v>42</v>
      </c>
      <c r="K73" s="52" t="s">
        <v>42</v>
      </c>
      <c r="L73" s="52" t="s">
        <v>42</v>
      </c>
      <c r="M73" s="52" t="s">
        <v>42</v>
      </c>
      <c r="N73" s="52" t="s">
        <v>42</v>
      </c>
      <c r="O73" s="172" t="s">
        <v>42</v>
      </c>
      <c r="P73" s="54" t="s">
        <v>43</v>
      </c>
      <c r="Q73" s="55" t="s">
        <v>43</v>
      </c>
      <c r="R73" s="56" t="s">
        <v>43</v>
      </c>
      <c r="S73" s="57" t="s">
        <v>43</v>
      </c>
    </row>
    <row r="74" spans="1:19" ht="13" x14ac:dyDescent="0.3">
      <c r="A74" s="62" t="s">
        <v>45</v>
      </c>
      <c r="B74" s="63">
        <v>13.7</v>
      </c>
      <c r="C74" s="64">
        <v>17.8</v>
      </c>
      <c r="D74" s="64">
        <v>20.079999999999998</v>
      </c>
      <c r="E74" s="64">
        <v>38.89</v>
      </c>
      <c r="F74" s="64">
        <v>38</v>
      </c>
      <c r="G74" s="64">
        <v>40</v>
      </c>
      <c r="H74" s="64">
        <v>48</v>
      </c>
      <c r="I74" s="65">
        <v>50</v>
      </c>
      <c r="J74" s="63">
        <v>13.6</v>
      </c>
      <c r="K74" s="64">
        <v>13.7</v>
      </c>
      <c r="L74" s="64">
        <v>28.7</v>
      </c>
      <c r="M74" s="64">
        <v>38</v>
      </c>
      <c r="N74" s="64">
        <v>40</v>
      </c>
      <c r="O74" s="65">
        <v>48</v>
      </c>
      <c r="P74" s="63">
        <v>13.7</v>
      </c>
      <c r="Q74" s="18">
        <v>17.8</v>
      </c>
      <c r="R74" s="64">
        <v>38</v>
      </c>
      <c r="S74" s="65">
        <v>40</v>
      </c>
    </row>
    <row r="75" spans="1:19" x14ac:dyDescent="0.25">
      <c r="A75" s="70" t="s">
        <v>46</v>
      </c>
      <c r="B75" s="71">
        <f t="shared" ref="B75:S75" si="48">1-B76</f>
        <v>0.4</v>
      </c>
      <c r="C75" s="72">
        <f t="shared" si="48"/>
        <v>0.4</v>
      </c>
      <c r="D75" s="72">
        <f t="shared" si="48"/>
        <v>0.4</v>
      </c>
      <c r="E75" s="72">
        <f t="shared" si="48"/>
        <v>0.4</v>
      </c>
      <c r="F75" s="72">
        <f t="shared" si="48"/>
        <v>0.4</v>
      </c>
      <c r="G75" s="72">
        <f t="shared" si="48"/>
        <v>0.4</v>
      </c>
      <c r="H75" s="72">
        <f t="shared" si="48"/>
        <v>0.4</v>
      </c>
      <c r="I75" s="73">
        <f t="shared" si="48"/>
        <v>0.4</v>
      </c>
      <c r="J75" s="71">
        <f t="shared" si="48"/>
        <v>0.4</v>
      </c>
      <c r="K75" s="72">
        <f t="shared" si="48"/>
        <v>0.4</v>
      </c>
      <c r="L75" s="72">
        <f t="shared" si="48"/>
        <v>0.4</v>
      </c>
      <c r="M75" s="72">
        <f t="shared" si="48"/>
        <v>0.4</v>
      </c>
      <c r="N75" s="72">
        <f t="shared" si="48"/>
        <v>0.4</v>
      </c>
      <c r="O75" s="73">
        <f t="shared" si="48"/>
        <v>0.4</v>
      </c>
      <c r="P75" s="71">
        <f t="shared" si="48"/>
        <v>0.4</v>
      </c>
      <c r="Q75" s="75">
        <f t="shared" si="48"/>
        <v>0.4</v>
      </c>
      <c r="R75" s="72">
        <f t="shared" si="48"/>
        <v>0.4</v>
      </c>
      <c r="S75" s="73">
        <f t="shared" si="48"/>
        <v>0.4</v>
      </c>
    </row>
    <row r="76" spans="1:19" x14ac:dyDescent="0.25">
      <c r="A76" s="80" t="s">
        <v>52</v>
      </c>
      <c r="B76" s="81">
        <v>0.6</v>
      </c>
      <c r="C76" s="82">
        <v>0.6</v>
      </c>
      <c r="D76" s="82">
        <v>0.6</v>
      </c>
      <c r="E76" s="82">
        <v>0.6</v>
      </c>
      <c r="F76" s="82">
        <v>0.6</v>
      </c>
      <c r="G76" s="82">
        <v>0.6</v>
      </c>
      <c r="H76" s="82">
        <v>0.6</v>
      </c>
      <c r="I76" s="83">
        <v>0.6</v>
      </c>
      <c r="J76" s="81">
        <v>0.6</v>
      </c>
      <c r="K76" s="82">
        <v>0.6</v>
      </c>
      <c r="L76" s="82">
        <v>0.6</v>
      </c>
      <c r="M76" s="82">
        <v>0.6</v>
      </c>
      <c r="N76" s="82">
        <v>0.6</v>
      </c>
      <c r="O76" s="83">
        <v>0.6</v>
      </c>
      <c r="P76" s="81">
        <v>0.6</v>
      </c>
      <c r="Q76" s="85">
        <v>0.6</v>
      </c>
      <c r="R76" s="82">
        <v>0.6</v>
      </c>
      <c r="S76" s="83">
        <v>0.6</v>
      </c>
    </row>
    <row r="77" spans="1:19" x14ac:dyDescent="0.25">
      <c r="A77" s="86" t="s">
        <v>32</v>
      </c>
      <c r="B77" s="87">
        <v>0.01</v>
      </c>
      <c r="C77" s="88">
        <v>0.01</v>
      </c>
      <c r="D77" s="88">
        <v>0.01</v>
      </c>
      <c r="E77" s="88">
        <v>0.01</v>
      </c>
      <c r="F77" s="88">
        <v>0.01</v>
      </c>
      <c r="G77" s="88">
        <v>0.01</v>
      </c>
      <c r="H77" s="88">
        <v>0.01</v>
      </c>
      <c r="I77" s="89">
        <v>0.01</v>
      </c>
      <c r="J77" s="87">
        <v>0.01</v>
      </c>
      <c r="K77" s="88">
        <v>0.01</v>
      </c>
      <c r="L77" s="88">
        <v>0.01</v>
      </c>
      <c r="M77" s="88">
        <v>0.01</v>
      </c>
      <c r="N77" s="88">
        <v>0.01</v>
      </c>
      <c r="O77" s="89">
        <v>0.01</v>
      </c>
      <c r="P77" s="87">
        <v>0.01</v>
      </c>
      <c r="Q77" s="91">
        <v>0.01</v>
      </c>
      <c r="R77" s="88">
        <v>0.01</v>
      </c>
      <c r="S77" s="89">
        <v>0.01</v>
      </c>
    </row>
    <row r="78" spans="1:19" x14ac:dyDescent="0.25">
      <c r="A78" s="92" t="s">
        <v>54</v>
      </c>
      <c r="B78" s="93">
        <f t="shared" ref="B78:I78" si="49">(($V$13*B75)+($V$19*B76))*(1+B77)</f>
        <v>6736.5194077657325</v>
      </c>
      <c r="C78" s="94">
        <f t="shared" si="49"/>
        <v>6736.5194077657325</v>
      </c>
      <c r="D78" s="94">
        <f t="shared" si="49"/>
        <v>6736.5194077657325</v>
      </c>
      <c r="E78" s="94">
        <f t="shared" si="49"/>
        <v>6736.5194077657325</v>
      </c>
      <c r="F78" s="94">
        <f t="shared" si="49"/>
        <v>6736.5194077657325</v>
      </c>
      <c r="G78" s="94">
        <f t="shared" si="49"/>
        <v>6736.5194077657325</v>
      </c>
      <c r="H78" s="94">
        <f t="shared" si="49"/>
        <v>6736.5194077657325</v>
      </c>
      <c r="I78" s="95">
        <f t="shared" si="49"/>
        <v>6736.5194077657325</v>
      </c>
      <c r="J78" s="93">
        <f>(($W$13*J75)+($W$19*J76))*(1+J77)</f>
        <v>7091.781654362122</v>
      </c>
      <c r="K78" s="94">
        <f t="shared" ref="K78:O78" si="50">(($W$13*K75)+($W$19*K76))*(1+K77)</f>
        <v>7091.781654362122</v>
      </c>
      <c r="L78" s="94">
        <f t="shared" si="50"/>
        <v>7091.781654362122</v>
      </c>
      <c r="M78" s="94">
        <f t="shared" si="50"/>
        <v>7091.781654362122</v>
      </c>
      <c r="N78" s="94">
        <f t="shared" si="50"/>
        <v>7091.781654362122</v>
      </c>
      <c r="O78" s="95">
        <f t="shared" si="50"/>
        <v>7091.781654362122</v>
      </c>
      <c r="P78" s="93">
        <f>(($X$13*P75)+($X$19*P76))*(1+P77)</f>
        <v>6770.8285897407732</v>
      </c>
      <c r="Q78" s="97">
        <f>(($X$13*Q75)+($X$19*Q76))*(1+Q77)</f>
        <v>6770.8285897407732</v>
      </c>
      <c r="R78" s="94">
        <f>(($X$13*R75)+($X$19*R76))*(1+R77)</f>
        <v>6770.8285897407732</v>
      </c>
      <c r="S78" s="95">
        <f>(($X$13*S75)+($X$19*S76))*(1+S77)</f>
        <v>6770.8285897407732</v>
      </c>
    </row>
    <row r="79" spans="1:19" x14ac:dyDescent="0.25">
      <c r="A79" s="92" t="s">
        <v>59</v>
      </c>
      <c r="B79" s="99">
        <f t="shared" ref="B79:S79" si="51">B80/$X$1</f>
        <v>17.746090044685332</v>
      </c>
      <c r="C79" s="5">
        <f t="shared" si="51"/>
        <v>23.056963707693349</v>
      </c>
      <c r="D79" s="5">
        <f t="shared" si="51"/>
        <v>26.010327598341711</v>
      </c>
      <c r="E79" s="5">
        <f t="shared" si="51"/>
        <v>50.375579696190705</v>
      </c>
      <c r="F79" s="5">
        <f t="shared" si="51"/>
        <v>49.222731510806035</v>
      </c>
      <c r="G79" s="5">
        <f t="shared" si="51"/>
        <v>51.813401590322137</v>
      </c>
      <c r="H79" s="5">
        <f t="shared" si="51"/>
        <v>62.176081908386564</v>
      </c>
      <c r="I79" s="100">
        <f t="shared" si="51"/>
        <v>64.76675198790268</v>
      </c>
      <c r="J79" s="99">
        <f t="shared" si="51"/>
        <v>18.545596757936558</v>
      </c>
      <c r="K79" s="5">
        <f t="shared" si="51"/>
        <v>18.68196143998021</v>
      </c>
      <c r="L79" s="5">
        <f t="shared" si="51"/>
        <v>39.136663746527887</v>
      </c>
      <c r="M79" s="5">
        <f t="shared" si="51"/>
        <v>51.818579176587441</v>
      </c>
      <c r="N79" s="5">
        <f t="shared" si="51"/>
        <v>54.54587281746047</v>
      </c>
      <c r="O79" s="100">
        <f t="shared" si="51"/>
        <v>65.45504738095255</v>
      </c>
      <c r="P79" s="99">
        <f t="shared" si="51"/>
        <v>17.836471114765335</v>
      </c>
      <c r="Q79" s="102">
        <f t="shared" si="51"/>
        <v>23.174393127213353</v>
      </c>
      <c r="R79" s="5">
        <f t="shared" si="51"/>
        <v>49.473423530006038</v>
      </c>
      <c r="S79" s="100">
        <f t="shared" si="51"/>
        <v>52.077287926322143</v>
      </c>
    </row>
    <row r="80" spans="1:19" x14ac:dyDescent="0.25">
      <c r="A80" s="86" t="s">
        <v>63</v>
      </c>
      <c r="B80" s="93">
        <f t="shared" ref="B80:S80" si="52">B78*(B74/1000)</f>
        <v>92.29031588639053</v>
      </c>
      <c r="C80" s="94">
        <f t="shared" si="52"/>
        <v>119.91004545823003</v>
      </c>
      <c r="D80" s="94">
        <f t="shared" si="52"/>
        <v>135.26930970793589</v>
      </c>
      <c r="E80" s="94">
        <f t="shared" si="52"/>
        <v>261.98323976800935</v>
      </c>
      <c r="F80" s="94">
        <f t="shared" ref="F80" si="53">F78*(F74/1000)</f>
        <v>255.98773749509783</v>
      </c>
      <c r="G80" s="94">
        <f t="shared" si="52"/>
        <v>269.46077631062929</v>
      </c>
      <c r="H80" s="94">
        <f t="shared" si="52"/>
        <v>323.35293157275515</v>
      </c>
      <c r="I80" s="95">
        <f t="shared" si="52"/>
        <v>336.82597038828663</v>
      </c>
      <c r="J80" s="93">
        <f t="shared" si="52"/>
        <v>96.44823049932485</v>
      </c>
      <c r="K80" s="94">
        <f t="shared" si="52"/>
        <v>97.157408664761064</v>
      </c>
      <c r="L80" s="94">
        <f t="shared" si="52"/>
        <v>203.53413348019291</v>
      </c>
      <c r="M80" s="94">
        <f t="shared" si="52"/>
        <v>269.48770286576064</v>
      </c>
      <c r="N80" s="94">
        <f t="shared" si="52"/>
        <v>283.67126617448491</v>
      </c>
      <c r="O80" s="95">
        <f t="shared" si="52"/>
        <v>340.40551940938184</v>
      </c>
      <c r="P80" s="93">
        <f t="shared" si="52"/>
        <v>92.76035167944859</v>
      </c>
      <c r="Q80" s="97">
        <f t="shared" si="52"/>
        <v>120.52074889738576</v>
      </c>
      <c r="R80" s="94">
        <f t="shared" si="52"/>
        <v>257.29148641014939</v>
      </c>
      <c r="S80" s="95">
        <f t="shared" si="52"/>
        <v>270.83314358963094</v>
      </c>
    </row>
    <row r="81" spans="1:19" x14ac:dyDescent="0.25">
      <c r="A81" s="86" t="s">
        <v>66</v>
      </c>
      <c r="B81" s="93">
        <v>24.0242662</v>
      </c>
      <c r="C81" s="94">
        <v>29.1358122</v>
      </c>
      <c r="D81" s="94">
        <v>29.1358122</v>
      </c>
      <c r="E81" s="94">
        <v>47.956524571999999</v>
      </c>
      <c r="F81" s="94">
        <v>47.956524571999999</v>
      </c>
      <c r="G81" s="94">
        <v>47.956524571999999</v>
      </c>
      <c r="H81" s="94">
        <v>47.956524571999999</v>
      </c>
      <c r="I81" s="95">
        <v>47.956524571999999</v>
      </c>
      <c r="J81" s="93">
        <v>24.0242662</v>
      </c>
      <c r="K81" s="94">
        <v>24.0242662</v>
      </c>
      <c r="L81" s="94">
        <v>36.291976599999998</v>
      </c>
      <c r="M81" s="94">
        <v>47.956524571999999</v>
      </c>
      <c r="N81" s="94">
        <v>47.956524571999999</v>
      </c>
      <c r="O81" s="96">
        <v>47.956524571999999</v>
      </c>
      <c r="P81" s="93">
        <v>24.0242662</v>
      </c>
      <c r="Q81" s="97">
        <v>29.1358122</v>
      </c>
      <c r="R81" s="94">
        <v>47.956524571999999</v>
      </c>
      <c r="S81" s="95">
        <v>47.956524571999999</v>
      </c>
    </row>
    <row r="82" spans="1:19" x14ac:dyDescent="0.25">
      <c r="A82" s="86" t="s">
        <v>69</v>
      </c>
      <c r="B82" s="106"/>
      <c r="C82" s="103"/>
      <c r="D82" s="103"/>
      <c r="E82" s="103"/>
      <c r="F82" s="103"/>
      <c r="G82" s="103"/>
      <c r="H82" s="103"/>
      <c r="I82" s="107"/>
      <c r="J82" s="106"/>
      <c r="K82" s="103"/>
      <c r="L82" s="103"/>
      <c r="M82" s="103"/>
      <c r="N82" s="103"/>
      <c r="O82" s="107"/>
      <c r="P82" s="99"/>
      <c r="Q82" s="102">
        <v>2.4300000000000002</v>
      </c>
      <c r="R82" s="5"/>
      <c r="S82" s="100"/>
    </row>
    <row r="83" spans="1:19" x14ac:dyDescent="0.25">
      <c r="A83" s="86" t="s">
        <v>71</v>
      </c>
      <c r="B83" s="109">
        <f t="shared" ref="B83:S83" si="54">$V$26</f>
        <v>2.5000000000000022E-3</v>
      </c>
      <c r="C83" s="110">
        <f t="shared" si="54"/>
        <v>2.5000000000000022E-3</v>
      </c>
      <c r="D83" s="110">
        <f t="shared" si="54"/>
        <v>2.5000000000000022E-3</v>
      </c>
      <c r="E83" s="110">
        <f t="shared" si="54"/>
        <v>2.5000000000000022E-3</v>
      </c>
      <c r="F83" s="110">
        <f t="shared" si="54"/>
        <v>2.5000000000000022E-3</v>
      </c>
      <c r="G83" s="110">
        <f t="shared" si="54"/>
        <v>2.5000000000000022E-3</v>
      </c>
      <c r="H83" s="110">
        <f t="shared" si="54"/>
        <v>2.5000000000000022E-3</v>
      </c>
      <c r="I83" s="111">
        <f t="shared" si="54"/>
        <v>2.5000000000000022E-3</v>
      </c>
      <c r="J83" s="109">
        <f t="shared" si="54"/>
        <v>2.5000000000000022E-3</v>
      </c>
      <c r="K83" s="110">
        <f t="shared" si="54"/>
        <v>2.5000000000000022E-3</v>
      </c>
      <c r="L83" s="110">
        <f t="shared" si="54"/>
        <v>2.5000000000000022E-3</v>
      </c>
      <c r="M83" s="110">
        <f t="shared" si="54"/>
        <v>2.5000000000000022E-3</v>
      </c>
      <c r="N83" s="110">
        <f t="shared" si="54"/>
        <v>2.5000000000000022E-3</v>
      </c>
      <c r="O83" s="111">
        <f t="shared" si="54"/>
        <v>2.5000000000000022E-3</v>
      </c>
      <c r="P83" s="109">
        <f t="shared" si="54"/>
        <v>2.5000000000000022E-3</v>
      </c>
      <c r="Q83" s="113">
        <f t="shared" si="54"/>
        <v>2.5000000000000022E-3</v>
      </c>
      <c r="R83" s="110">
        <f t="shared" si="54"/>
        <v>2.5000000000000022E-3</v>
      </c>
      <c r="S83" s="111">
        <f t="shared" si="54"/>
        <v>2.5000000000000022E-3</v>
      </c>
    </row>
    <row r="84" spans="1:19" ht="13" x14ac:dyDescent="0.3">
      <c r="A84" s="62" t="s">
        <v>73</v>
      </c>
      <c r="B84" s="116">
        <f t="shared" ref="B84:S84" si="55">(B80+B81+(B82*$X$1))*(1+B83)</f>
        <v>116.6053685416065</v>
      </c>
      <c r="C84" s="117">
        <f t="shared" si="55"/>
        <v>149.41847230237559</v>
      </c>
      <c r="D84" s="117">
        <f t="shared" si="55"/>
        <v>164.81613471270572</v>
      </c>
      <c r="E84" s="117">
        <f t="shared" si="55"/>
        <v>310.71461375085931</v>
      </c>
      <c r="F84" s="117">
        <f t="shared" si="55"/>
        <v>304.70412272226559</v>
      </c>
      <c r="G84" s="117">
        <f t="shared" si="55"/>
        <v>318.21084413483584</v>
      </c>
      <c r="H84" s="117">
        <f t="shared" si="55"/>
        <v>372.23772978511698</v>
      </c>
      <c r="I84" s="118">
        <f t="shared" si="55"/>
        <v>385.74445119768728</v>
      </c>
      <c r="J84" s="119">
        <f t="shared" si="55"/>
        <v>120.77367794107316</v>
      </c>
      <c r="K84" s="120">
        <f t="shared" si="55"/>
        <v>121.48462905192297</v>
      </c>
      <c r="L84" s="120">
        <f t="shared" si="55"/>
        <v>240.42567535539337</v>
      </c>
      <c r="M84" s="120">
        <f t="shared" si="55"/>
        <v>318.23783800635499</v>
      </c>
      <c r="N84" s="120">
        <f t="shared" si="55"/>
        <v>332.4568602233511</v>
      </c>
      <c r="O84" s="175">
        <f t="shared" si="55"/>
        <v>389.33294909133525</v>
      </c>
      <c r="P84" s="122">
        <f t="shared" si="55"/>
        <v>117.0765794241472</v>
      </c>
      <c r="Q84" s="123">
        <f t="shared" si="55"/>
        <v>162.69975414512922</v>
      </c>
      <c r="R84" s="124">
        <f t="shared" si="55"/>
        <v>306.0111310096047</v>
      </c>
      <c r="S84" s="125">
        <f t="shared" si="55"/>
        <v>319.58664233203496</v>
      </c>
    </row>
    <row r="85" spans="1:19" x14ac:dyDescent="0.25">
      <c r="A85" s="86" t="s">
        <v>75</v>
      </c>
      <c r="B85" s="129">
        <v>9.2499999999999999E-2</v>
      </c>
      <c r="C85" s="130">
        <v>9.2499999999999999E-2</v>
      </c>
      <c r="D85" s="130">
        <v>9.2499999999999999E-2</v>
      </c>
      <c r="E85" s="130">
        <v>9.2499999999999999E-2</v>
      </c>
      <c r="F85" s="130">
        <v>9.2499999999999999E-2</v>
      </c>
      <c r="G85" s="130">
        <v>9.2499999999999999E-2</v>
      </c>
      <c r="H85" s="130">
        <v>9.2499999999999999E-2</v>
      </c>
      <c r="I85" s="131">
        <v>9.2499999999999999E-2</v>
      </c>
      <c r="J85" s="129">
        <v>9.2499999999999999E-2</v>
      </c>
      <c r="K85" s="130">
        <v>9.2499999999999999E-2</v>
      </c>
      <c r="L85" s="130">
        <v>9.2499999999999999E-2</v>
      </c>
      <c r="M85" s="130">
        <v>9.2499999999999999E-2</v>
      </c>
      <c r="N85" s="130">
        <v>9.2499999999999999E-2</v>
      </c>
      <c r="O85" s="131">
        <v>9.2499999999999999E-2</v>
      </c>
      <c r="P85" s="129">
        <v>9.2499999999999999E-2</v>
      </c>
      <c r="Q85" s="133">
        <v>9.2499999999999999E-2</v>
      </c>
      <c r="R85" s="130">
        <v>9.2499999999999999E-2</v>
      </c>
      <c r="S85" s="131">
        <v>9.2499999999999999E-2</v>
      </c>
    </row>
    <row r="86" spans="1:19" x14ac:dyDescent="0.25">
      <c r="A86" s="86" t="s">
        <v>36</v>
      </c>
      <c r="B86" s="87">
        <v>0.22</v>
      </c>
      <c r="C86" s="88">
        <v>0.22</v>
      </c>
      <c r="D86" s="88">
        <v>0.22</v>
      </c>
      <c r="E86" s="88">
        <v>0.22</v>
      </c>
      <c r="F86" s="88">
        <v>0.22</v>
      </c>
      <c r="G86" s="88">
        <v>0.22</v>
      </c>
      <c r="H86" s="88">
        <v>0.22</v>
      </c>
      <c r="I86" s="89">
        <v>0.22</v>
      </c>
      <c r="J86" s="135">
        <v>0.20499999999999999</v>
      </c>
      <c r="K86" s="136">
        <v>0.20499999999999999</v>
      </c>
      <c r="L86" s="136">
        <v>0.20499999999999999</v>
      </c>
      <c r="M86" s="136">
        <v>0.20499999999999999</v>
      </c>
      <c r="N86" s="136">
        <v>0.20499999999999999</v>
      </c>
      <c r="O86" s="176">
        <v>0.20499999999999999</v>
      </c>
      <c r="P86" s="87">
        <v>0.18</v>
      </c>
      <c r="Q86" s="91">
        <v>0.18</v>
      </c>
      <c r="R86" s="88">
        <v>0.18</v>
      </c>
      <c r="S86" s="89">
        <v>0.18</v>
      </c>
    </row>
    <row r="87" spans="1:19" ht="13" x14ac:dyDescent="0.3">
      <c r="A87" s="62" t="s">
        <v>76</v>
      </c>
      <c r="B87" s="139">
        <f>(B84/(1-B85))/(1-B86)</f>
        <v>164.73174901689129</v>
      </c>
      <c r="C87" s="140">
        <f t="shared" ref="C87:S87" si="56">(C84/(1-C85))/(1-C86)</f>
        <v>211.08776195857257</v>
      </c>
      <c r="D87" s="140">
        <f t="shared" si="56"/>
        <v>232.84048133461286</v>
      </c>
      <c r="E87" s="140">
        <f t="shared" si="56"/>
        <v>438.95544783620727</v>
      </c>
      <c r="F87" s="140">
        <f t="shared" ref="F87" si="57">(F84/(1-F85))/(1-F86)</f>
        <v>430.46425474643723</v>
      </c>
      <c r="G87" s="140">
        <f t="shared" si="56"/>
        <v>449.54558753243742</v>
      </c>
      <c r="H87" s="140">
        <f t="shared" si="56"/>
        <v>525.87091867643846</v>
      </c>
      <c r="I87" s="141">
        <f t="shared" si="56"/>
        <v>544.95225146243877</v>
      </c>
      <c r="J87" s="139">
        <f t="shared" si="56"/>
        <v>167.40118570414006</v>
      </c>
      <c r="K87" s="140">
        <f t="shared" si="56"/>
        <v>168.38661614695559</v>
      </c>
      <c r="L87" s="140">
        <f t="shared" si="56"/>
        <v>333.24763983629555</v>
      </c>
      <c r="M87" s="140">
        <f t="shared" si="56"/>
        <v>441.10101080285528</v>
      </c>
      <c r="N87" s="140">
        <f t="shared" si="56"/>
        <v>460.80961965916606</v>
      </c>
      <c r="O87" s="141">
        <f t="shared" si="56"/>
        <v>539.64405508440871</v>
      </c>
      <c r="P87" s="139">
        <f t="shared" si="56"/>
        <v>157.3292742379187</v>
      </c>
      <c r="Q87" s="143">
        <f t="shared" si="56"/>
        <v>218.63838492928738</v>
      </c>
      <c r="R87" s="140">
        <f t="shared" si="56"/>
        <v>411.22237587798787</v>
      </c>
      <c r="S87" s="141">
        <f t="shared" si="56"/>
        <v>429.46535286170121</v>
      </c>
    </row>
    <row r="88" spans="1:19" x14ac:dyDescent="0.25">
      <c r="A88" s="76"/>
      <c r="B88" s="146"/>
      <c r="I88" s="147"/>
      <c r="J88" s="146"/>
      <c r="O88" s="147"/>
      <c r="P88" s="106"/>
      <c r="Q88" s="148"/>
      <c r="R88" s="103"/>
      <c r="S88" s="107"/>
    </row>
    <row r="89" spans="1:19" x14ac:dyDescent="0.25">
      <c r="A89" s="86" t="s">
        <v>75</v>
      </c>
      <c r="B89" s="129">
        <v>9.2499999999999999E-2</v>
      </c>
      <c r="C89" s="130">
        <v>9.2499999999999999E-2</v>
      </c>
      <c r="D89" s="130">
        <v>9.2499999999999999E-2</v>
      </c>
      <c r="E89" s="130">
        <v>9.2499999999999999E-2</v>
      </c>
      <c r="F89" s="130">
        <v>9.2499999999999999E-2</v>
      </c>
      <c r="G89" s="130">
        <v>9.2499999999999999E-2</v>
      </c>
      <c r="H89" s="130">
        <v>9.2499999999999999E-2</v>
      </c>
      <c r="I89" s="131">
        <v>9.2499999999999999E-2</v>
      </c>
      <c r="J89" s="129">
        <v>9.2499999999999999E-2</v>
      </c>
      <c r="K89" s="130">
        <v>9.2499999999999999E-2</v>
      </c>
      <c r="L89" s="130">
        <v>9.2499999999999999E-2</v>
      </c>
      <c r="M89" s="130">
        <v>9.2499999999999999E-2</v>
      </c>
      <c r="N89" s="130">
        <v>9.2499999999999999E-2</v>
      </c>
      <c r="O89" s="131">
        <v>9.2499999999999999E-2</v>
      </c>
      <c r="P89" s="129">
        <v>9.2499999999999999E-2</v>
      </c>
      <c r="Q89" s="133">
        <v>9.2499999999999999E-2</v>
      </c>
      <c r="R89" s="130">
        <v>9.2499999999999999E-2</v>
      </c>
      <c r="S89" s="131">
        <v>9.2499999999999999E-2</v>
      </c>
    </row>
    <row r="90" spans="1:19" x14ac:dyDescent="0.25">
      <c r="A90" s="86" t="s">
        <v>36</v>
      </c>
      <c r="B90" s="87">
        <v>0.12</v>
      </c>
      <c r="C90" s="88">
        <v>0.12</v>
      </c>
      <c r="D90" s="88">
        <v>0.12</v>
      </c>
      <c r="E90" s="88">
        <v>0.12</v>
      </c>
      <c r="F90" s="88">
        <v>0.12</v>
      </c>
      <c r="G90" s="88">
        <v>0.12</v>
      </c>
      <c r="H90" s="88">
        <v>0.12</v>
      </c>
      <c r="I90" s="89">
        <v>0.12</v>
      </c>
      <c r="J90" s="87">
        <v>0.12</v>
      </c>
      <c r="K90" s="88">
        <v>0.12</v>
      </c>
      <c r="L90" s="88">
        <v>0.12</v>
      </c>
      <c r="M90" s="88">
        <v>0.12</v>
      </c>
      <c r="N90" s="88">
        <v>0.12</v>
      </c>
      <c r="O90" s="89">
        <v>0.12</v>
      </c>
      <c r="P90" s="87">
        <v>0.12</v>
      </c>
      <c r="Q90" s="91">
        <v>0.12</v>
      </c>
      <c r="R90" s="88">
        <v>0.12</v>
      </c>
      <c r="S90" s="89">
        <v>0.12</v>
      </c>
    </row>
    <row r="91" spans="1:19" ht="13" x14ac:dyDescent="0.3">
      <c r="A91" s="62" t="s">
        <v>76</v>
      </c>
      <c r="B91" s="139">
        <f>(B84/(1-B89))/(1-B90)</f>
        <v>146.01223208315366</v>
      </c>
      <c r="C91" s="140">
        <f t="shared" ref="C91:S91" si="58">(C84/(1-C89))/(1-C90)</f>
        <v>187.10051628146206</v>
      </c>
      <c r="D91" s="140">
        <f t="shared" si="58"/>
        <v>206.38133572840687</v>
      </c>
      <c r="E91" s="140">
        <f t="shared" si="58"/>
        <v>389.07414694572918</v>
      </c>
      <c r="F91" s="140">
        <f t="shared" ref="F91" si="59">(F84/(1-F89))/(1-F90)</f>
        <v>381.54786216161483</v>
      </c>
      <c r="G91" s="140">
        <f t="shared" si="58"/>
        <v>398.46086167647866</v>
      </c>
      <c r="H91" s="140">
        <f t="shared" si="58"/>
        <v>466.11285973593414</v>
      </c>
      <c r="I91" s="141">
        <f t="shared" si="58"/>
        <v>483.02585925079802</v>
      </c>
      <c r="J91" s="139">
        <f t="shared" si="58"/>
        <v>151.23175299408109</v>
      </c>
      <c r="K91" s="140">
        <f t="shared" si="58"/>
        <v>152.1219998145792</v>
      </c>
      <c r="L91" s="140">
        <f t="shared" si="58"/>
        <v>301.05894735210791</v>
      </c>
      <c r="M91" s="140">
        <f t="shared" si="58"/>
        <v>398.49466316848861</v>
      </c>
      <c r="N91" s="140">
        <f t="shared" si="58"/>
        <v>416.29959957845119</v>
      </c>
      <c r="O91" s="141">
        <f t="shared" si="58"/>
        <v>487.51934521830111</v>
      </c>
      <c r="P91" s="139">
        <f t="shared" si="58"/>
        <v>146.60227826715152</v>
      </c>
      <c r="Q91" s="143">
        <f t="shared" si="58"/>
        <v>203.73122232047237</v>
      </c>
      <c r="R91" s="140">
        <f t="shared" si="58"/>
        <v>383.18448661357962</v>
      </c>
      <c r="S91" s="141">
        <f t="shared" si="58"/>
        <v>400.18362425749433</v>
      </c>
    </row>
    <row r="92" spans="1:19" x14ac:dyDescent="0.25">
      <c r="A92" s="76"/>
      <c r="B92" s="146"/>
      <c r="I92" s="147"/>
      <c r="J92" s="156"/>
      <c r="K92" s="157"/>
      <c r="L92" s="157"/>
      <c r="M92" s="157"/>
      <c r="N92" s="157"/>
      <c r="O92" s="157"/>
      <c r="P92" s="156"/>
      <c r="Q92" s="157"/>
      <c r="R92" s="157"/>
      <c r="S92" s="158"/>
    </row>
    <row r="93" spans="1:19" x14ac:dyDescent="0.25">
      <c r="A93" s="86" t="s">
        <v>75</v>
      </c>
      <c r="B93" s="129">
        <v>9.2499999999999999E-2</v>
      </c>
      <c r="C93" s="130">
        <v>9.2499999999999999E-2</v>
      </c>
      <c r="D93" s="130">
        <v>9.2499999999999999E-2</v>
      </c>
      <c r="E93" s="130">
        <v>9.2499999999999999E-2</v>
      </c>
      <c r="F93" s="130">
        <v>9.2499999999999999E-2</v>
      </c>
      <c r="G93" s="130">
        <v>9.2499999999999999E-2</v>
      </c>
      <c r="H93" s="130">
        <v>9.2499999999999999E-2</v>
      </c>
      <c r="I93" s="131">
        <v>9.2499999999999999E-2</v>
      </c>
      <c r="J93" s="76"/>
      <c r="K93"/>
      <c r="L93" s="103" t="s">
        <v>82</v>
      </c>
      <c r="M93"/>
      <c r="N93"/>
      <c r="O93"/>
      <c r="P93" s="129">
        <v>9.2499999999999999E-2</v>
      </c>
      <c r="Q93" s="133">
        <v>9.2499999999999999E-2</v>
      </c>
      <c r="R93" s="130">
        <v>9.2499999999999999E-2</v>
      </c>
      <c r="S93" s="131">
        <v>9.2499999999999999E-2</v>
      </c>
    </row>
    <row r="94" spans="1:19" x14ac:dyDescent="0.25">
      <c r="A94" s="86" t="s">
        <v>36</v>
      </c>
      <c r="B94" s="87">
        <v>7.0000000000000007E-2</v>
      </c>
      <c r="C94" s="88">
        <v>7.0000000000000007E-2</v>
      </c>
      <c r="D94" s="88">
        <v>7.0000000000000007E-2</v>
      </c>
      <c r="E94" s="88">
        <v>7.0000000000000007E-2</v>
      </c>
      <c r="F94" s="88">
        <v>7.0000000000000007E-2</v>
      </c>
      <c r="G94" s="88">
        <v>7.0000000000000007E-2</v>
      </c>
      <c r="H94" s="88">
        <v>7.0000000000000007E-2</v>
      </c>
      <c r="I94" s="89">
        <v>7.0000000000000007E-2</v>
      </c>
      <c r="J94" s="76"/>
      <c r="K94"/>
      <c r="L94" s="94">
        <f>L84*(1+12%)</f>
        <v>269.27675639804062</v>
      </c>
      <c r="M94"/>
      <c r="N94"/>
      <c r="O94"/>
      <c r="P94" s="87">
        <v>7.0000000000000007E-2</v>
      </c>
      <c r="Q94" s="91">
        <v>7.0000000000000007E-2</v>
      </c>
      <c r="R94" s="88">
        <v>7.0000000000000007E-2</v>
      </c>
      <c r="S94" s="89">
        <v>7.0000000000000007E-2</v>
      </c>
    </row>
    <row r="95" spans="1:19" ht="13.5" thickBot="1" x14ac:dyDescent="0.35">
      <c r="A95" s="163" t="s">
        <v>76</v>
      </c>
      <c r="B95" s="164">
        <f>(B84/(1-B93))/(1-B94)</f>
        <v>138.16211207868304</v>
      </c>
      <c r="C95" s="165">
        <f t="shared" ref="C95:I95" si="60">(C84/(1-C93))/(1-C94)</f>
        <v>177.04134873944798</v>
      </c>
      <c r="D95" s="165">
        <f t="shared" si="60"/>
        <v>195.28556499032049</v>
      </c>
      <c r="E95" s="165">
        <f t="shared" si="60"/>
        <v>368.15618205617386</v>
      </c>
      <c r="F95" s="165">
        <f t="shared" ref="F95" si="61">(F84/(1-F93))/(1-F94)</f>
        <v>361.0345362389474</v>
      </c>
      <c r="G95" s="165">
        <f t="shared" si="60"/>
        <v>377.03823470462498</v>
      </c>
      <c r="H95" s="165">
        <f t="shared" si="60"/>
        <v>441.05302856733556</v>
      </c>
      <c r="I95" s="166">
        <f t="shared" si="60"/>
        <v>457.0567270330132</v>
      </c>
      <c r="J95" s="167"/>
      <c r="K95" s="168"/>
      <c r="L95" s="168"/>
      <c r="M95" s="168"/>
      <c r="N95" s="168"/>
      <c r="O95" s="168"/>
      <c r="P95" s="164">
        <f>(P84/(1-P93))/(1-P94)</f>
        <v>138.72043534956273</v>
      </c>
      <c r="Q95" s="195">
        <f t="shared" ref="Q95:S95" si="62">(Q84/(1-Q93))/(1-Q94)</f>
        <v>192.77793079786633</v>
      </c>
      <c r="R95" s="165">
        <f t="shared" si="62"/>
        <v>362.58317012897857</v>
      </c>
      <c r="S95" s="166">
        <f t="shared" si="62"/>
        <v>378.66837564150001</v>
      </c>
    </row>
  </sheetData>
  <mergeCells count="3">
    <mergeCell ref="Z2:AG2"/>
    <mergeCell ref="Z3:AG3"/>
    <mergeCell ref="Z4:AG4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4077-C5B0-40AE-ACA1-B4E01224D5D8}">
  <dimension ref="A1:AH95"/>
  <sheetViews>
    <sheetView tabSelected="1" topLeftCell="S1" workbookViewId="0">
      <selection activeCell="V12" sqref="V12"/>
    </sheetView>
  </sheetViews>
  <sheetFormatPr defaultRowHeight="12.5" x14ac:dyDescent="0.25"/>
  <cols>
    <col min="1" max="1" width="37.54296875" bestFit="1" customWidth="1"/>
    <col min="2" max="2" width="10.81640625" style="134" customWidth="1"/>
    <col min="3" max="3" width="12.1796875" style="134" customWidth="1"/>
    <col min="4" max="11" width="10.81640625" style="134" customWidth="1"/>
    <col min="12" max="12" width="10.81640625" style="134" bestFit="1" customWidth="1"/>
    <col min="13" max="19" width="10.81640625" style="134" customWidth="1"/>
    <col min="20" max="20" width="4.7265625" customWidth="1"/>
    <col min="21" max="21" width="30.1796875" bestFit="1" customWidth="1"/>
    <col min="22" max="24" width="12.54296875" bestFit="1" customWidth="1"/>
    <col min="25" max="25" width="20.90625" bestFit="1" customWidth="1"/>
    <col min="26" max="26" width="3.7265625" customWidth="1"/>
    <col min="27" max="27" width="18" bestFit="1" customWidth="1"/>
    <col min="28" max="28" width="27.1796875" bestFit="1" customWidth="1"/>
    <col min="29" max="29" width="11.81640625" bestFit="1" customWidth="1"/>
  </cols>
  <sheetData>
    <row r="1" spans="1:34" ht="13.5" thickBot="1" x14ac:dyDescent="0.35">
      <c r="A1" s="47" t="s">
        <v>40</v>
      </c>
      <c r="B1" s="48" t="s">
        <v>41</v>
      </c>
      <c r="C1" s="49" t="s">
        <v>41</v>
      </c>
      <c r="D1" s="49" t="s">
        <v>41</v>
      </c>
      <c r="E1" s="49" t="s">
        <v>41</v>
      </c>
      <c r="F1" s="49" t="s">
        <v>41</v>
      </c>
      <c r="G1" s="49" t="s">
        <v>41</v>
      </c>
      <c r="H1" s="49" t="s">
        <v>41</v>
      </c>
      <c r="I1" s="50" t="s">
        <v>41</v>
      </c>
      <c r="J1" s="51" t="s">
        <v>42</v>
      </c>
      <c r="K1" s="52" t="s">
        <v>42</v>
      </c>
      <c r="L1" s="52" t="s">
        <v>42</v>
      </c>
      <c r="M1" s="52" t="s">
        <v>42</v>
      </c>
      <c r="N1" s="52" t="s">
        <v>42</v>
      </c>
      <c r="O1" s="53" t="s">
        <v>42</v>
      </c>
      <c r="P1" s="54" t="s">
        <v>43</v>
      </c>
      <c r="Q1" s="55" t="s">
        <v>43</v>
      </c>
      <c r="R1" s="56" t="s">
        <v>43</v>
      </c>
      <c r="S1" s="57" t="s">
        <v>43</v>
      </c>
      <c r="U1" s="58" t="s">
        <v>100</v>
      </c>
      <c r="V1" s="59"/>
      <c r="W1" s="60" t="s">
        <v>44</v>
      </c>
      <c r="X1" s="61">
        <v>5.2316000000000003</v>
      </c>
      <c r="Y1" s="211"/>
    </row>
    <row r="2" spans="1:34" ht="13.15" customHeight="1" x14ac:dyDescent="0.3">
      <c r="A2" s="62" t="s">
        <v>45</v>
      </c>
      <c r="B2" s="63">
        <v>13.7</v>
      </c>
      <c r="C2" s="64">
        <v>17.8</v>
      </c>
      <c r="D2" s="64">
        <v>20.079999999999998</v>
      </c>
      <c r="E2" s="64">
        <v>38.89</v>
      </c>
      <c r="F2" s="64">
        <v>38</v>
      </c>
      <c r="G2" s="64">
        <v>40</v>
      </c>
      <c r="H2" s="64">
        <v>48</v>
      </c>
      <c r="I2" s="65">
        <v>50</v>
      </c>
      <c r="J2" s="63">
        <v>13.6</v>
      </c>
      <c r="K2" s="64">
        <v>13.7</v>
      </c>
      <c r="L2" s="64">
        <v>28.7</v>
      </c>
      <c r="M2" s="64">
        <v>38</v>
      </c>
      <c r="N2" s="64">
        <v>40</v>
      </c>
      <c r="O2" s="17">
        <v>48</v>
      </c>
      <c r="P2" s="63">
        <v>13.7</v>
      </c>
      <c r="Q2" s="18">
        <v>17.8</v>
      </c>
      <c r="R2" s="64">
        <v>38</v>
      </c>
      <c r="S2" s="65">
        <v>40</v>
      </c>
      <c r="U2" s="66" t="s">
        <v>46</v>
      </c>
      <c r="V2" s="67" t="s">
        <v>47</v>
      </c>
      <c r="W2" s="68" t="s">
        <v>48</v>
      </c>
      <c r="X2" s="69" t="s">
        <v>49</v>
      </c>
      <c r="Y2" s="212"/>
      <c r="AA2" s="198" t="s">
        <v>50</v>
      </c>
      <c r="AB2" s="198"/>
      <c r="AC2" s="198"/>
      <c r="AD2" s="198"/>
      <c r="AE2" s="198"/>
      <c r="AF2" s="198"/>
      <c r="AG2" s="198"/>
      <c r="AH2" s="198"/>
    </row>
    <row r="3" spans="1:34" x14ac:dyDescent="0.25">
      <c r="A3" s="70" t="s">
        <v>46</v>
      </c>
      <c r="B3" s="71">
        <f t="shared" ref="B3:S3" si="0">1-B4</f>
        <v>1</v>
      </c>
      <c r="C3" s="72">
        <f t="shared" si="0"/>
        <v>1</v>
      </c>
      <c r="D3" s="72">
        <f t="shared" si="0"/>
        <v>1</v>
      </c>
      <c r="E3" s="72">
        <f t="shared" si="0"/>
        <v>1</v>
      </c>
      <c r="F3" s="72">
        <f t="shared" si="0"/>
        <v>1</v>
      </c>
      <c r="G3" s="72">
        <f t="shared" si="0"/>
        <v>1</v>
      </c>
      <c r="H3" s="72">
        <f t="shared" si="0"/>
        <v>1</v>
      </c>
      <c r="I3" s="73">
        <f t="shared" si="0"/>
        <v>1</v>
      </c>
      <c r="J3" s="71">
        <f t="shared" si="0"/>
        <v>1</v>
      </c>
      <c r="K3" s="72">
        <f t="shared" si="0"/>
        <v>1</v>
      </c>
      <c r="L3" s="72">
        <f t="shared" si="0"/>
        <v>1</v>
      </c>
      <c r="M3" s="72">
        <f t="shared" si="0"/>
        <v>1</v>
      </c>
      <c r="N3" s="72">
        <f t="shared" si="0"/>
        <v>1</v>
      </c>
      <c r="O3" s="74">
        <f t="shared" si="0"/>
        <v>1</v>
      </c>
      <c r="P3" s="71">
        <f t="shared" si="0"/>
        <v>1</v>
      </c>
      <c r="Q3" s="75">
        <f t="shared" si="0"/>
        <v>1</v>
      </c>
      <c r="R3" s="72">
        <f t="shared" si="0"/>
        <v>1</v>
      </c>
      <c r="S3" s="73">
        <f t="shared" si="0"/>
        <v>1</v>
      </c>
      <c r="U3" s="76" t="s">
        <v>1</v>
      </c>
      <c r="V3" s="209">
        <v>1115</v>
      </c>
      <c r="W3" s="209">
        <f>V3</f>
        <v>1115</v>
      </c>
      <c r="X3" s="210">
        <f>V3</f>
        <v>1115</v>
      </c>
      <c r="Y3" s="213" t="s">
        <v>101</v>
      </c>
      <c r="AA3" s="199" t="s">
        <v>51</v>
      </c>
      <c r="AB3" s="199"/>
      <c r="AC3" s="199"/>
      <c r="AD3" s="199"/>
      <c r="AE3" s="199"/>
      <c r="AF3" s="199"/>
      <c r="AG3" s="199"/>
      <c r="AH3" s="199"/>
    </row>
    <row r="4" spans="1:34" x14ac:dyDescent="0.25">
      <c r="A4" s="80" t="s">
        <v>52</v>
      </c>
      <c r="B4" s="81">
        <v>0</v>
      </c>
      <c r="C4" s="82">
        <v>0</v>
      </c>
      <c r="D4" s="82">
        <v>0</v>
      </c>
      <c r="E4" s="82">
        <v>0</v>
      </c>
      <c r="F4" s="82">
        <v>0</v>
      </c>
      <c r="G4" s="82">
        <v>0</v>
      </c>
      <c r="H4" s="82">
        <v>0</v>
      </c>
      <c r="I4" s="83">
        <v>0</v>
      </c>
      <c r="J4" s="81">
        <v>0</v>
      </c>
      <c r="K4" s="82">
        <v>0</v>
      </c>
      <c r="L4" s="82">
        <v>0</v>
      </c>
      <c r="M4" s="82">
        <v>0</v>
      </c>
      <c r="N4" s="82">
        <v>0</v>
      </c>
      <c r="O4" s="84">
        <v>0</v>
      </c>
      <c r="P4" s="81">
        <v>0</v>
      </c>
      <c r="Q4" s="85">
        <v>0</v>
      </c>
      <c r="R4" s="82">
        <v>0</v>
      </c>
      <c r="S4" s="83">
        <v>0</v>
      </c>
      <c r="U4" s="76" t="s">
        <v>3</v>
      </c>
      <c r="V4" s="77">
        <v>1235.75</v>
      </c>
      <c r="W4" s="77">
        <f>V4</f>
        <v>1235.75</v>
      </c>
      <c r="X4" s="78">
        <f>V4</f>
        <v>1235.75</v>
      </c>
      <c r="Y4" s="214"/>
      <c r="AA4" s="199" t="s">
        <v>53</v>
      </c>
      <c r="AB4" s="199"/>
      <c r="AC4" s="199"/>
      <c r="AD4" s="199"/>
      <c r="AE4" s="199"/>
      <c r="AF4" s="199"/>
      <c r="AG4" s="199"/>
      <c r="AH4" s="199"/>
    </row>
    <row r="5" spans="1:34" x14ac:dyDescent="0.25">
      <c r="A5" s="86" t="s">
        <v>32</v>
      </c>
      <c r="B5" s="87">
        <v>0.01</v>
      </c>
      <c r="C5" s="88">
        <v>0.01</v>
      </c>
      <c r="D5" s="88">
        <v>0.01</v>
      </c>
      <c r="E5" s="88">
        <v>0.01</v>
      </c>
      <c r="F5" s="88">
        <v>0.01</v>
      </c>
      <c r="G5" s="88">
        <v>0.01</v>
      </c>
      <c r="H5" s="88">
        <v>0.01</v>
      </c>
      <c r="I5" s="89">
        <v>0.01</v>
      </c>
      <c r="J5" s="87">
        <v>0.01</v>
      </c>
      <c r="K5" s="88">
        <v>0.01</v>
      </c>
      <c r="L5" s="88">
        <v>0.01</v>
      </c>
      <c r="M5" s="88">
        <v>0.01</v>
      </c>
      <c r="N5" s="88">
        <v>0.01</v>
      </c>
      <c r="O5" s="90">
        <v>0.01</v>
      </c>
      <c r="P5" s="87">
        <v>0.01</v>
      </c>
      <c r="Q5" s="91">
        <v>0.01</v>
      </c>
      <c r="R5" s="88">
        <v>0.01</v>
      </c>
      <c r="S5" s="89">
        <v>0.01</v>
      </c>
      <c r="U5" s="76" t="s">
        <v>5</v>
      </c>
      <c r="V5" s="77">
        <f>IF(V3&gt;V4,V4,IF((V4-V3)&gt;75,(V4-75),V3))</f>
        <v>1160.75</v>
      </c>
      <c r="W5" s="77">
        <f>IF((W4-W3)&gt;75,(W4-75),W3)</f>
        <v>1160.75</v>
      </c>
      <c r="X5" s="78">
        <f>IF((X4-X3)&gt;75,(X4-75),X3)</f>
        <v>1160.75</v>
      </c>
      <c r="Y5" s="214"/>
    </row>
    <row r="6" spans="1:34" ht="13" x14ac:dyDescent="0.3">
      <c r="A6" s="92" t="s">
        <v>54</v>
      </c>
      <c r="B6" s="93">
        <f t="shared" ref="B6:I6" si="1">(($V$13*B3)+($V$19*B4))*(1+B5)</f>
        <v>8459.8516238972989</v>
      </c>
      <c r="C6" s="94">
        <f t="shared" si="1"/>
        <v>8459.8516238972989</v>
      </c>
      <c r="D6" s="94">
        <f t="shared" si="1"/>
        <v>8459.8516238972989</v>
      </c>
      <c r="E6" s="94">
        <f t="shared" si="1"/>
        <v>8459.8516238972989</v>
      </c>
      <c r="F6" s="94">
        <f t="shared" si="1"/>
        <v>8459.8516238972989</v>
      </c>
      <c r="G6" s="94">
        <f t="shared" si="1"/>
        <v>8459.8516238972989</v>
      </c>
      <c r="H6" s="94">
        <f t="shared" si="1"/>
        <v>8459.8516238972989</v>
      </c>
      <c r="I6" s="95">
        <f t="shared" si="1"/>
        <v>8459.8516238972989</v>
      </c>
      <c r="J6" s="93">
        <f t="shared" ref="J6:O6" si="2">(($W$13*J3)+($W$19*J4))*(1+J5)</f>
        <v>8343.9321500040005</v>
      </c>
      <c r="K6" s="94">
        <f t="shared" si="2"/>
        <v>8343.9321500040005</v>
      </c>
      <c r="L6" s="94">
        <f t="shared" si="2"/>
        <v>8343.9321500040005</v>
      </c>
      <c r="M6" s="94">
        <f t="shared" si="2"/>
        <v>8343.9321500040005</v>
      </c>
      <c r="N6" s="94">
        <f t="shared" si="2"/>
        <v>8343.9321500040005</v>
      </c>
      <c r="O6" s="96">
        <f t="shared" si="2"/>
        <v>8343.9321500040005</v>
      </c>
      <c r="P6" s="93">
        <f>(($X$13*P3)+($X$19*P4))*(1+P5)</f>
        <v>8575.7710977906008</v>
      </c>
      <c r="Q6" s="97">
        <f>(($X$13*Q3)+($X$19*Q4))*(1+Q5)</f>
        <v>8575.7710977906008</v>
      </c>
      <c r="R6" s="94">
        <f>(($X$13*R3)+($X$19*R4))*(1+R5)</f>
        <v>8575.7710977906008</v>
      </c>
      <c r="S6" s="95">
        <f>(($X$13*S3)+($X$19*S4))*(1+S5)</f>
        <v>8575.7710977906008</v>
      </c>
      <c r="U6" s="76" t="s">
        <v>55</v>
      </c>
      <c r="V6" s="177">
        <v>2.5000000000000001E-2</v>
      </c>
      <c r="W6" s="177">
        <v>0.04</v>
      </c>
      <c r="X6" s="98">
        <v>0.01</v>
      </c>
      <c r="Y6" s="215"/>
      <c r="AA6" s="64" t="s">
        <v>56</v>
      </c>
      <c r="AB6" s="64" t="s">
        <v>57</v>
      </c>
      <c r="AC6" s="64" t="s">
        <v>58</v>
      </c>
    </row>
    <row r="7" spans="1:34" x14ac:dyDescent="0.25">
      <c r="A7" s="92" t="s">
        <v>59</v>
      </c>
      <c r="B7" s="99">
        <f t="shared" ref="B7:S7" si="3">B8/$X$1</f>
        <v>22.153828130474992</v>
      </c>
      <c r="C7" s="5">
        <f t="shared" si="3"/>
        <v>28.783805892149996</v>
      </c>
      <c r="D7" s="5">
        <f t="shared" si="3"/>
        <v>32.470720354739989</v>
      </c>
      <c r="E7" s="5">
        <f t="shared" si="3"/>
        <v>62.88776467110749</v>
      </c>
      <c r="F7" s="5">
        <f t="shared" si="3"/>
        <v>61.448574376499991</v>
      </c>
      <c r="G7" s="5">
        <f t="shared" si="3"/>
        <v>64.682709869999996</v>
      </c>
      <c r="H7" s="5">
        <f t="shared" si="3"/>
        <v>77.61925184399999</v>
      </c>
      <c r="I7" s="100">
        <f t="shared" si="3"/>
        <v>80.853387337499981</v>
      </c>
      <c r="J7" s="99">
        <f t="shared" si="3"/>
        <v>21.690778584</v>
      </c>
      <c r="K7" s="5">
        <f t="shared" si="3"/>
        <v>21.850269603000001</v>
      </c>
      <c r="L7" s="5">
        <f t="shared" si="3"/>
        <v>45.773922453000004</v>
      </c>
      <c r="M7" s="5">
        <f t="shared" si="3"/>
        <v>60.606587220000002</v>
      </c>
      <c r="N7" s="5">
        <f t="shared" si="3"/>
        <v>63.796407600000002</v>
      </c>
      <c r="O7" s="101">
        <f t="shared" si="3"/>
        <v>76.555689120000011</v>
      </c>
      <c r="P7" s="99">
        <f t="shared" si="3"/>
        <v>22.457386657949996</v>
      </c>
      <c r="Q7" s="102">
        <f t="shared" si="3"/>
        <v>29.178210402300003</v>
      </c>
      <c r="R7" s="5">
        <f t="shared" si="3"/>
        <v>62.290561533000009</v>
      </c>
      <c r="S7" s="100">
        <f t="shared" si="3"/>
        <v>65.569012140000012</v>
      </c>
      <c r="U7" s="76" t="s">
        <v>60</v>
      </c>
      <c r="V7" s="77">
        <v>91.33</v>
      </c>
      <c r="W7" s="77">
        <f>V7</f>
        <v>91.33</v>
      </c>
      <c r="X7" s="78">
        <f>V7</f>
        <v>91.33</v>
      </c>
      <c r="Y7" s="214"/>
      <c r="AA7" s="103" t="s">
        <v>61</v>
      </c>
      <c r="AB7" s="79" t="s">
        <v>62</v>
      </c>
      <c r="AC7" s="88">
        <v>0</v>
      </c>
    </row>
    <row r="8" spans="1:34" x14ac:dyDescent="0.25">
      <c r="A8" s="86" t="s">
        <v>63</v>
      </c>
      <c r="B8" s="93">
        <f t="shared" ref="B8:S8" si="4">B6*(B2/1000)</f>
        <v>115.89996724739298</v>
      </c>
      <c r="C8" s="94">
        <f t="shared" si="4"/>
        <v>150.58535890537192</v>
      </c>
      <c r="D8" s="94">
        <f t="shared" si="4"/>
        <v>169.87382060785774</v>
      </c>
      <c r="E8" s="94">
        <f t="shared" si="4"/>
        <v>329.00362965336598</v>
      </c>
      <c r="F8" s="94">
        <f t="shared" si="4"/>
        <v>321.47436170809738</v>
      </c>
      <c r="G8" s="94">
        <f t="shared" si="4"/>
        <v>338.39406495589196</v>
      </c>
      <c r="H8" s="94">
        <f t="shared" si="4"/>
        <v>406.07287794707037</v>
      </c>
      <c r="I8" s="95">
        <f t="shared" si="4"/>
        <v>422.99258119486495</v>
      </c>
      <c r="J8" s="93">
        <f t="shared" si="4"/>
        <v>113.4774772400544</v>
      </c>
      <c r="K8" s="94">
        <f t="shared" si="4"/>
        <v>114.3118704550548</v>
      </c>
      <c r="L8" s="94">
        <f t="shared" si="4"/>
        <v>239.47085270511482</v>
      </c>
      <c r="M8" s="94">
        <f t="shared" si="4"/>
        <v>317.06942170015202</v>
      </c>
      <c r="N8" s="94">
        <f t="shared" si="4"/>
        <v>333.75728600016004</v>
      </c>
      <c r="O8" s="96">
        <f t="shared" si="4"/>
        <v>400.50874320019204</v>
      </c>
      <c r="P8" s="93">
        <f t="shared" si="4"/>
        <v>117.48806403973121</v>
      </c>
      <c r="Q8" s="97">
        <f t="shared" si="4"/>
        <v>152.6487255406727</v>
      </c>
      <c r="R8" s="94">
        <f t="shared" si="4"/>
        <v>325.87930171604285</v>
      </c>
      <c r="S8" s="95">
        <f t="shared" si="4"/>
        <v>343.03084391162406</v>
      </c>
      <c r="U8" s="76" t="s">
        <v>64</v>
      </c>
      <c r="V8" s="104">
        <v>0.06</v>
      </c>
      <c r="W8" s="104">
        <v>0.06</v>
      </c>
      <c r="X8" s="105">
        <v>0.06</v>
      </c>
      <c r="Y8" s="216"/>
      <c r="AA8" s="103" t="s">
        <v>61</v>
      </c>
      <c r="AB8" s="79" t="s">
        <v>65</v>
      </c>
      <c r="AC8" s="88">
        <v>0.05</v>
      </c>
    </row>
    <row r="9" spans="1:34" x14ac:dyDescent="0.25">
      <c r="A9" s="86" t="s">
        <v>66</v>
      </c>
      <c r="B9" s="93">
        <v>24.0242662</v>
      </c>
      <c r="C9" s="94">
        <v>29.1358122</v>
      </c>
      <c r="D9" s="94">
        <v>29.1358122</v>
      </c>
      <c r="E9" s="94">
        <v>47.956524571999999</v>
      </c>
      <c r="F9" s="94">
        <v>47.956524571999999</v>
      </c>
      <c r="G9" s="94">
        <v>47.956524571999999</v>
      </c>
      <c r="H9" s="94">
        <v>47.956524571999999</v>
      </c>
      <c r="I9" s="95">
        <v>47.956524571999999</v>
      </c>
      <c r="J9" s="93">
        <v>24.0242662</v>
      </c>
      <c r="K9" s="94">
        <v>24.0242662</v>
      </c>
      <c r="L9" s="94">
        <v>36.291976599999998</v>
      </c>
      <c r="M9" s="94">
        <v>47.956524571999999</v>
      </c>
      <c r="N9" s="94">
        <v>47.956524571999999</v>
      </c>
      <c r="O9" s="96">
        <v>47.956524571999999</v>
      </c>
      <c r="P9" s="93">
        <v>24.0242662</v>
      </c>
      <c r="Q9" s="97">
        <v>29.1358122</v>
      </c>
      <c r="R9" s="94">
        <v>47.956524571999999</v>
      </c>
      <c r="S9" s="95">
        <v>47.956524571999999</v>
      </c>
      <c r="U9" s="76" t="s">
        <v>67</v>
      </c>
      <c r="V9" s="104">
        <v>0.2</v>
      </c>
      <c r="W9" s="104">
        <v>0.2</v>
      </c>
      <c r="X9" s="105">
        <v>0.2</v>
      </c>
      <c r="Y9" s="216"/>
      <c r="AA9" s="103" t="s">
        <v>61</v>
      </c>
      <c r="AB9" s="79" t="s">
        <v>68</v>
      </c>
      <c r="AC9" s="88">
        <v>0.1</v>
      </c>
    </row>
    <row r="10" spans="1:34" x14ac:dyDescent="0.25">
      <c r="A10" s="86" t="s">
        <v>69</v>
      </c>
      <c r="B10" s="106"/>
      <c r="C10" s="103"/>
      <c r="D10" s="103"/>
      <c r="E10" s="103"/>
      <c r="F10" s="103"/>
      <c r="G10" s="103"/>
      <c r="H10" s="103"/>
      <c r="I10" s="107"/>
      <c r="J10" s="106"/>
      <c r="K10" s="103"/>
      <c r="L10" s="103"/>
      <c r="M10" s="103"/>
      <c r="N10" s="103"/>
      <c r="O10" s="108"/>
      <c r="P10" s="99"/>
      <c r="Q10" s="102">
        <v>2.4300000000000002</v>
      </c>
      <c r="R10" s="5"/>
      <c r="S10" s="100"/>
      <c r="U10" s="76" t="s">
        <v>13</v>
      </c>
      <c r="V10" s="77">
        <f>85</f>
        <v>85</v>
      </c>
      <c r="W10" s="77">
        <f>85</f>
        <v>85</v>
      </c>
      <c r="X10" s="78">
        <f>85</f>
        <v>85</v>
      </c>
      <c r="Y10" s="214"/>
      <c r="AA10" s="103" t="s">
        <v>61</v>
      </c>
      <c r="AB10" s="79" t="s">
        <v>70</v>
      </c>
      <c r="AC10" s="88">
        <v>0.15</v>
      </c>
    </row>
    <row r="11" spans="1:34" x14ac:dyDescent="0.25">
      <c r="A11" s="86" t="s">
        <v>71</v>
      </c>
      <c r="B11" s="109">
        <f t="shared" ref="B11:S11" si="5">$V$26</f>
        <v>1.6666666666666681E-3</v>
      </c>
      <c r="C11" s="110">
        <f t="shared" si="5"/>
        <v>1.6666666666666681E-3</v>
      </c>
      <c r="D11" s="110">
        <f t="shared" si="5"/>
        <v>1.6666666666666681E-3</v>
      </c>
      <c r="E11" s="110">
        <f t="shared" si="5"/>
        <v>1.6666666666666681E-3</v>
      </c>
      <c r="F11" s="110">
        <f t="shared" si="5"/>
        <v>1.6666666666666681E-3</v>
      </c>
      <c r="G11" s="110">
        <f t="shared" si="5"/>
        <v>1.6666666666666681E-3</v>
      </c>
      <c r="H11" s="110">
        <f t="shared" si="5"/>
        <v>1.6666666666666681E-3</v>
      </c>
      <c r="I11" s="111">
        <f t="shared" si="5"/>
        <v>1.6666666666666681E-3</v>
      </c>
      <c r="J11" s="109">
        <f t="shared" si="5"/>
        <v>1.6666666666666681E-3</v>
      </c>
      <c r="K11" s="110">
        <f t="shared" si="5"/>
        <v>1.6666666666666681E-3</v>
      </c>
      <c r="L11" s="110">
        <f t="shared" si="5"/>
        <v>1.6666666666666681E-3</v>
      </c>
      <c r="M11" s="110">
        <f t="shared" si="5"/>
        <v>1.6666666666666681E-3</v>
      </c>
      <c r="N11" s="110">
        <f t="shared" si="5"/>
        <v>1.6666666666666681E-3</v>
      </c>
      <c r="O11" s="112">
        <f t="shared" si="5"/>
        <v>1.6666666666666681E-3</v>
      </c>
      <c r="P11" s="109">
        <f t="shared" si="5"/>
        <v>1.6666666666666681E-3</v>
      </c>
      <c r="Q11" s="113">
        <f t="shared" si="5"/>
        <v>1.6666666666666681E-3</v>
      </c>
      <c r="R11" s="110">
        <f t="shared" si="5"/>
        <v>1.6666666666666681E-3</v>
      </c>
      <c r="S11" s="111">
        <f t="shared" si="5"/>
        <v>1.6666666666666681E-3</v>
      </c>
      <c r="U11" s="76" t="s">
        <v>89</v>
      </c>
      <c r="V11" s="221">
        <f>-25</f>
        <v>-25</v>
      </c>
      <c r="W11" s="221">
        <v>-25</v>
      </c>
      <c r="X11" s="222">
        <v>-25</v>
      </c>
      <c r="Y11" s="214"/>
    </row>
    <row r="12" spans="1:34" ht="13" x14ac:dyDescent="0.3">
      <c r="A12" s="62" t="s">
        <v>73</v>
      </c>
      <c r="B12" s="116">
        <f t="shared" ref="B12:S12" si="6">(B8+B9+(B10*$X$1))*(1+B11)</f>
        <v>140.15744050313862</v>
      </c>
      <c r="C12" s="117">
        <f t="shared" si="6"/>
        <v>180.02070639054756</v>
      </c>
      <c r="D12" s="117">
        <f t="shared" si="6"/>
        <v>199.34131552920417</v>
      </c>
      <c r="E12" s="117">
        <f t="shared" si="6"/>
        <v>377.58842114907492</v>
      </c>
      <c r="F12" s="117">
        <f t="shared" si="6"/>
        <v>370.04660442389752</v>
      </c>
      <c r="G12" s="117">
        <f t="shared" si="6"/>
        <v>386.99450717710511</v>
      </c>
      <c r="H12" s="117">
        <f t="shared" si="6"/>
        <v>454.78611818993551</v>
      </c>
      <c r="I12" s="118">
        <f t="shared" si="6"/>
        <v>471.73402094314304</v>
      </c>
      <c r="J12" s="119">
        <f t="shared" si="6"/>
        <v>137.73091301245447</v>
      </c>
      <c r="K12" s="120">
        <f t="shared" si="6"/>
        <v>138.56669688281323</v>
      </c>
      <c r="L12" s="120">
        <f t="shared" si="6"/>
        <v>276.22243402062333</v>
      </c>
      <c r="M12" s="120">
        <f t="shared" si="6"/>
        <v>365.63432284927228</v>
      </c>
      <c r="N12" s="120">
        <f t="shared" si="6"/>
        <v>382.35000025644695</v>
      </c>
      <c r="O12" s="121">
        <f t="shared" si="6"/>
        <v>449.21270988514567</v>
      </c>
      <c r="P12" s="122">
        <f t="shared" si="6"/>
        <v>141.74818412346411</v>
      </c>
      <c r="Q12" s="123">
        <f t="shared" si="6"/>
        <v>194.82148795024048</v>
      </c>
      <c r="R12" s="124">
        <f t="shared" si="6"/>
        <v>374.45888599852293</v>
      </c>
      <c r="S12" s="125">
        <f t="shared" si="6"/>
        <v>391.63901409776344</v>
      </c>
      <c r="U12" s="114" t="s">
        <v>72</v>
      </c>
      <c r="V12" s="178">
        <f>(((V5*(1-V6))+V7)*(1+(V8+V9)))+V10+V11</f>
        <v>1601.0571749999999</v>
      </c>
      <c r="W12" s="178">
        <f t="shared" ref="W12:X12" si="7">(((W5*(1-W6))+W7)*(1+(W8+W9)))+W10+W11</f>
        <v>1579.1189999999999</v>
      </c>
      <c r="X12" s="115">
        <f t="shared" si="7"/>
        <v>1622.9953499999999</v>
      </c>
      <c r="Y12" s="213" t="s">
        <v>102</v>
      </c>
    </row>
    <row r="13" spans="1:34" ht="13.5" thickBot="1" x14ac:dyDescent="0.35">
      <c r="A13" s="86" t="s">
        <v>75</v>
      </c>
      <c r="B13" s="129">
        <v>9.2499999999999999E-2</v>
      </c>
      <c r="C13" s="130">
        <v>9.2499999999999999E-2</v>
      </c>
      <c r="D13" s="130">
        <v>9.2499999999999999E-2</v>
      </c>
      <c r="E13" s="130">
        <v>9.2499999999999999E-2</v>
      </c>
      <c r="F13" s="130">
        <v>9.2499999999999999E-2</v>
      </c>
      <c r="G13" s="130">
        <v>9.2499999999999999E-2</v>
      </c>
      <c r="H13" s="130">
        <v>9.2499999999999999E-2</v>
      </c>
      <c r="I13" s="131">
        <v>9.2499999999999999E-2</v>
      </c>
      <c r="J13" s="129">
        <v>9.2499999999999999E-2</v>
      </c>
      <c r="K13" s="130">
        <v>9.2499999999999999E-2</v>
      </c>
      <c r="L13" s="130">
        <v>9.2499999999999999E-2</v>
      </c>
      <c r="M13" s="130">
        <v>9.2499999999999999E-2</v>
      </c>
      <c r="N13" s="130">
        <v>9.2499999999999999E-2</v>
      </c>
      <c r="O13" s="132">
        <v>9.2499999999999999E-2</v>
      </c>
      <c r="P13" s="129">
        <v>9.2499999999999999E-2</v>
      </c>
      <c r="Q13" s="133">
        <v>9.2499999999999999E-2</v>
      </c>
      <c r="R13" s="130">
        <v>9.2499999999999999E-2</v>
      </c>
      <c r="S13" s="131">
        <v>9.2499999999999999E-2</v>
      </c>
      <c r="U13" s="126" t="s">
        <v>74</v>
      </c>
      <c r="V13" s="127">
        <f>V12*$X$1</f>
        <v>8376.0907167299993</v>
      </c>
      <c r="W13" s="127">
        <f>W12*$X$1</f>
        <v>8261.3189603999999</v>
      </c>
      <c r="X13" s="128">
        <f>X12*$X$1</f>
        <v>8490.8624730600004</v>
      </c>
      <c r="Y13" s="217"/>
    </row>
    <row r="14" spans="1:34" ht="13" thickBot="1" x14ac:dyDescent="0.3">
      <c r="A14" s="86" t="s">
        <v>36</v>
      </c>
      <c r="B14" s="87">
        <v>0.22</v>
      </c>
      <c r="C14" s="88">
        <v>0.22</v>
      </c>
      <c r="D14" s="88">
        <v>0.22</v>
      </c>
      <c r="E14" s="88">
        <v>0.22</v>
      </c>
      <c r="F14" s="88">
        <v>0.22</v>
      </c>
      <c r="G14" s="88">
        <v>0.22</v>
      </c>
      <c r="H14" s="88">
        <v>0.22</v>
      </c>
      <c r="I14" s="89">
        <v>0.22</v>
      </c>
      <c r="J14" s="135">
        <v>0.20499999999999999</v>
      </c>
      <c r="K14" s="136">
        <v>0.20499999999999999</v>
      </c>
      <c r="L14" s="136">
        <v>0.20499999999999999</v>
      </c>
      <c r="M14" s="136">
        <v>0.20499999999999999</v>
      </c>
      <c r="N14" s="136">
        <v>0.20499999999999999</v>
      </c>
      <c r="O14" s="137">
        <v>0.20499999999999999</v>
      </c>
      <c r="P14" s="87">
        <v>0.18</v>
      </c>
      <c r="Q14" s="91">
        <v>0.18</v>
      </c>
      <c r="R14" s="88">
        <v>0.18</v>
      </c>
      <c r="S14" s="89">
        <v>0.18</v>
      </c>
      <c r="V14" s="134"/>
      <c r="W14" s="134"/>
      <c r="X14" s="134"/>
      <c r="Y14" s="134"/>
    </row>
    <row r="15" spans="1:34" ht="13" x14ac:dyDescent="0.3">
      <c r="A15" s="62" t="s">
        <v>76</v>
      </c>
      <c r="B15" s="139">
        <f>(B12/(1-B13))/(1-B14)</f>
        <v>198.00443667887069</v>
      </c>
      <c r="C15" s="140">
        <f t="shared" ref="C15:S15" si="8">(C12/(1-C13))/(1-C14)</f>
        <v>254.32041589397124</v>
      </c>
      <c r="D15" s="140">
        <f t="shared" si="8"/>
        <v>281.61519464463396</v>
      </c>
      <c r="E15" s="140">
        <f t="shared" si="8"/>
        <v>533.42999385332337</v>
      </c>
      <c r="F15" s="140">
        <f t="shared" si="8"/>
        <v>522.77545302521366</v>
      </c>
      <c r="G15" s="140">
        <f t="shared" si="8"/>
        <v>546.71824140298804</v>
      </c>
      <c r="H15" s="140">
        <f t="shared" si="8"/>
        <v>642.48939491408566</v>
      </c>
      <c r="I15" s="141">
        <f t="shared" si="8"/>
        <v>666.43218329185993</v>
      </c>
      <c r="J15" s="139">
        <f t="shared" si="8"/>
        <v>190.90515863604062</v>
      </c>
      <c r="K15" s="140">
        <f t="shared" si="8"/>
        <v>192.06361644966057</v>
      </c>
      <c r="L15" s="140">
        <f t="shared" si="8"/>
        <v>382.86457580348713</v>
      </c>
      <c r="M15" s="140">
        <f t="shared" si="8"/>
        <v>506.79601898819726</v>
      </c>
      <c r="N15" s="140">
        <f t="shared" si="8"/>
        <v>529.96517526059483</v>
      </c>
      <c r="O15" s="142">
        <f t="shared" si="8"/>
        <v>622.64180035018546</v>
      </c>
      <c r="P15" s="139">
        <f t="shared" si="8"/>
        <v>190.48334895311982</v>
      </c>
      <c r="Q15" s="143">
        <f t="shared" si="8"/>
        <v>261.80405556707717</v>
      </c>
      <c r="R15" s="140">
        <f t="shared" si="8"/>
        <v>503.20350198014233</v>
      </c>
      <c r="S15" s="141">
        <f t="shared" si="8"/>
        <v>526.29041738596175</v>
      </c>
      <c r="U15" s="138" t="s">
        <v>52</v>
      </c>
      <c r="V15" s="67" t="s">
        <v>47</v>
      </c>
      <c r="W15" s="68" t="s">
        <v>48</v>
      </c>
      <c r="X15" s="69" t="s">
        <v>49</v>
      </c>
      <c r="Y15" s="212"/>
    </row>
    <row r="16" spans="1:34" x14ac:dyDescent="0.25">
      <c r="A16" s="76"/>
      <c r="B16" s="146"/>
      <c r="I16" s="147"/>
      <c r="J16" s="146"/>
      <c r="P16" s="106"/>
      <c r="Q16" s="148"/>
      <c r="R16" s="103"/>
      <c r="S16" s="107"/>
      <c r="U16" s="76" t="s">
        <v>77</v>
      </c>
      <c r="V16" s="144">
        <f>3.4*1000</f>
        <v>3400</v>
      </c>
      <c r="W16" s="144">
        <f>3.75*1000</f>
        <v>3750</v>
      </c>
      <c r="X16" s="145">
        <f>V16</f>
        <v>3400</v>
      </c>
      <c r="Y16" s="218"/>
    </row>
    <row r="17" spans="1:27" x14ac:dyDescent="0.25">
      <c r="A17" s="86" t="s">
        <v>75</v>
      </c>
      <c r="B17" s="129">
        <v>9.2499999999999999E-2</v>
      </c>
      <c r="C17" s="130">
        <v>9.2499999999999999E-2</v>
      </c>
      <c r="D17" s="130">
        <v>9.2499999999999999E-2</v>
      </c>
      <c r="E17" s="130">
        <v>9.2499999999999999E-2</v>
      </c>
      <c r="F17" s="130">
        <v>9.2499999999999999E-2</v>
      </c>
      <c r="G17" s="130">
        <v>9.2499999999999999E-2</v>
      </c>
      <c r="H17" s="130">
        <v>9.2499999999999999E-2</v>
      </c>
      <c r="I17" s="131">
        <v>9.2499999999999999E-2</v>
      </c>
      <c r="J17" s="129">
        <v>9.2499999999999999E-2</v>
      </c>
      <c r="K17" s="130">
        <v>9.2499999999999999E-2</v>
      </c>
      <c r="L17" s="130">
        <v>9.2499999999999999E-2</v>
      </c>
      <c r="M17" s="130">
        <v>9.2499999999999999E-2</v>
      </c>
      <c r="N17" s="130">
        <v>9.2499999999999999E-2</v>
      </c>
      <c r="O17" s="132">
        <v>9.2499999999999999E-2</v>
      </c>
      <c r="P17" s="129">
        <v>9.2499999999999999E-2</v>
      </c>
      <c r="Q17" s="133">
        <v>9.2499999999999999E-2</v>
      </c>
      <c r="R17" s="130">
        <v>9.2499999999999999E-2</v>
      </c>
      <c r="S17" s="131">
        <v>9.2499999999999999E-2</v>
      </c>
      <c r="U17" s="76" t="s">
        <v>78</v>
      </c>
      <c r="V17" s="104">
        <v>0.7</v>
      </c>
      <c r="W17" s="104">
        <v>0.7</v>
      </c>
      <c r="X17" s="105">
        <v>0.7</v>
      </c>
      <c r="Y17" s="216"/>
    </row>
    <row r="18" spans="1:27" x14ac:dyDescent="0.25">
      <c r="A18" s="86" t="s">
        <v>36</v>
      </c>
      <c r="B18" s="87">
        <v>0.12</v>
      </c>
      <c r="C18" s="88">
        <v>0.12</v>
      </c>
      <c r="D18" s="88">
        <v>0.12</v>
      </c>
      <c r="E18" s="88">
        <v>0.12</v>
      </c>
      <c r="F18" s="88">
        <v>0.12</v>
      </c>
      <c r="G18" s="88">
        <v>0.12</v>
      </c>
      <c r="H18" s="88">
        <v>0.12</v>
      </c>
      <c r="I18" s="89">
        <v>0.12</v>
      </c>
      <c r="J18" s="87">
        <v>0.12</v>
      </c>
      <c r="K18" s="88">
        <v>0.12</v>
      </c>
      <c r="L18" s="88">
        <v>0.12</v>
      </c>
      <c r="M18" s="88">
        <v>0.12</v>
      </c>
      <c r="N18" s="88">
        <v>0.12</v>
      </c>
      <c r="O18" s="90">
        <v>0.12</v>
      </c>
      <c r="P18" s="87">
        <v>0.12</v>
      </c>
      <c r="Q18" s="91">
        <v>0.12</v>
      </c>
      <c r="R18" s="88">
        <v>0.12</v>
      </c>
      <c r="S18" s="89">
        <v>0.12</v>
      </c>
      <c r="U18" s="76" t="s">
        <v>79</v>
      </c>
      <c r="V18" s="144">
        <v>2476.738275748</v>
      </c>
      <c r="W18" s="144">
        <v>2476.738275748</v>
      </c>
      <c r="X18" s="145">
        <v>2476.738275748</v>
      </c>
      <c r="Y18" s="218"/>
    </row>
    <row r="19" spans="1:27" ht="13" x14ac:dyDescent="0.3">
      <c r="A19" s="62" t="s">
        <v>76</v>
      </c>
      <c r="B19" s="139">
        <f>(B12/(1-B17))/(1-B18)</f>
        <v>175.50393251081721</v>
      </c>
      <c r="C19" s="140">
        <f t="shared" ref="C19:S19" si="9">(C12/(1-C17))/(1-C18)</f>
        <v>225.4203686332927</v>
      </c>
      <c r="D19" s="140">
        <f t="shared" si="9"/>
        <v>249.61346798047103</v>
      </c>
      <c r="E19" s="140">
        <f t="shared" si="9"/>
        <v>472.81294909726387</v>
      </c>
      <c r="F19" s="140">
        <f t="shared" si="9"/>
        <v>463.36915154507579</v>
      </c>
      <c r="G19" s="140">
        <f t="shared" si="9"/>
        <v>484.59116851628494</v>
      </c>
      <c r="H19" s="140">
        <f t="shared" si="9"/>
        <v>569.4792364011214</v>
      </c>
      <c r="I19" s="141">
        <f t="shared" si="9"/>
        <v>590.70125337233037</v>
      </c>
      <c r="J19" s="139">
        <f t="shared" si="9"/>
        <v>172.46545581324125</v>
      </c>
      <c r="K19" s="140">
        <f t="shared" si="9"/>
        <v>173.51201713350019</v>
      </c>
      <c r="L19" s="140">
        <f t="shared" si="9"/>
        <v>345.88333836792305</v>
      </c>
      <c r="M19" s="140">
        <f t="shared" si="9"/>
        <v>457.84413079047368</v>
      </c>
      <c r="N19" s="140">
        <f t="shared" si="9"/>
        <v>478.77535719565105</v>
      </c>
      <c r="O19" s="142">
        <f t="shared" si="9"/>
        <v>562.50026281636076</v>
      </c>
      <c r="P19" s="139">
        <f t="shared" si="9"/>
        <v>177.49584788813436</v>
      </c>
      <c r="Q19" s="143">
        <f t="shared" si="9"/>
        <v>243.95377905114012</v>
      </c>
      <c r="R19" s="140">
        <f t="shared" si="9"/>
        <v>468.89417229967813</v>
      </c>
      <c r="S19" s="141">
        <f t="shared" si="9"/>
        <v>490.40697983691888</v>
      </c>
      <c r="U19" s="149" t="s">
        <v>80</v>
      </c>
      <c r="V19" s="150">
        <f>(V16/V17)+V18</f>
        <v>7333.8811328908578</v>
      </c>
      <c r="W19" s="150">
        <f t="shared" ref="W19:X19" si="10">(W16/W17)+W18</f>
        <v>7833.8811328908578</v>
      </c>
      <c r="X19" s="151">
        <f t="shared" si="10"/>
        <v>7333.8811328908578</v>
      </c>
      <c r="Y19" s="219"/>
      <c r="AA19" s="155"/>
    </row>
    <row r="20" spans="1:27" ht="13.5" thickBot="1" x14ac:dyDescent="0.35">
      <c r="A20" s="76"/>
      <c r="B20" s="146"/>
      <c r="I20" s="147"/>
      <c r="J20" s="156"/>
      <c r="K20" s="157"/>
      <c r="L20" s="157"/>
      <c r="M20" s="157"/>
      <c r="N20" s="157"/>
      <c r="O20" s="157"/>
      <c r="P20" s="156"/>
      <c r="Q20" s="157"/>
      <c r="R20" s="157"/>
      <c r="S20" s="158"/>
      <c r="U20" s="152" t="s">
        <v>81</v>
      </c>
      <c r="V20" s="153">
        <f>V19/$X$1</f>
        <v>1401.8428650682119</v>
      </c>
      <c r="W20" s="153">
        <f>W19/$X$1</f>
        <v>1497.4159211122519</v>
      </c>
      <c r="X20" s="154">
        <f>X19/$X$1</f>
        <v>1401.8428650682119</v>
      </c>
      <c r="Y20" s="220"/>
      <c r="AA20" s="159"/>
    </row>
    <row r="21" spans="1:27" x14ac:dyDescent="0.25">
      <c r="A21" s="86" t="s">
        <v>75</v>
      </c>
      <c r="B21" s="129">
        <v>9.2499999999999999E-2</v>
      </c>
      <c r="C21" s="130">
        <v>9.2499999999999999E-2</v>
      </c>
      <c r="D21" s="130">
        <v>9.2499999999999999E-2</v>
      </c>
      <c r="E21" s="130">
        <v>9.2499999999999999E-2</v>
      </c>
      <c r="F21" s="130">
        <v>9.2499999999999999E-2</v>
      </c>
      <c r="G21" s="130">
        <v>9.2499999999999999E-2</v>
      </c>
      <c r="H21" s="130">
        <v>9.2499999999999999E-2</v>
      </c>
      <c r="I21" s="131">
        <v>9.2499999999999999E-2</v>
      </c>
      <c r="J21" s="76"/>
      <c r="K21"/>
      <c r="L21" s="103" t="s">
        <v>82</v>
      </c>
      <c r="M21"/>
      <c r="N21"/>
      <c r="O21"/>
      <c r="P21" s="129">
        <v>9.2499999999999999E-2</v>
      </c>
      <c r="Q21" s="133">
        <v>9.2499999999999999E-2</v>
      </c>
      <c r="R21" s="130">
        <v>9.2499999999999999E-2</v>
      </c>
      <c r="S21" s="131">
        <v>9.2499999999999999E-2</v>
      </c>
      <c r="V21" s="196">
        <f>(V19-V13)/V13</f>
        <v>-0.1244267306892322</v>
      </c>
      <c r="W21" s="196">
        <f t="shared" ref="W21:X21" si="11">(W19-W13)/W13</f>
        <v>-5.1739659194619245E-2</v>
      </c>
      <c r="X21" s="196">
        <f t="shared" si="11"/>
        <v>-0.13626193379530513</v>
      </c>
      <c r="Y21" s="196"/>
    </row>
    <row r="22" spans="1:27" x14ac:dyDescent="0.25">
      <c r="A22" s="86" t="s">
        <v>36</v>
      </c>
      <c r="B22" s="87">
        <v>7.0000000000000007E-2</v>
      </c>
      <c r="C22" s="88">
        <v>7.0000000000000007E-2</v>
      </c>
      <c r="D22" s="88">
        <v>7.0000000000000007E-2</v>
      </c>
      <c r="E22" s="88">
        <v>7.0000000000000007E-2</v>
      </c>
      <c r="F22" s="88">
        <v>7.0000000000000007E-2</v>
      </c>
      <c r="G22" s="88">
        <v>7.0000000000000007E-2</v>
      </c>
      <c r="H22" s="88">
        <v>7.0000000000000007E-2</v>
      </c>
      <c r="I22" s="89">
        <v>7.0000000000000007E-2</v>
      </c>
      <c r="J22" s="76"/>
      <c r="K22"/>
      <c r="L22" s="94">
        <f>L12*(1+12%)</f>
        <v>309.36912610309815</v>
      </c>
      <c r="M22"/>
      <c r="N22"/>
      <c r="O22"/>
      <c r="P22" s="87">
        <v>7.0000000000000007E-2</v>
      </c>
      <c r="Q22" s="91">
        <v>7.0000000000000007E-2</v>
      </c>
      <c r="R22" s="88">
        <v>7.0000000000000007E-2</v>
      </c>
      <c r="S22" s="89">
        <v>7.0000000000000007E-2</v>
      </c>
      <c r="U22" s="160" t="s">
        <v>83</v>
      </c>
      <c r="V22" s="103">
        <v>120</v>
      </c>
    </row>
    <row r="23" spans="1:27" ht="13.5" thickBot="1" x14ac:dyDescent="0.35">
      <c r="A23" s="163" t="s">
        <v>76</v>
      </c>
      <c r="B23" s="164">
        <f>(B12/(1-B21))/(1-B22)</f>
        <v>166.06823721453674</v>
      </c>
      <c r="C23" s="165">
        <f t="shared" ref="C23:I23" si="12">(C12/(1-C21))/(1-C22)</f>
        <v>213.30099397558882</v>
      </c>
      <c r="D23" s="165">
        <f t="shared" si="12"/>
        <v>236.19338905678981</v>
      </c>
      <c r="E23" s="165">
        <f t="shared" si="12"/>
        <v>447.39289807052927</v>
      </c>
      <c r="F23" s="165">
        <f t="shared" si="12"/>
        <v>438.45683156953407</v>
      </c>
      <c r="G23" s="165">
        <f t="shared" si="12"/>
        <v>458.53787988637714</v>
      </c>
      <c r="H23" s="165">
        <f t="shared" si="12"/>
        <v>538.86207315374929</v>
      </c>
      <c r="I23" s="166">
        <f t="shared" si="12"/>
        <v>558.94312147059225</v>
      </c>
      <c r="J23" s="167"/>
      <c r="K23" s="168"/>
      <c r="L23" s="168"/>
      <c r="M23" s="168"/>
      <c r="N23" s="168"/>
      <c r="O23" s="168"/>
      <c r="P23" s="164">
        <f>(P12/(1-P21))/(1-P22)</f>
        <v>167.95306036726694</v>
      </c>
      <c r="Q23" s="195">
        <f t="shared" ref="Q23:S23" si="13">(Q12/(1-Q21))/(1-Q22)</f>
        <v>230.83798447849819</v>
      </c>
      <c r="R23" s="165">
        <f t="shared" si="13"/>
        <v>443.6848081975449</v>
      </c>
      <c r="S23" s="166">
        <f t="shared" si="13"/>
        <v>464.04101317902007</v>
      </c>
      <c r="U23" s="161" t="s">
        <v>84</v>
      </c>
      <c r="V23" s="162">
        <v>0.14749999999999999</v>
      </c>
    </row>
    <row r="24" spans="1:27" ht="13" thickBot="1" x14ac:dyDescent="0.3">
      <c r="U24" s="161" t="s">
        <v>85</v>
      </c>
      <c r="V24" s="162">
        <v>0.14249999999999999</v>
      </c>
      <c r="W24" s="169"/>
      <c r="X24" s="170"/>
      <c r="Y24" s="170"/>
      <c r="AA24" s="77"/>
    </row>
    <row r="25" spans="1:27" ht="13" x14ac:dyDescent="0.3">
      <c r="A25" s="47" t="s">
        <v>40</v>
      </c>
      <c r="B25" s="48" t="s">
        <v>41</v>
      </c>
      <c r="C25" s="49" t="s">
        <v>41</v>
      </c>
      <c r="D25" s="49" t="s">
        <v>41</v>
      </c>
      <c r="E25" s="49" t="s">
        <v>41</v>
      </c>
      <c r="F25" s="49" t="s">
        <v>41</v>
      </c>
      <c r="G25" s="49" t="s">
        <v>41</v>
      </c>
      <c r="H25" s="49" t="s">
        <v>41</v>
      </c>
      <c r="I25" s="50" t="s">
        <v>41</v>
      </c>
      <c r="J25" s="51" t="s">
        <v>42</v>
      </c>
      <c r="K25" s="52" t="s">
        <v>42</v>
      </c>
      <c r="L25" s="52" t="s">
        <v>42</v>
      </c>
      <c r="M25" s="52" t="s">
        <v>42</v>
      </c>
      <c r="N25" s="52" t="s">
        <v>42</v>
      </c>
      <c r="O25" s="172" t="s">
        <v>42</v>
      </c>
      <c r="P25" s="54" t="s">
        <v>43</v>
      </c>
      <c r="Q25" s="55" t="s">
        <v>43</v>
      </c>
      <c r="R25" s="56" t="s">
        <v>43</v>
      </c>
      <c r="S25" s="57" t="s">
        <v>43</v>
      </c>
      <c r="U25" s="161" t="s">
        <v>86</v>
      </c>
      <c r="V25" s="162">
        <f>IF((V23-V24)&lt;0,0,(V23-V24))</f>
        <v>5.0000000000000044E-3</v>
      </c>
      <c r="W25" s="77"/>
      <c r="X25" s="171"/>
      <c r="Y25" s="171"/>
    </row>
    <row r="26" spans="1:27" ht="13" x14ac:dyDescent="0.3">
      <c r="A26" s="62" t="s">
        <v>45</v>
      </c>
      <c r="B26" s="63">
        <v>13.7</v>
      </c>
      <c r="C26" s="64">
        <v>17.8</v>
      </c>
      <c r="D26" s="64">
        <v>20.079999999999998</v>
      </c>
      <c r="E26" s="64">
        <v>38.89</v>
      </c>
      <c r="F26" s="64">
        <v>38</v>
      </c>
      <c r="G26" s="64">
        <v>40</v>
      </c>
      <c r="H26" s="64">
        <v>48</v>
      </c>
      <c r="I26" s="65">
        <v>50</v>
      </c>
      <c r="J26" s="63">
        <v>13.6</v>
      </c>
      <c r="K26" s="64">
        <v>13.7</v>
      </c>
      <c r="L26" s="64">
        <v>28.7</v>
      </c>
      <c r="M26" s="64">
        <v>38</v>
      </c>
      <c r="N26" s="64">
        <v>40</v>
      </c>
      <c r="O26" s="65">
        <v>48</v>
      </c>
      <c r="P26" s="63">
        <v>13.7</v>
      </c>
      <c r="Q26" s="18">
        <v>17.8</v>
      </c>
      <c r="R26" s="64">
        <v>38</v>
      </c>
      <c r="S26" s="65">
        <v>40</v>
      </c>
      <c r="U26" s="173" t="s">
        <v>87</v>
      </c>
      <c r="V26" s="174">
        <f>(V25/360)*V22</f>
        <v>1.6666666666666681E-3</v>
      </c>
      <c r="X26" s="170"/>
      <c r="Y26" s="170"/>
    </row>
    <row r="27" spans="1:27" x14ac:dyDescent="0.25">
      <c r="A27" s="70" t="s">
        <v>46</v>
      </c>
      <c r="B27" s="71">
        <f t="shared" ref="B27:S27" si="14">1-B28</f>
        <v>0</v>
      </c>
      <c r="C27" s="72">
        <f t="shared" si="14"/>
        <v>0</v>
      </c>
      <c r="D27" s="72">
        <f t="shared" si="14"/>
        <v>0</v>
      </c>
      <c r="E27" s="72">
        <f t="shared" si="14"/>
        <v>0</v>
      </c>
      <c r="F27" s="72">
        <f t="shared" si="14"/>
        <v>0</v>
      </c>
      <c r="G27" s="72">
        <f t="shared" si="14"/>
        <v>0</v>
      </c>
      <c r="H27" s="72">
        <f t="shared" si="14"/>
        <v>0</v>
      </c>
      <c r="I27" s="73">
        <f t="shared" si="14"/>
        <v>0</v>
      </c>
      <c r="J27" s="71">
        <f t="shared" si="14"/>
        <v>0</v>
      </c>
      <c r="K27" s="72">
        <f t="shared" si="14"/>
        <v>0</v>
      </c>
      <c r="L27" s="72">
        <f t="shared" si="14"/>
        <v>0</v>
      </c>
      <c r="M27" s="72">
        <f t="shared" si="14"/>
        <v>0</v>
      </c>
      <c r="N27" s="72">
        <f t="shared" si="14"/>
        <v>0</v>
      </c>
      <c r="O27" s="73">
        <f t="shared" si="14"/>
        <v>0</v>
      </c>
      <c r="P27" s="71">
        <f t="shared" si="14"/>
        <v>0</v>
      </c>
      <c r="Q27" s="75">
        <f t="shared" si="14"/>
        <v>0</v>
      </c>
      <c r="R27" s="72">
        <f t="shared" si="14"/>
        <v>0</v>
      </c>
      <c r="S27" s="73">
        <f t="shared" si="14"/>
        <v>0</v>
      </c>
      <c r="W27" s="169"/>
    </row>
    <row r="28" spans="1:27" x14ac:dyDescent="0.25">
      <c r="A28" s="80" t="s">
        <v>52</v>
      </c>
      <c r="B28" s="81">
        <v>1</v>
      </c>
      <c r="C28" s="82">
        <v>1</v>
      </c>
      <c r="D28" s="82">
        <v>1</v>
      </c>
      <c r="E28" s="82">
        <v>1</v>
      </c>
      <c r="F28" s="82">
        <v>1</v>
      </c>
      <c r="G28" s="82">
        <v>1</v>
      </c>
      <c r="H28" s="82">
        <v>1</v>
      </c>
      <c r="I28" s="83">
        <v>1</v>
      </c>
      <c r="J28" s="81">
        <v>1</v>
      </c>
      <c r="K28" s="82">
        <v>1</v>
      </c>
      <c r="L28" s="82">
        <v>1</v>
      </c>
      <c r="M28" s="82">
        <v>1</v>
      </c>
      <c r="N28" s="82">
        <v>1</v>
      </c>
      <c r="O28" s="83">
        <v>1</v>
      </c>
      <c r="P28" s="81">
        <v>1</v>
      </c>
      <c r="Q28" s="85">
        <v>1</v>
      </c>
      <c r="R28" s="82">
        <v>1</v>
      </c>
      <c r="S28" s="83">
        <v>1</v>
      </c>
      <c r="V28" s="170"/>
    </row>
    <row r="29" spans="1:27" x14ac:dyDescent="0.25">
      <c r="A29" s="86" t="s">
        <v>32</v>
      </c>
      <c r="B29" s="87">
        <v>0.01</v>
      </c>
      <c r="C29" s="88">
        <v>0.01</v>
      </c>
      <c r="D29" s="88">
        <v>0.01</v>
      </c>
      <c r="E29" s="88">
        <v>0.01</v>
      </c>
      <c r="F29" s="88">
        <v>0.01</v>
      </c>
      <c r="G29" s="88">
        <v>0.01</v>
      </c>
      <c r="H29" s="88">
        <v>0.01</v>
      </c>
      <c r="I29" s="89">
        <v>0.01</v>
      </c>
      <c r="J29" s="87">
        <v>0.01</v>
      </c>
      <c r="K29" s="88">
        <v>0.01</v>
      </c>
      <c r="L29" s="88">
        <v>0.01</v>
      </c>
      <c r="M29" s="88">
        <v>0.01</v>
      </c>
      <c r="N29" s="88">
        <v>0.01</v>
      </c>
      <c r="O29" s="89">
        <v>0.01</v>
      </c>
      <c r="P29" s="87">
        <v>0.01</v>
      </c>
      <c r="Q29" s="91">
        <v>0.01</v>
      </c>
      <c r="R29" s="88">
        <v>0.01</v>
      </c>
      <c r="S29" s="89">
        <v>0.01</v>
      </c>
    </row>
    <row r="30" spans="1:27" x14ac:dyDescent="0.25">
      <c r="A30" s="92" t="s">
        <v>54</v>
      </c>
      <c r="B30" s="93">
        <f t="shared" ref="B30:I30" si="15">(($V$13*B27)+($V$19*B28))*(1+B29)</f>
        <v>7407.2199442197661</v>
      </c>
      <c r="C30" s="94">
        <f t="shared" si="15"/>
        <v>7407.2199442197661</v>
      </c>
      <c r="D30" s="94">
        <f t="shared" si="15"/>
        <v>7407.2199442197661</v>
      </c>
      <c r="E30" s="94">
        <f t="shared" si="15"/>
        <v>7407.2199442197661</v>
      </c>
      <c r="F30" s="94">
        <f t="shared" si="15"/>
        <v>7407.2199442197661</v>
      </c>
      <c r="G30" s="94">
        <f t="shared" si="15"/>
        <v>7407.2199442197661</v>
      </c>
      <c r="H30" s="94">
        <f t="shared" si="15"/>
        <v>7407.2199442197661</v>
      </c>
      <c r="I30" s="95">
        <f t="shared" si="15"/>
        <v>7407.2199442197661</v>
      </c>
      <c r="J30" s="93">
        <f>(($W$13*J27)+($W$19*J28))*(1+J29)</f>
        <v>7912.2199442197661</v>
      </c>
      <c r="K30" s="94">
        <f t="shared" ref="K30:O30" si="16">(($W$13*K27)+($W$19*K28))*(1+K29)</f>
        <v>7912.2199442197661</v>
      </c>
      <c r="L30" s="94">
        <f t="shared" si="16"/>
        <v>7912.2199442197661</v>
      </c>
      <c r="M30" s="94">
        <f t="shared" si="16"/>
        <v>7912.2199442197661</v>
      </c>
      <c r="N30" s="94">
        <f t="shared" si="16"/>
        <v>7912.2199442197661</v>
      </c>
      <c r="O30" s="95">
        <f t="shared" si="16"/>
        <v>7912.2199442197661</v>
      </c>
      <c r="P30" s="93">
        <f>(($X$13*P27)+($X$19*P28))*(1+P29)</f>
        <v>7407.2199442197661</v>
      </c>
      <c r="Q30" s="97">
        <f>(($X$13*Q27)+($X$19*Q28))*(1+Q29)</f>
        <v>7407.2199442197661</v>
      </c>
      <c r="R30" s="94">
        <f>(($X$13*R27)+($X$19*R28))*(1+R29)</f>
        <v>7407.2199442197661</v>
      </c>
      <c r="S30" s="95">
        <f>(($X$13*S27)+($X$19*S28))*(1+S29)</f>
        <v>7407.2199442197661</v>
      </c>
      <c r="V30" s="169"/>
    </row>
    <row r="31" spans="1:27" x14ac:dyDescent="0.25">
      <c r="A31" s="92" t="s">
        <v>59</v>
      </c>
      <c r="B31" s="99">
        <f t="shared" ref="B31:S31" si="17">B32/$X$1</f>
        <v>19.397299723948844</v>
      </c>
      <c r="C31" s="5">
        <f t="shared" si="17"/>
        <v>25.202331028196316</v>
      </c>
      <c r="D31" s="5">
        <f t="shared" si="17"/>
        <v>28.430494777875385</v>
      </c>
      <c r="E31" s="5">
        <f t="shared" si="17"/>
        <v>55.062845712727785</v>
      </c>
      <c r="F31" s="5">
        <f t="shared" si="17"/>
        <v>53.802729161317963</v>
      </c>
      <c r="G31" s="5">
        <f t="shared" si="17"/>
        <v>56.634451748755758</v>
      </c>
      <c r="H31" s="5">
        <f t="shared" si="17"/>
        <v>67.961342098506918</v>
      </c>
      <c r="I31" s="100">
        <f t="shared" si="17"/>
        <v>70.793064685944699</v>
      </c>
      <c r="J31" s="99">
        <f t="shared" si="17"/>
        <v>20.568505092397892</v>
      </c>
      <c r="K31" s="5">
        <f t="shared" si="17"/>
        <v>20.71974410043023</v>
      </c>
      <c r="L31" s="5">
        <f t="shared" si="17"/>
        <v>43.405595305280848</v>
      </c>
      <c r="M31" s="5">
        <f t="shared" si="17"/>
        <v>57.470823052288232</v>
      </c>
      <c r="N31" s="5">
        <f t="shared" si="17"/>
        <v>60.495603212934981</v>
      </c>
      <c r="O31" s="100">
        <f t="shared" si="17"/>
        <v>72.594723855521977</v>
      </c>
      <c r="P31" s="99">
        <f t="shared" si="17"/>
        <v>19.397299723948844</v>
      </c>
      <c r="Q31" s="102">
        <f t="shared" si="17"/>
        <v>25.202331028196316</v>
      </c>
      <c r="R31" s="5">
        <f t="shared" si="17"/>
        <v>53.802729161317963</v>
      </c>
      <c r="S31" s="100">
        <f t="shared" si="17"/>
        <v>56.634451748755758</v>
      </c>
    </row>
    <row r="32" spans="1:27" x14ac:dyDescent="0.25">
      <c r="A32" s="86" t="s">
        <v>63</v>
      </c>
      <c r="B32" s="93">
        <f t="shared" ref="B32:S32" si="18">B30*(B26/1000)</f>
        <v>101.47891323581078</v>
      </c>
      <c r="C32" s="94">
        <f t="shared" si="18"/>
        <v>131.84851500711184</v>
      </c>
      <c r="D32" s="94">
        <f t="shared" si="18"/>
        <v>148.73697647993288</v>
      </c>
      <c r="E32" s="94">
        <f t="shared" si="18"/>
        <v>288.06678363070671</v>
      </c>
      <c r="F32" s="94">
        <f t="shared" si="18"/>
        <v>281.47435788035108</v>
      </c>
      <c r="G32" s="94">
        <f t="shared" si="18"/>
        <v>296.28879776879063</v>
      </c>
      <c r="H32" s="94">
        <f t="shared" si="18"/>
        <v>355.54655732254878</v>
      </c>
      <c r="I32" s="95">
        <f t="shared" si="18"/>
        <v>370.36099721098833</v>
      </c>
      <c r="J32" s="93">
        <f t="shared" si="18"/>
        <v>107.60619124138881</v>
      </c>
      <c r="K32" s="94">
        <f t="shared" si="18"/>
        <v>108.39741323581079</v>
      </c>
      <c r="L32" s="94">
        <f t="shared" si="18"/>
        <v>227.08071239910728</v>
      </c>
      <c r="M32" s="94">
        <f t="shared" si="18"/>
        <v>300.66435788035113</v>
      </c>
      <c r="N32" s="94">
        <f t="shared" si="18"/>
        <v>316.48879776879068</v>
      </c>
      <c r="O32" s="95">
        <f t="shared" si="18"/>
        <v>379.78655732254879</v>
      </c>
      <c r="P32" s="93">
        <f t="shared" si="18"/>
        <v>101.47891323581078</v>
      </c>
      <c r="Q32" s="97">
        <f t="shared" si="18"/>
        <v>131.84851500711184</v>
      </c>
      <c r="R32" s="94">
        <f t="shared" si="18"/>
        <v>281.47435788035108</v>
      </c>
      <c r="S32" s="95">
        <f t="shared" si="18"/>
        <v>296.28879776879063</v>
      </c>
    </row>
    <row r="33" spans="1:19" x14ac:dyDescent="0.25">
      <c r="A33" s="86" t="s">
        <v>66</v>
      </c>
      <c r="B33" s="93">
        <v>24.0242662</v>
      </c>
      <c r="C33" s="94">
        <v>29.1358122</v>
      </c>
      <c r="D33" s="94">
        <v>29.1358122</v>
      </c>
      <c r="E33" s="94">
        <v>47.956524571999999</v>
      </c>
      <c r="F33" s="94">
        <v>47.956524571999999</v>
      </c>
      <c r="G33" s="94">
        <v>47.956524571999999</v>
      </c>
      <c r="H33" s="94">
        <v>47.956524571999999</v>
      </c>
      <c r="I33" s="95">
        <v>47.956524571999999</v>
      </c>
      <c r="J33" s="93">
        <v>24.0242662</v>
      </c>
      <c r="K33" s="94">
        <v>24.0242662</v>
      </c>
      <c r="L33" s="94">
        <v>36.291976599999998</v>
      </c>
      <c r="M33" s="94">
        <v>47.956524571999999</v>
      </c>
      <c r="N33" s="94">
        <v>47.956524571999999</v>
      </c>
      <c r="O33" s="96">
        <v>47.956524571999999</v>
      </c>
      <c r="P33" s="93">
        <v>24.0242662</v>
      </c>
      <c r="Q33" s="97">
        <v>29.1358122</v>
      </c>
      <c r="R33" s="94">
        <v>47.956524571999999</v>
      </c>
      <c r="S33" s="95">
        <v>47.956524571999999</v>
      </c>
    </row>
    <row r="34" spans="1:19" x14ac:dyDescent="0.25">
      <c r="A34" s="86" t="s">
        <v>69</v>
      </c>
      <c r="B34" s="106"/>
      <c r="C34" s="103"/>
      <c r="D34" s="103"/>
      <c r="E34" s="103"/>
      <c r="F34" s="103"/>
      <c r="G34" s="103"/>
      <c r="H34" s="103"/>
      <c r="I34" s="107"/>
      <c r="J34" s="106"/>
      <c r="K34" s="103"/>
      <c r="L34" s="103"/>
      <c r="M34" s="103"/>
      <c r="N34" s="103"/>
      <c r="O34" s="107"/>
      <c r="P34" s="99"/>
      <c r="Q34" s="102">
        <v>2.4300000000000002</v>
      </c>
      <c r="R34" s="5"/>
      <c r="S34" s="100"/>
    </row>
    <row r="35" spans="1:19" x14ac:dyDescent="0.25">
      <c r="A35" s="86" t="s">
        <v>71</v>
      </c>
      <c r="B35" s="109">
        <f t="shared" ref="B35:S35" si="19">$V$26</f>
        <v>1.6666666666666681E-3</v>
      </c>
      <c r="C35" s="110">
        <f t="shared" si="19"/>
        <v>1.6666666666666681E-3</v>
      </c>
      <c r="D35" s="110">
        <f t="shared" si="19"/>
        <v>1.6666666666666681E-3</v>
      </c>
      <c r="E35" s="110">
        <f t="shared" si="19"/>
        <v>1.6666666666666681E-3</v>
      </c>
      <c r="F35" s="110">
        <f t="shared" si="19"/>
        <v>1.6666666666666681E-3</v>
      </c>
      <c r="G35" s="110">
        <f t="shared" si="19"/>
        <v>1.6666666666666681E-3</v>
      </c>
      <c r="H35" s="110">
        <f t="shared" si="19"/>
        <v>1.6666666666666681E-3</v>
      </c>
      <c r="I35" s="111">
        <f t="shared" si="19"/>
        <v>1.6666666666666681E-3</v>
      </c>
      <c r="J35" s="109">
        <f t="shared" si="19"/>
        <v>1.6666666666666681E-3</v>
      </c>
      <c r="K35" s="110">
        <f t="shared" si="19"/>
        <v>1.6666666666666681E-3</v>
      </c>
      <c r="L35" s="110">
        <f t="shared" si="19"/>
        <v>1.6666666666666681E-3</v>
      </c>
      <c r="M35" s="110">
        <f t="shared" si="19"/>
        <v>1.6666666666666681E-3</v>
      </c>
      <c r="N35" s="110">
        <f t="shared" si="19"/>
        <v>1.6666666666666681E-3</v>
      </c>
      <c r="O35" s="111">
        <f t="shared" si="19"/>
        <v>1.6666666666666681E-3</v>
      </c>
      <c r="P35" s="109">
        <f t="shared" si="19"/>
        <v>1.6666666666666681E-3</v>
      </c>
      <c r="Q35" s="113">
        <f t="shared" si="19"/>
        <v>1.6666666666666681E-3</v>
      </c>
      <c r="R35" s="110">
        <f t="shared" si="19"/>
        <v>1.6666666666666681E-3</v>
      </c>
      <c r="S35" s="111">
        <f t="shared" si="19"/>
        <v>1.6666666666666681E-3</v>
      </c>
    </row>
    <row r="36" spans="1:19" ht="13" x14ac:dyDescent="0.3">
      <c r="A36" s="62" t="s">
        <v>73</v>
      </c>
      <c r="B36" s="116">
        <f t="shared" ref="B36:S36" si="20">(B32+B33+(B34*$X$1))*(1+B35)</f>
        <v>125.71235140153713</v>
      </c>
      <c r="C36" s="117">
        <f t="shared" si="20"/>
        <v>161.25263441912369</v>
      </c>
      <c r="D36" s="117">
        <f t="shared" si="20"/>
        <v>178.16924332773277</v>
      </c>
      <c r="E36" s="117">
        <f t="shared" si="20"/>
        <v>336.58334704971122</v>
      </c>
      <c r="F36" s="117">
        <f t="shared" si="20"/>
        <v>329.97993392310497</v>
      </c>
      <c r="G36" s="117">
        <f t="shared" si="20"/>
        <v>344.81906454469191</v>
      </c>
      <c r="H36" s="117">
        <f t="shared" si="20"/>
        <v>404.1755870310397</v>
      </c>
      <c r="I36" s="118">
        <f t="shared" si="20"/>
        <v>419.01471765262664</v>
      </c>
      <c r="J36" s="119">
        <f t="shared" si="20"/>
        <v>131.84984153712446</v>
      </c>
      <c r="K36" s="120">
        <f t="shared" si="20"/>
        <v>132.6423822348705</v>
      </c>
      <c r="L36" s="120">
        <f t="shared" si="20"/>
        <v>263.81164348077243</v>
      </c>
      <c r="M36" s="120">
        <f t="shared" si="20"/>
        <v>349.20191725643838</v>
      </c>
      <c r="N36" s="120">
        <f t="shared" si="20"/>
        <v>365.05273121135866</v>
      </c>
      <c r="O36" s="175">
        <f t="shared" si="20"/>
        <v>428.45598703103968</v>
      </c>
      <c r="P36" s="122">
        <f t="shared" si="20"/>
        <v>125.71235140153713</v>
      </c>
      <c r="Q36" s="123">
        <f t="shared" si="20"/>
        <v>173.98661039912369</v>
      </c>
      <c r="R36" s="124">
        <f t="shared" si="20"/>
        <v>329.97993392310497</v>
      </c>
      <c r="S36" s="125">
        <f t="shared" si="20"/>
        <v>344.81906454469191</v>
      </c>
    </row>
    <row r="37" spans="1:19" x14ac:dyDescent="0.25">
      <c r="A37" s="86" t="s">
        <v>75</v>
      </c>
      <c r="B37" s="129">
        <v>9.2499999999999999E-2</v>
      </c>
      <c r="C37" s="130">
        <v>9.2499999999999999E-2</v>
      </c>
      <c r="D37" s="130">
        <v>9.2499999999999999E-2</v>
      </c>
      <c r="E37" s="130">
        <v>9.2499999999999999E-2</v>
      </c>
      <c r="F37" s="130">
        <v>9.2499999999999999E-2</v>
      </c>
      <c r="G37" s="130">
        <v>9.2499999999999999E-2</v>
      </c>
      <c r="H37" s="130">
        <v>9.2499999999999999E-2</v>
      </c>
      <c r="I37" s="131">
        <v>9.2499999999999999E-2</v>
      </c>
      <c r="J37" s="129">
        <v>9.2499999999999999E-2</v>
      </c>
      <c r="K37" s="130">
        <v>9.2499999999999999E-2</v>
      </c>
      <c r="L37" s="130">
        <v>9.2499999999999999E-2</v>
      </c>
      <c r="M37" s="130">
        <v>9.2499999999999999E-2</v>
      </c>
      <c r="N37" s="130">
        <v>9.2499999999999999E-2</v>
      </c>
      <c r="O37" s="131">
        <v>9.2499999999999999E-2</v>
      </c>
      <c r="P37" s="129">
        <v>9.2499999999999999E-2</v>
      </c>
      <c r="Q37" s="133">
        <v>9.2499999999999999E-2</v>
      </c>
      <c r="R37" s="130">
        <v>9.2499999999999999E-2</v>
      </c>
      <c r="S37" s="131">
        <v>9.2499999999999999E-2</v>
      </c>
    </row>
    <row r="38" spans="1:19" x14ac:dyDescent="0.25">
      <c r="A38" s="86" t="s">
        <v>36</v>
      </c>
      <c r="B38" s="87">
        <v>0.22</v>
      </c>
      <c r="C38" s="88">
        <v>0.22</v>
      </c>
      <c r="D38" s="88">
        <v>0.22</v>
      </c>
      <c r="E38" s="88">
        <v>0.22</v>
      </c>
      <c r="F38" s="88">
        <v>0.22</v>
      </c>
      <c r="G38" s="88">
        <v>0.22</v>
      </c>
      <c r="H38" s="88">
        <v>0.22</v>
      </c>
      <c r="I38" s="89">
        <v>0.22</v>
      </c>
      <c r="J38" s="135">
        <v>0.20499999999999999</v>
      </c>
      <c r="K38" s="136">
        <v>0.20499999999999999</v>
      </c>
      <c r="L38" s="136">
        <v>0.20499999999999999</v>
      </c>
      <c r="M38" s="136">
        <v>0.20499999999999999</v>
      </c>
      <c r="N38" s="136">
        <v>0.20499999999999999</v>
      </c>
      <c r="O38" s="176">
        <v>0.20499999999999999</v>
      </c>
      <c r="P38" s="87">
        <v>0.18</v>
      </c>
      <c r="Q38" s="91">
        <v>0.18</v>
      </c>
      <c r="R38" s="88">
        <v>0.18</v>
      </c>
      <c r="S38" s="89">
        <v>0.18</v>
      </c>
    </row>
    <row r="39" spans="1:19" ht="13" x14ac:dyDescent="0.3">
      <c r="A39" s="62" t="s">
        <v>76</v>
      </c>
      <c r="B39" s="139">
        <f>(B36/(1-B37))/(1-B38)</f>
        <v>177.59744494107102</v>
      </c>
      <c r="C39" s="140">
        <f t="shared" ref="C39:S39" si="21">(C36/(1-C37))/(1-C38)</f>
        <v>227.80622224923883</v>
      </c>
      <c r="D39" s="140">
        <f t="shared" si="21"/>
        <v>251.70480091507068</v>
      </c>
      <c r="E39" s="140">
        <f t="shared" si="21"/>
        <v>475.50094942390513</v>
      </c>
      <c r="F39" s="140">
        <f t="shared" si="21"/>
        <v>466.17211827803197</v>
      </c>
      <c r="G39" s="140">
        <f t="shared" si="21"/>
        <v>487.1357837743758</v>
      </c>
      <c r="H39" s="140">
        <f t="shared" si="21"/>
        <v>570.99044575975097</v>
      </c>
      <c r="I39" s="141">
        <f t="shared" si="21"/>
        <v>591.95411125609473</v>
      </c>
      <c r="J39" s="139">
        <f t="shared" si="21"/>
        <v>182.75356174038771</v>
      </c>
      <c r="K39" s="140">
        <f t="shared" si="21"/>
        <v>183.85208134153959</v>
      </c>
      <c r="L39" s="140">
        <f t="shared" si="21"/>
        <v>365.66230882516061</v>
      </c>
      <c r="M39" s="140">
        <f t="shared" si="21"/>
        <v>484.01949825034336</v>
      </c>
      <c r="N39" s="140">
        <f t="shared" si="21"/>
        <v>505.9898902733803</v>
      </c>
      <c r="O39" s="141">
        <f t="shared" si="21"/>
        <v>593.87145836552793</v>
      </c>
      <c r="P39" s="139">
        <f t="shared" si="21"/>
        <v>168.9341549439456</v>
      </c>
      <c r="Q39" s="143">
        <f t="shared" si="21"/>
        <v>233.80583269384354</v>
      </c>
      <c r="R39" s="140">
        <f t="shared" si="21"/>
        <v>443.43201494739628</v>
      </c>
      <c r="S39" s="141">
        <f t="shared" si="21"/>
        <v>463.37306261465011</v>
      </c>
    </row>
    <row r="40" spans="1:19" x14ac:dyDescent="0.25">
      <c r="A40" s="76"/>
      <c r="B40" s="146"/>
      <c r="I40" s="147"/>
      <c r="J40" s="146"/>
      <c r="O40" s="147"/>
      <c r="P40" s="106"/>
      <c r="Q40" s="148"/>
      <c r="R40" s="103"/>
      <c r="S40" s="107"/>
    </row>
    <row r="41" spans="1:19" x14ac:dyDescent="0.25">
      <c r="A41" s="86" t="s">
        <v>75</v>
      </c>
      <c r="B41" s="129">
        <v>9.2499999999999999E-2</v>
      </c>
      <c r="C41" s="130">
        <v>9.2499999999999999E-2</v>
      </c>
      <c r="D41" s="130">
        <v>9.2499999999999999E-2</v>
      </c>
      <c r="E41" s="130">
        <v>9.2499999999999999E-2</v>
      </c>
      <c r="F41" s="130">
        <v>9.2499999999999999E-2</v>
      </c>
      <c r="G41" s="130">
        <v>9.2499999999999999E-2</v>
      </c>
      <c r="H41" s="130">
        <v>9.2499999999999999E-2</v>
      </c>
      <c r="I41" s="131">
        <v>9.2499999999999999E-2</v>
      </c>
      <c r="J41" s="129">
        <v>9.2499999999999999E-2</v>
      </c>
      <c r="K41" s="130">
        <v>9.2499999999999999E-2</v>
      </c>
      <c r="L41" s="130">
        <v>9.2499999999999999E-2</v>
      </c>
      <c r="M41" s="130">
        <v>9.2499999999999999E-2</v>
      </c>
      <c r="N41" s="130">
        <v>9.2499999999999999E-2</v>
      </c>
      <c r="O41" s="131">
        <v>9.2499999999999999E-2</v>
      </c>
      <c r="P41" s="129">
        <v>9.2499999999999999E-2</v>
      </c>
      <c r="Q41" s="133">
        <v>9.2499999999999999E-2</v>
      </c>
      <c r="R41" s="130">
        <v>9.2499999999999999E-2</v>
      </c>
      <c r="S41" s="131">
        <v>9.2499999999999999E-2</v>
      </c>
    </row>
    <row r="42" spans="1:19" x14ac:dyDescent="0.25">
      <c r="A42" s="86" t="s">
        <v>36</v>
      </c>
      <c r="B42" s="87">
        <v>0.12</v>
      </c>
      <c r="C42" s="88">
        <v>0.12</v>
      </c>
      <c r="D42" s="88">
        <v>0.12</v>
      </c>
      <c r="E42" s="88">
        <v>0.12</v>
      </c>
      <c r="F42" s="88">
        <v>0.12</v>
      </c>
      <c r="G42" s="88">
        <v>0.12</v>
      </c>
      <c r="H42" s="88">
        <v>0.12</v>
      </c>
      <c r="I42" s="89">
        <v>0.12</v>
      </c>
      <c r="J42" s="87">
        <v>0.12</v>
      </c>
      <c r="K42" s="88">
        <v>0.12</v>
      </c>
      <c r="L42" s="88">
        <v>0.12</v>
      </c>
      <c r="M42" s="88">
        <v>0.12</v>
      </c>
      <c r="N42" s="88">
        <v>0.12</v>
      </c>
      <c r="O42" s="89">
        <v>0.12</v>
      </c>
      <c r="P42" s="87">
        <v>0.12</v>
      </c>
      <c r="Q42" s="91">
        <v>0.12</v>
      </c>
      <c r="R42" s="88">
        <v>0.12</v>
      </c>
      <c r="S42" s="89">
        <v>0.12</v>
      </c>
    </row>
    <row r="43" spans="1:19" ht="13" x14ac:dyDescent="0.3">
      <c r="A43" s="62" t="s">
        <v>76</v>
      </c>
      <c r="B43" s="139">
        <f>(B36/(1-B41))/(1-B42)</f>
        <v>157.41591710685842</v>
      </c>
      <c r="C43" s="140">
        <f t="shared" ref="C43:S43" si="22">(C36/(1-C41))/(1-C42)</f>
        <v>201.91915153909807</v>
      </c>
      <c r="D43" s="140">
        <f t="shared" si="22"/>
        <v>223.10198262926718</v>
      </c>
      <c r="E43" s="140">
        <f t="shared" si="22"/>
        <v>421.46675062573411</v>
      </c>
      <c r="F43" s="140">
        <f t="shared" si="22"/>
        <v>413.19801392825565</v>
      </c>
      <c r="G43" s="140">
        <f t="shared" si="22"/>
        <v>431.77944470910586</v>
      </c>
      <c r="H43" s="140">
        <f t="shared" si="22"/>
        <v>506.10516783250654</v>
      </c>
      <c r="I43" s="141">
        <f t="shared" si="22"/>
        <v>524.68659861335675</v>
      </c>
      <c r="J43" s="139">
        <f t="shared" si="22"/>
        <v>165.10122907228208</v>
      </c>
      <c r="K43" s="140">
        <f t="shared" si="22"/>
        <v>166.09364166650451</v>
      </c>
      <c r="L43" s="140">
        <f t="shared" si="22"/>
        <v>330.34265399545762</v>
      </c>
      <c r="M43" s="140">
        <f t="shared" si="22"/>
        <v>437.26761489661703</v>
      </c>
      <c r="N43" s="140">
        <f t="shared" si="22"/>
        <v>457.11586678106517</v>
      </c>
      <c r="O43" s="141">
        <f t="shared" si="22"/>
        <v>536.50887431885758</v>
      </c>
      <c r="P43" s="139">
        <f t="shared" si="22"/>
        <v>157.41591710685842</v>
      </c>
      <c r="Q43" s="143">
        <f t="shared" si="22"/>
        <v>217.86452591926331</v>
      </c>
      <c r="R43" s="140">
        <f t="shared" si="22"/>
        <v>413.19801392825565</v>
      </c>
      <c r="S43" s="141">
        <f t="shared" si="22"/>
        <v>431.77944470910586</v>
      </c>
    </row>
    <row r="44" spans="1:19" x14ac:dyDescent="0.25">
      <c r="A44" s="76"/>
      <c r="B44" s="146"/>
      <c r="I44" s="147"/>
      <c r="J44" s="156"/>
      <c r="K44" s="157"/>
      <c r="L44" s="157"/>
      <c r="M44" s="157"/>
      <c r="N44" s="157"/>
      <c r="O44" s="157"/>
      <c r="P44" s="156"/>
      <c r="Q44" s="157"/>
      <c r="R44" s="157"/>
      <c r="S44" s="158"/>
    </row>
    <row r="45" spans="1:19" x14ac:dyDescent="0.25">
      <c r="A45" s="86" t="s">
        <v>75</v>
      </c>
      <c r="B45" s="129">
        <v>9.2499999999999999E-2</v>
      </c>
      <c r="C45" s="130">
        <v>9.2499999999999999E-2</v>
      </c>
      <c r="D45" s="130">
        <v>9.2499999999999999E-2</v>
      </c>
      <c r="E45" s="130">
        <v>9.2499999999999999E-2</v>
      </c>
      <c r="F45" s="130">
        <v>9.2499999999999999E-2</v>
      </c>
      <c r="G45" s="130">
        <v>9.2499999999999999E-2</v>
      </c>
      <c r="H45" s="130">
        <v>9.2499999999999999E-2</v>
      </c>
      <c r="I45" s="131">
        <v>9.2499999999999999E-2</v>
      </c>
      <c r="J45" s="76"/>
      <c r="K45"/>
      <c r="L45" s="103" t="s">
        <v>82</v>
      </c>
      <c r="M45"/>
      <c r="N45"/>
      <c r="O45"/>
      <c r="P45" s="129">
        <v>9.2499999999999999E-2</v>
      </c>
      <c r="Q45" s="133">
        <v>9.2499999999999999E-2</v>
      </c>
      <c r="R45" s="130">
        <v>9.2499999999999999E-2</v>
      </c>
      <c r="S45" s="131">
        <v>9.2499999999999999E-2</v>
      </c>
    </row>
    <row r="46" spans="1:19" x14ac:dyDescent="0.25">
      <c r="A46" s="86" t="s">
        <v>36</v>
      </c>
      <c r="B46" s="87">
        <v>7.0000000000000007E-2</v>
      </c>
      <c r="C46" s="88">
        <v>7.0000000000000007E-2</v>
      </c>
      <c r="D46" s="88">
        <v>7.0000000000000007E-2</v>
      </c>
      <c r="E46" s="88">
        <v>7.0000000000000007E-2</v>
      </c>
      <c r="F46" s="88">
        <v>7.0000000000000007E-2</v>
      </c>
      <c r="G46" s="88">
        <v>7.0000000000000007E-2</v>
      </c>
      <c r="H46" s="88">
        <v>7.0000000000000007E-2</v>
      </c>
      <c r="I46" s="89">
        <v>7.0000000000000007E-2</v>
      </c>
      <c r="J46" s="76"/>
      <c r="K46"/>
      <c r="L46" s="94">
        <f>L36*(1+12%)</f>
        <v>295.46904069846516</v>
      </c>
      <c r="M46"/>
      <c r="N46"/>
      <c r="O46"/>
      <c r="P46" s="87">
        <v>7.0000000000000007E-2</v>
      </c>
      <c r="Q46" s="91">
        <v>7.0000000000000007E-2</v>
      </c>
      <c r="R46" s="88">
        <v>7.0000000000000007E-2</v>
      </c>
      <c r="S46" s="89">
        <v>7.0000000000000007E-2</v>
      </c>
    </row>
    <row r="47" spans="1:19" ht="13.5" thickBot="1" x14ac:dyDescent="0.35">
      <c r="A47" s="163" t="s">
        <v>76</v>
      </c>
      <c r="B47" s="164">
        <f>(B36/(1-B45))/(1-B46)</f>
        <v>148.95269575702733</v>
      </c>
      <c r="C47" s="165">
        <f t="shared" ref="C47:I47" si="23">(C36/(1-C45))/(1-C46)</f>
        <v>191.06328317678097</v>
      </c>
      <c r="D47" s="165">
        <f t="shared" si="23"/>
        <v>211.10725238038188</v>
      </c>
      <c r="E47" s="165">
        <f t="shared" si="23"/>
        <v>398.80724790392048</v>
      </c>
      <c r="F47" s="165">
        <f t="shared" si="23"/>
        <v>390.98306694286561</v>
      </c>
      <c r="G47" s="165">
        <f t="shared" si="23"/>
        <v>408.56549606883135</v>
      </c>
      <c r="H47" s="165">
        <f t="shared" si="23"/>
        <v>478.89521257269439</v>
      </c>
      <c r="I47" s="166">
        <f t="shared" si="23"/>
        <v>496.47764169866014</v>
      </c>
      <c r="J47" s="167"/>
      <c r="K47" s="168"/>
      <c r="L47" s="168"/>
      <c r="M47" s="168"/>
      <c r="N47" s="168"/>
      <c r="O47" s="168"/>
      <c r="P47" s="164">
        <f>(P36/(1-P45))/(1-P46)</f>
        <v>148.95269575702733</v>
      </c>
      <c r="Q47" s="195">
        <f t="shared" ref="Q47:S47" si="24">(Q36/(1-Q45))/(1-Q46)</f>
        <v>206.15137936446425</v>
      </c>
      <c r="R47" s="165">
        <f t="shared" si="24"/>
        <v>390.98306694286561</v>
      </c>
      <c r="S47" s="166">
        <f t="shared" si="24"/>
        <v>408.56549606883135</v>
      </c>
    </row>
    <row r="48" spans="1:19" ht="13" thickBot="1" x14ac:dyDescent="0.3"/>
    <row r="49" spans="1:19" ht="13" x14ac:dyDescent="0.3">
      <c r="A49" s="47" t="s">
        <v>40</v>
      </c>
      <c r="B49" s="48" t="s">
        <v>41</v>
      </c>
      <c r="C49" s="49" t="s">
        <v>41</v>
      </c>
      <c r="D49" s="49" t="s">
        <v>41</v>
      </c>
      <c r="E49" s="49" t="s">
        <v>41</v>
      </c>
      <c r="F49" s="49" t="s">
        <v>41</v>
      </c>
      <c r="G49" s="49" t="s">
        <v>41</v>
      </c>
      <c r="H49" s="49" t="s">
        <v>41</v>
      </c>
      <c r="I49" s="50" t="s">
        <v>41</v>
      </c>
      <c r="J49" s="51" t="s">
        <v>42</v>
      </c>
      <c r="K49" s="52" t="s">
        <v>42</v>
      </c>
      <c r="L49" s="52" t="s">
        <v>42</v>
      </c>
      <c r="M49" s="52" t="s">
        <v>42</v>
      </c>
      <c r="N49" s="52" t="s">
        <v>42</v>
      </c>
      <c r="O49" s="172" t="s">
        <v>42</v>
      </c>
      <c r="P49" s="54" t="s">
        <v>43</v>
      </c>
      <c r="Q49" s="55" t="s">
        <v>43</v>
      </c>
      <c r="R49" s="56" t="s">
        <v>43</v>
      </c>
      <c r="S49" s="57" t="s">
        <v>43</v>
      </c>
    </row>
    <row r="50" spans="1:19" ht="13" x14ac:dyDescent="0.3">
      <c r="A50" s="62" t="s">
        <v>45</v>
      </c>
      <c r="B50" s="63">
        <v>13.7</v>
      </c>
      <c r="C50" s="64">
        <v>17.8</v>
      </c>
      <c r="D50" s="64">
        <v>20.079999999999998</v>
      </c>
      <c r="E50" s="64">
        <v>38.89</v>
      </c>
      <c r="F50" s="64">
        <v>38</v>
      </c>
      <c r="G50" s="64">
        <v>40</v>
      </c>
      <c r="H50" s="64">
        <v>48</v>
      </c>
      <c r="I50" s="65">
        <v>50</v>
      </c>
      <c r="J50" s="63">
        <v>13.6</v>
      </c>
      <c r="K50" s="64">
        <v>13.7</v>
      </c>
      <c r="L50" s="64">
        <v>28.7</v>
      </c>
      <c r="M50" s="64">
        <v>38</v>
      </c>
      <c r="N50" s="64">
        <v>40</v>
      </c>
      <c r="O50" s="65">
        <v>48</v>
      </c>
      <c r="P50" s="63">
        <v>13.7</v>
      </c>
      <c r="Q50" s="18">
        <v>17.8</v>
      </c>
      <c r="R50" s="64">
        <v>38</v>
      </c>
      <c r="S50" s="65">
        <v>40</v>
      </c>
    </row>
    <row r="51" spans="1:19" x14ac:dyDescent="0.25">
      <c r="A51" s="70" t="s">
        <v>46</v>
      </c>
      <c r="B51" s="71">
        <f t="shared" ref="B51:S51" si="25">1-B52</f>
        <v>0.6</v>
      </c>
      <c r="C51" s="72">
        <f t="shared" si="25"/>
        <v>0.6</v>
      </c>
      <c r="D51" s="72">
        <f t="shared" si="25"/>
        <v>0.6</v>
      </c>
      <c r="E51" s="72">
        <f t="shared" si="25"/>
        <v>0.6</v>
      </c>
      <c r="F51" s="72">
        <f t="shared" si="25"/>
        <v>0.6</v>
      </c>
      <c r="G51" s="72">
        <f t="shared" si="25"/>
        <v>0.6</v>
      </c>
      <c r="H51" s="72">
        <f t="shared" si="25"/>
        <v>0.6</v>
      </c>
      <c r="I51" s="73">
        <f t="shared" si="25"/>
        <v>0.6</v>
      </c>
      <c r="J51" s="71">
        <f t="shared" si="25"/>
        <v>0.6</v>
      </c>
      <c r="K51" s="72">
        <f t="shared" si="25"/>
        <v>0.6</v>
      </c>
      <c r="L51" s="72">
        <f t="shared" si="25"/>
        <v>0.6</v>
      </c>
      <c r="M51" s="72">
        <f t="shared" si="25"/>
        <v>0.6</v>
      </c>
      <c r="N51" s="72">
        <f t="shared" si="25"/>
        <v>0.6</v>
      </c>
      <c r="O51" s="73">
        <f t="shared" si="25"/>
        <v>0.6</v>
      </c>
      <c r="P51" s="71">
        <f t="shared" si="25"/>
        <v>0.6</v>
      </c>
      <c r="Q51" s="75">
        <f t="shared" si="25"/>
        <v>0.6</v>
      </c>
      <c r="R51" s="72">
        <f t="shared" si="25"/>
        <v>0.6</v>
      </c>
      <c r="S51" s="73">
        <f t="shared" si="25"/>
        <v>0.6</v>
      </c>
    </row>
    <row r="52" spans="1:19" x14ac:dyDescent="0.25">
      <c r="A52" s="80" t="s">
        <v>52</v>
      </c>
      <c r="B52" s="81">
        <v>0.4</v>
      </c>
      <c r="C52" s="82">
        <v>0.4</v>
      </c>
      <c r="D52" s="82">
        <v>0.4</v>
      </c>
      <c r="E52" s="82">
        <v>0.4</v>
      </c>
      <c r="F52" s="82">
        <v>0.4</v>
      </c>
      <c r="G52" s="82">
        <v>0.4</v>
      </c>
      <c r="H52" s="82">
        <v>0.4</v>
      </c>
      <c r="I52" s="83">
        <v>0.4</v>
      </c>
      <c r="J52" s="81">
        <v>0.4</v>
      </c>
      <c r="K52" s="82">
        <v>0.4</v>
      </c>
      <c r="L52" s="82">
        <v>0.4</v>
      </c>
      <c r="M52" s="82">
        <v>0.4</v>
      </c>
      <c r="N52" s="82">
        <v>0.4</v>
      </c>
      <c r="O52" s="83">
        <v>0.4</v>
      </c>
      <c r="P52" s="81">
        <v>0.4</v>
      </c>
      <c r="Q52" s="85">
        <v>0.4</v>
      </c>
      <c r="R52" s="82">
        <v>0.4</v>
      </c>
      <c r="S52" s="83">
        <v>0.4</v>
      </c>
    </row>
    <row r="53" spans="1:19" x14ac:dyDescent="0.25">
      <c r="A53" s="86" t="s">
        <v>32</v>
      </c>
      <c r="B53" s="87">
        <v>0.01</v>
      </c>
      <c r="C53" s="88">
        <v>0.01</v>
      </c>
      <c r="D53" s="88">
        <v>0.01</v>
      </c>
      <c r="E53" s="88">
        <v>0.01</v>
      </c>
      <c r="F53" s="88">
        <v>0.01</v>
      </c>
      <c r="G53" s="88">
        <v>0.01</v>
      </c>
      <c r="H53" s="88">
        <v>0.01</v>
      </c>
      <c r="I53" s="89">
        <v>0.01</v>
      </c>
      <c r="J53" s="87">
        <v>0.01</v>
      </c>
      <c r="K53" s="88">
        <v>0.01</v>
      </c>
      <c r="L53" s="88">
        <v>0.01</v>
      </c>
      <c r="M53" s="88">
        <v>0.01</v>
      </c>
      <c r="N53" s="88">
        <v>0.01</v>
      </c>
      <c r="O53" s="89">
        <v>0.01</v>
      </c>
      <c r="P53" s="87">
        <v>0.01</v>
      </c>
      <c r="Q53" s="91">
        <v>0.01</v>
      </c>
      <c r="R53" s="88">
        <v>0.01</v>
      </c>
      <c r="S53" s="89">
        <v>0.01</v>
      </c>
    </row>
    <row r="54" spans="1:19" x14ac:dyDescent="0.25">
      <c r="A54" s="92" t="s">
        <v>54</v>
      </c>
      <c r="B54" s="93">
        <f t="shared" ref="B54:I54" si="26">(($V$13*B51)+($V$19*B52))*(1+B53)</f>
        <v>8038.7989520262863</v>
      </c>
      <c r="C54" s="94">
        <f t="shared" si="26"/>
        <v>8038.7989520262863</v>
      </c>
      <c r="D54" s="94">
        <f t="shared" si="26"/>
        <v>8038.7989520262863</v>
      </c>
      <c r="E54" s="94">
        <f t="shared" si="26"/>
        <v>8038.7989520262863</v>
      </c>
      <c r="F54" s="94">
        <f t="shared" si="26"/>
        <v>8038.7989520262863</v>
      </c>
      <c r="G54" s="94">
        <f t="shared" si="26"/>
        <v>8038.7989520262863</v>
      </c>
      <c r="H54" s="94">
        <f t="shared" si="26"/>
        <v>8038.7989520262863</v>
      </c>
      <c r="I54" s="95">
        <f t="shared" si="26"/>
        <v>8038.7989520262863</v>
      </c>
      <c r="J54" s="93">
        <f>(($W$13*J51)+($W$19*J52))*(1+J53)</f>
        <v>8171.2472676903062</v>
      </c>
      <c r="K54" s="94">
        <f t="shared" ref="K54:O54" si="27">(($W$13*K51)+($W$19*K52))*(1+K53)</f>
        <v>8171.2472676903062</v>
      </c>
      <c r="L54" s="94">
        <f t="shared" si="27"/>
        <v>8171.2472676903062</v>
      </c>
      <c r="M54" s="94">
        <f t="shared" si="27"/>
        <v>8171.2472676903062</v>
      </c>
      <c r="N54" s="94">
        <f t="shared" si="27"/>
        <v>8171.2472676903062</v>
      </c>
      <c r="O54" s="95">
        <f t="shared" si="27"/>
        <v>8171.2472676903062</v>
      </c>
      <c r="P54" s="93">
        <f>(($X$13*P51)+($X$19*P52))*(1+P53)</f>
        <v>8108.3506363622664</v>
      </c>
      <c r="Q54" s="97">
        <f>(($X$13*Q51)+($X$19*Q52))*(1+Q53)</f>
        <v>8108.3506363622664</v>
      </c>
      <c r="R54" s="94">
        <f>(($X$13*R51)+($X$19*R52))*(1+R53)</f>
        <v>8108.3506363622664</v>
      </c>
      <c r="S54" s="95">
        <f>(($X$13*S51)+($X$19*S52))*(1+S53)</f>
        <v>8108.3506363622664</v>
      </c>
    </row>
    <row r="55" spans="1:19" x14ac:dyDescent="0.25">
      <c r="A55" s="92" t="s">
        <v>59</v>
      </c>
      <c r="B55" s="99">
        <f t="shared" ref="B55:S55" si="28">B56/$X$1</f>
        <v>21.051216767864538</v>
      </c>
      <c r="C55" s="5">
        <f t="shared" si="28"/>
        <v>27.351215946568527</v>
      </c>
      <c r="D55" s="5">
        <f t="shared" si="28"/>
        <v>30.854630123994152</v>
      </c>
      <c r="E55" s="5">
        <f t="shared" si="28"/>
        <v>59.757797087755613</v>
      </c>
      <c r="F55" s="5">
        <f t="shared" si="28"/>
        <v>58.390236290427183</v>
      </c>
      <c r="G55" s="5">
        <f t="shared" si="28"/>
        <v>61.463406621502301</v>
      </c>
      <c r="H55" s="5">
        <f t="shared" si="28"/>
        <v>73.756087945802761</v>
      </c>
      <c r="I55" s="100">
        <f t="shared" si="28"/>
        <v>76.82925827687788</v>
      </c>
      <c r="J55" s="99">
        <f t="shared" si="28"/>
        <v>21.241869187359153</v>
      </c>
      <c r="K55" s="5">
        <f t="shared" si="28"/>
        <v>21.398059401972088</v>
      </c>
      <c r="L55" s="5">
        <f t="shared" si="28"/>
        <v>44.82659159391234</v>
      </c>
      <c r="M55" s="5">
        <f t="shared" si="28"/>
        <v>59.352281552915279</v>
      </c>
      <c r="N55" s="5">
        <f t="shared" si="28"/>
        <v>62.476085845173984</v>
      </c>
      <c r="O55" s="100">
        <f t="shared" si="28"/>
        <v>74.971303014208786</v>
      </c>
      <c r="P55" s="99">
        <f t="shared" si="28"/>
        <v>21.233351884349538</v>
      </c>
      <c r="Q55" s="102">
        <f t="shared" si="28"/>
        <v>27.587858652658522</v>
      </c>
      <c r="R55" s="5">
        <f t="shared" si="28"/>
        <v>58.895428584327178</v>
      </c>
      <c r="S55" s="100">
        <f t="shared" si="28"/>
        <v>61.995187983502298</v>
      </c>
    </row>
    <row r="56" spans="1:19" x14ac:dyDescent="0.25">
      <c r="A56" s="86" t="s">
        <v>63</v>
      </c>
      <c r="B56" s="93">
        <f t="shared" ref="B56:S56" si="29">B54*(B50/1000)</f>
        <v>110.13154564276012</v>
      </c>
      <c r="C56" s="94">
        <f t="shared" si="29"/>
        <v>143.09062134606791</v>
      </c>
      <c r="D56" s="94">
        <f t="shared" si="29"/>
        <v>161.41908295668782</v>
      </c>
      <c r="E56" s="94">
        <f t="shared" si="29"/>
        <v>312.62889124430228</v>
      </c>
      <c r="F56" s="94">
        <f t="shared" si="29"/>
        <v>305.47436017699886</v>
      </c>
      <c r="G56" s="94">
        <f t="shared" si="29"/>
        <v>321.55195808105145</v>
      </c>
      <c r="H56" s="94">
        <f t="shared" si="29"/>
        <v>385.86234969726178</v>
      </c>
      <c r="I56" s="95">
        <f t="shared" si="29"/>
        <v>401.93994760131432</v>
      </c>
      <c r="J56" s="93">
        <f t="shared" si="29"/>
        <v>111.12896284058816</v>
      </c>
      <c r="K56" s="94">
        <f t="shared" si="29"/>
        <v>111.94608756735718</v>
      </c>
      <c r="L56" s="94">
        <f t="shared" si="29"/>
        <v>234.5147965827118</v>
      </c>
      <c r="M56" s="94">
        <f t="shared" si="29"/>
        <v>310.50739617223161</v>
      </c>
      <c r="N56" s="94">
        <f t="shared" si="29"/>
        <v>326.84989070761225</v>
      </c>
      <c r="O56" s="95">
        <f t="shared" si="29"/>
        <v>392.21986884913468</v>
      </c>
      <c r="P56" s="93">
        <f t="shared" si="29"/>
        <v>111.08440371816305</v>
      </c>
      <c r="Q56" s="97">
        <f t="shared" si="29"/>
        <v>144.32864132724833</v>
      </c>
      <c r="R56" s="94">
        <f t="shared" si="29"/>
        <v>308.11732418176609</v>
      </c>
      <c r="S56" s="95">
        <f t="shared" si="29"/>
        <v>324.33402545449064</v>
      </c>
    </row>
    <row r="57" spans="1:19" x14ac:dyDescent="0.25">
      <c r="A57" s="86" t="s">
        <v>66</v>
      </c>
      <c r="B57" s="93">
        <v>24.0242662</v>
      </c>
      <c r="C57" s="94">
        <v>29.1358122</v>
      </c>
      <c r="D57" s="94">
        <v>29.1358122</v>
      </c>
      <c r="E57" s="94">
        <v>47.956524571999999</v>
      </c>
      <c r="F57" s="94">
        <v>47.956524571999999</v>
      </c>
      <c r="G57" s="94">
        <v>47.956524571999999</v>
      </c>
      <c r="H57" s="94">
        <v>47.956524571999999</v>
      </c>
      <c r="I57" s="95">
        <v>47.956524571999999</v>
      </c>
      <c r="J57" s="93">
        <v>24.0242662</v>
      </c>
      <c r="K57" s="94">
        <v>24.0242662</v>
      </c>
      <c r="L57" s="94">
        <v>36.291976599999998</v>
      </c>
      <c r="M57" s="94">
        <v>47.956524571999999</v>
      </c>
      <c r="N57" s="94">
        <v>47.956524571999999</v>
      </c>
      <c r="O57" s="96">
        <v>47.956524571999999</v>
      </c>
      <c r="P57" s="93">
        <v>24.0242662</v>
      </c>
      <c r="Q57" s="97">
        <v>29.1358122</v>
      </c>
      <c r="R57" s="94">
        <v>47.956524571999999</v>
      </c>
      <c r="S57" s="95">
        <v>47.956524571999999</v>
      </c>
    </row>
    <row r="58" spans="1:19" x14ac:dyDescent="0.25">
      <c r="A58" s="86" t="s">
        <v>69</v>
      </c>
      <c r="B58" s="106"/>
      <c r="C58" s="103"/>
      <c r="D58" s="103"/>
      <c r="E58" s="103"/>
      <c r="F58" s="103"/>
      <c r="G58" s="103"/>
      <c r="H58" s="103"/>
      <c r="I58" s="107"/>
      <c r="J58" s="106"/>
      <c r="K58" s="103"/>
      <c r="L58" s="103"/>
      <c r="M58" s="103"/>
      <c r="N58" s="103"/>
      <c r="O58" s="107"/>
      <c r="P58" s="99"/>
      <c r="Q58" s="102">
        <v>2.4300000000000002</v>
      </c>
      <c r="R58" s="5"/>
      <c r="S58" s="100"/>
    </row>
    <row r="59" spans="1:19" x14ac:dyDescent="0.25">
      <c r="A59" s="86" t="s">
        <v>71</v>
      </c>
      <c r="B59" s="109">
        <f t="shared" ref="B59:S59" si="30">$V$26</f>
        <v>1.6666666666666681E-3</v>
      </c>
      <c r="C59" s="110">
        <f t="shared" si="30"/>
        <v>1.6666666666666681E-3</v>
      </c>
      <c r="D59" s="110">
        <f t="shared" si="30"/>
        <v>1.6666666666666681E-3</v>
      </c>
      <c r="E59" s="110">
        <f t="shared" si="30"/>
        <v>1.6666666666666681E-3</v>
      </c>
      <c r="F59" s="110">
        <f t="shared" si="30"/>
        <v>1.6666666666666681E-3</v>
      </c>
      <c r="G59" s="110">
        <f t="shared" si="30"/>
        <v>1.6666666666666681E-3</v>
      </c>
      <c r="H59" s="110">
        <f t="shared" si="30"/>
        <v>1.6666666666666681E-3</v>
      </c>
      <c r="I59" s="111">
        <f t="shared" si="30"/>
        <v>1.6666666666666681E-3</v>
      </c>
      <c r="J59" s="109">
        <f t="shared" si="30"/>
        <v>1.6666666666666681E-3</v>
      </c>
      <c r="K59" s="110">
        <f t="shared" si="30"/>
        <v>1.6666666666666681E-3</v>
      </c>
      <c r="L59" s="110">
        <f t="shared" si="30"/>
        <v>1.6666666666666681E-3</v>
      </c>
      <c r="M59" s="110">
        <f t="shared" si="30"/>
        <v>1.6666666666666681E-3</v>
      </c>
      <c r="N59" s="110">
        <f t="shared" si="30"/>
        <v>1.6666666666666681E-3</v>
      </c>
      <c r="O59" s="111">
        <f t="shared" si="30"/>
        <v>1.6666666666666681E-3</v>
      </c>
      <c r="P59" s="109">
        <f t="shared" si="30"/>
        <v>1.6666666666666681E-3</v>
      </c>
      <c r="Q59" s="113">
        <f t="shared" si="30"/>
        <v>1.6666666666666681E-3</v>
      </c>
      <c r="R59" s="110">
        <f t="shared" si="30"/>
        <v>1.6666666666666681E-3</v>
      </c>
      <c r="S59" s="111">
        <f t="shared" si="30"/>
        <v>1.6666666666666681E-3</v>
      </c>
    </row>
    <row r="60" spans="1:19" ht="13" x14ac:dyDescent="0.3">
      <c r="A60" s="62" t="s">
        <v>73</v>
      </c>
      <c r="B60" s="116">
        <f t="shared" ref="B60:S60" si="31">(B56+B57+(B58*$X$1))*(1+B59)</f>
        <v>134.37940486249803</v>
      </c>
      <c r="C60" s="117">
        <f t="shared" si="31"/>
        <v>172.51347760197802</v>
      </c>
      <c r="D60" s="117">
        <f t="shared" si="31"/>
        <v>190.87248664861565</v>
      </c>
      <c r="E60" s="117">
        <f t="shared" si="31"/>
        <v>361.18639150932944</v>
      </c>
      <c r="F60" s="117">
        <f t="shared" si="31"/>
        <v>354.01993622358049</v>
      </c>
      <c r="G60" s="117">
        <f t="shared" si="31"/>
        <v>370.12433012413987</v>
      </c>
      <c r="H60" s="117">
        <f t="shared" si="31"/>
        <v>434.54190572637719</v>
      </c>
      <c r="I60" s="118">
        <f t="shared" si="31"/>
        <v>450.64629962693652</v>
      </c>
      <c r="J60" s="119">
        <f t="shared" si="31"/>
        <v>135.37848442232246</v>
      </c>
      <c r="K60" s="120">
        <f t="shared" si="31"/>
        <v>136.19697102363611</v>
      </c>
      <c r="L60" s="120">
        <f t="shared" si="31"/>
        <v>271.25811780468302</v>
      </c>
      <c r="M60" s="120">
        <f t="shared" si="31"/>
        <v>359.06136061213863</v>
      </c>
      <c r="N60" s="120">
        <f t="shared" si="31"/>
        <v>375.4310926384116</v>
      </c>
      <c r="O60" s="175">
        <f t="shared" si="31"/>
        <v>440.91002074350325</v>
      </c>
      <c r="P60" s="122">
        <f t="shared" si="31"/>
        <v>135.33385103469334</v>
      </c>
      <c r="Q60" s="123">
        <f t="shared" si="31"/>
        <v>186.48753692979375</v>
      </c>
      <c r="R60" s="124">
        <f t="shared" si="31"/>
        <v>356.66730516835571</v>
      </c>
      <c r="S60" s="125">
        <f t="shared" si="31"/>
        <v>372.91103427653479</v>
      </c>
    </row>
    <row r="61" spans="1:19" x14ac:dyDescent="0.25">
      <c r="A61" s="86" t="s">
        <v>75</v>
      </c>
      <c r="B61" s="129">
        <v>9.2499999999999999E-2</v>
      </c>
      <c r="C61" s="130">
        <v>9.2499999999999999E-2</v>
      </c>
      <c r="D61" s="130">
        <v>9.2499999999999999E-2</v>
      </c>
      <c r="E61" s="130">
        <v>9.2499999999999999E-2</v>
      </c>
      <c r="F61" s="130">
        <v>9.2499999999999999E-2</v>
      </c>
      <c r="G61" s="130">
        <v>9.2499999999999999E-2</v>
      </c>
      <c r="H61" s="130">
        <v>9.2499999999999999E-2</v>
      </c>
      <c r="I61" s="131">
        <v>9.2499999999999999E-2</v>
      </c>
      <c r="J61" s="129">
        <v>9.2499999999999999E-2</v>
      </c>
      <c r="K61" s="130">
        <v>9.2499999999999999E-2</v>
      </c>
      <c r="L61" s="130">
        <v>9.2499999999999999E-2</v>
      </c>
      <c r="M61" s="130">
        <v>9.2499999999999999E-2</v>
      </c>
      <c r="N61" s="130">
        <v>9.2499999999999999E-2</v>
      </c>
      <c r="O61" s="131">
        <v>9.2499999999999999E-2</v>
      </c>
      <c r="P61" s="129">
        <v>9.2499999999999999E-2</v>
      </c>
      <c r="Q61" s="133">
        <v>9.2499999999999999E-2</v>
      </c>
      <c r="R61" s="130">
        <v>9.2499999999999999E-2</v>
      </c>
      <c r="S61" s="131">
        <v>9.2499999999999999E-2</v>
      </c>
    </row>
    <row r="62" spans="1:19" x14ac:dyDescent="0.25">
      <c r="A62" s="86" t="s">
        <v>36</v>
      </c>
      <c r="B62" s="87">
        <v>0.22</v>
      </c>
      <c r="C62" s="88">
        <v>0.22</v>
      </c>
      <c r="D62" s="88">
        <v>0.22</v>
      </c>
      <c r="E62" s="88">
        <v>0.22</v>
      </c>
      <c r="F62" s="88">
        <v>0.22</v>
      </c>
      <c r="G62" s="88">
        <v>0.22</v>
      </c>
      <c r="H62" s="88">
        <v>0.22</v>
      </c>
      <c r="I62" s="89">
        <v>0.22</v>
      </c>
      <c r="J62" s="135">
        <v>0.20499999999999999</v>
      </c>
      <c r="K62" s="136">
        <v>0.20499999999999999</v>
      </c>
      <c r="L62" s="136">
        <v>0.20499999999999999</v>
      </c>
      <c r="M62" s="136">
        <v>0.20499999999999999</v>
      </c>
      <c r="N62" s="136">
        <v>0.20499999999999999</v>
      </c>
      <c r="O62" s="176">
        <v>0.20499999999999999</v>
      </c>
      <c r="P62" s="87">
        <v>0.18</v>
      </c>
      <c r="Q62" s="91">
        <v>0.18</v>
      </c>
      <c r="R62" s="88">
        <v>0.18</v>
      </c>
      <c r="S62" s="89">
        <v>0.18</v>
      </c>
    </row>
    <row r="63" spans="1:19" ht="13" x14ac:dyDescent="0.3">
      <c r="A63" s="62" t="s">
        <v>76</v>
      </c>
      <c r="B63" s="139">
        <f>(B60/(1-B61))/(1-B62)</f>
        <v>189.84163998375087</v>
      </c>
      <c r="C63" s="140">
        <f t="shared" ref="C63:S63" si="32">(C60/(1-C61))/(1-C62)</f>
        <v>243.71473843607831</v>
      </c>
      <c r="D63" s="140">
        <f t="shared" si="32"/>
        <v>269.65103715280873</v>
      </c>
      <c r="E63" s="140">
        <f t="shared" si="32"/>
        <v>510.25837608155604</v>
      </c>
      <c r="F63" s="140">
        <f t="shared" si="32"/>
        <v>500.13411912634103</v>
      </c>
      <c r="G63" s="140">
        <f t="shared" si="32"/>
        <v>522.88525835154326</v>
      </c>
      <c r="H63" s="140">
        <f t="shared" si="32"/>
        <v>613.88981525235181</v>
      </c>
      <c r="I63" s="141">
        <f t="shared" si="32"/>
        <v>636.64095447755392</v>
      </c>
      <c r="J63" s="139">
        <f t="shared" si="32"/>
        <v>187.64451987777946</v>
      </c>
      <c r="K63" s="140">
        <f t="shared" si="32"/>
        <v>188.7790024064121</v>
      </c>
      <c r="L63" s="140">
        <f t="shared" si="32"/>
        <v>375.98366901215661</v>
      </c>
      <c r="M63" s="140">
        <f t="shared" si="32"/>
        <v>497.68541069305559</v>
      </c>
      <c r="N63" s="140">
        <f t="shared" si="32"/>
        <v>520.37506126570895</v>
      </c>
      <c r="O63" s="141">
        <f t="shared" si="32"/>
        <v>611.1336635563224</v>
      </c>
      <c r="P63" s="139">
        <f t="shared" si="32"/>
        <v>181.86367134945016</v>
      </c>
      <c r="Q63" s="143">
        <f t="shared" si="32"/>
        <v>250.60476641778371</v>
      </c>
      <c r="R63" s="140">
        <f t="shared" si="32"/>
        <v>479.29490716704385</v>
      </c>
      <c r="S63" s="141">
        <f t="shared" si="32"/>
        <v>501.12347547743707</v>
      </c>
    </row>
    <row r="64" spans="1:19" x14ac:dyDescent="0.25">
      <c r="A64" s="76"/>
      <c r="B64" s="146"/>
      <c r="I64" s="147"/>
      <c r="J64" s="146"/>
      <c r="O64" s="147"/>
      <c r="P64" s="106"/>
      <c r="Q64" s="148"/>
      <c r="R64" s="103"/>
      <c r="S64" s="107"/>
    </row>
    <row r="65" spans="1:19" x14ac:dyDescent="0.25">
      <c r="A65" s="86" t="s">
        <v>75</v>
      </c>
      <c r="B65" s="129">
        <v>9.2499999999999999E-2</v>
      </c>
      <c r="C65" s="130">
        <v>9.2499999999999999E-2</v>
      </c>
      <c r="D65" s="130">
        <v>9.2499999999999999E-2</v>
      </c>
      <c r="E65" s="130">
        <v>9.2499999999999999E-2</v>
      </c>
      <c r="F65" s="130">
        <v>9.2499999999999999E-2</v>
      </c>
      <c r="G65" s="130">
        <v>9.2499999999999999E-2</v>
      </c>
      <c r="H65" s="130">
        <v>9.2499999999999999E-2</v>
      </c>
      <c r="I65" s="131">
        <v>9.2499999999999999E-2</v>
      </c>
      <c r="J65" s="129">
        <v>9.2499999999999999E-2</v>
      </c>
      <c r="K65" s="130">
        <v>9.2499999999999999E-2</v>
      </c>
      <c r="L65" s="130">
        <v>9.2499999999999999E-2</v>
      </c>
      <c r="M65" s="130">
        <v>9.2499999999999999E-2</v>
      </c>
      <c r="N65" s="130">
        <v>9.2499999999999999E-2</v>
      </c>
      <c r="O65" s="131">
        <v>9.2499999999999999E-2</v>
      </c>
      <c r="P65" s="129">
        <v>9.2499999999999999E-2</v>
      </c>
      <c r="Q65" s="133">
        <v>9.2499999999999999E-2</v>
      </c>
      <c r="R65" s="130">
        <v>9.2499999999999999E-2</v>
      </c>
      <c r="S65" s="131">
        <v>9.2499999999999999E-2</v>
      </c>
    </row>
    <row r="66" spans="1:19" x14ac:dyDescent="0.25">
      <c r="A66" s="86" t="s">
        <v>36</v>
      </c>
      <c r="B66" s="87">
        <v>0.12</v>
      </c>
      <c r="C66" s="88">
        <v>0.12</v>
      </c>
      <c r="D66" s="88">
        <v>0.12</v>
      </c>
      <c r="E66" s="88">
        <v>0.12</v>
      </c>
      <c r="F66" s="88">
        <v>0.12</v>
      </c>
      <c r="G66" s="88">
        <v>0.12</v>
      </c>
      <c r="H66" s="88">
        <v>0.12</v>
      </c>
      <c r="I66" s="89">
        <v>0.12</v>
      </c>
      <c r="J66" s="87">
        <v>0.12</v>
      </c>
      <c r="K66" s="88">
        <v>0.12</v>
      </c>
      <c r="L66" s="88">
        <v>0.12</v>
      </c>
      <c r="M66" s="88">
        <v>0.12</v>
      </c>
      <c r="N66" s="88">
        <v>0.12</v>
      </c>
      <c r="O66" s="89">
        <v>0.12</v>
      </c>
      <c r="P66" s="87">
        <v>0.12</v>
      </c>
      <c r="Q66" s="91">
        <v>0.12</v>
      </c>
      <c r="R66" s="88">
        <v>0.12</v>
      </c>
      <c r="S66" s="89">
        <v>0.12</v>
      </c>
    </row>
    <row r="67" spans="1:19" ht="13" x14ac:dyDescent="0.3">
      <c r="A67" s="62" t="s">
        <v>76</v>
      </c>
      <c r="B67" s="139">
        <f>(B60/(1-B65))/(1-B66)</f>
        <v>168.26872634923373</v>
      </c>
      <c r="C67" s="140">
        <f t="shared" ref="C67:S67" si="33">(C60/(1-C65))/(1-C66)</f>
        <v>216.01988179561485</v>
      </c>
      <c r="D67" s="140">
        <f t="shared" si="33"/>
        <v>239.00887383998955</v>
      </c>
      <c r="E67" s="140">
        <f t="shared" si="33"/>
        <v>452.27446970865196</v>
      </c>
      <c r="F67" s="140">
        <f t="shared" si="33"/>
        <v>443.30069649834775</v>
      </c>
      <c r="G67" s="140">
        <f t="shared" si="33"/>
        <v>463.46647899341338</v>
      </c>
      <c r="H67" s="140">
        <f t="shared" si="33"/>
        <v>544.12960897367543</v>
      </c>
      <c r="I67" s="141">
        <f t="shared" si="33"/>
        <v>564.29539146874095</v>
      </c>
      <c r="J67" s="139">
        <f t="shared" si="33"/>
        <v>169.51976511685757</v>
      </c>
      <c r="K67" s="140">
        <f t="shared" si="33"/>
        <v>170.54466694670185</v>
      </c>
      <c r="L67" s="140">
        <f t="shared" si="33"/>
        <v>339.66706461893693</v>
      </c>
      <c r="M67" s="140">
        <f t="shared" si="33"/>
        <v>449.61352443293094</v>
      </c>
      <c r="N67" s="140">
        <f t="shared" si="33"/>
        <v>470.11156102981664</v>
      </c>
      <c r="O67" s="141">
        <f t="shared" si="33"/>
        <v>552.10370741735949</v>
      </c>
      <c r="P67" s="139">
        <f t="shared" si="33"/>
        <v>169.46387557562403</v>
      </c>
      <c r="Q67" s="143">
        <f t="shared" si="33"/>
        <v>233.51807779838938</v>
      </c>
      <c r="R67" s="140">
        <f t="shared" si="33"/>
        <v>446.61570895110907</v>
      </c>
      <c r="S67" s="141">
        <f t="shared" si="33"/>
        <v>466.95596578579364</v>
      </c>
    </row>
    <row r="68" spans="1:19" x14ac:dyDescent="0.25">
      <c r="A68" s="76"/>
      <c r="B68" s="146"/>
      <c r="I68" s="147"/>
      <c r="J68" s="156"/>
      <c r="K68" s="157"/>
      <c r="L68" s="157"/>
      <c r="M68" s="157"/>
      <c r="N68" s="157"/>
      <c r="O68" s="157"/>
      <c r="P68" s="156"/>
      <c r="Q68" s="157"/>
      <c r="R68" s="157"/>
      <c r="S68" s="158"/>
    </row>
    <row r="69" spans="1:19" x14ac:dyDescent="0.25">
      <c r="A69" s="86" t="s">
        <v>75</v>
      </c>
      <c r="B69" s="129">
        <v>9.2499999999999999E-2</v>
      </c>
      <c r="C69" s="130">
        <v>9.2499999999999999E-2</v>
      </c>
      <c r="D69" s="130">
        <v>9.2499999999999999E-2</v>
      </c>
      <c r="E69" s="130">
        <v>9.2499999999999999E-2</v>
      </c>
      <c r="F69" s="130">
        <v>9.2499999999999999E-2</v>
      </c>
      <c r="G69" s="130">
        <v>9.2499999999999999E-2</v>
      </c>
      <c r="H69" s="130">
        <v>9.2499999999999999E-2</v>
      </c>
      <c r="I69" s="131">
        <v>9.2499999999999999E-2</v>
      </c>
      <c r="J69" s="76"/>
      <c r="K69"/>
      <c r="L69" s="103" t="s">
        <v>82</v>
      </c>
      <c r="M69"/>
      <c r="N69"/>
      <c r="O69"/>
      <c r="P69" s="129">
        <v>9.2499999999999999E-2</v>
      </c>
      <c r="Q69" s="133">
        <v>9.2499999999999999E-2</v>
      </c>
      <c r="R69" s="130">
        <v>9.2499999999999999E-2</v>
      </c>
      <c r="S69" s="131">
        <v>9.2499999999999999E-2</v>
      </c>
    </row>
    <row r="70" spans="1:19" x14ac:dyDescent="0.25">
      <c r="A70" s="86" t="s">
        <v>36</v>
      </c>
      <c r="B70" s="87">
        <v>7.0000000000000007E-2</v>
      </c>
      <c r="C70" s="88">
        <v>7.0000000000000007E-2</v>
      </c>
      <c r="D70" s="88">
        <v>7.0000000000000007E-2</v>
      </c>
      <c r="E70" s="88">
        <v>7.0000000000000007E-2</v>
      </c>
      <c r="F70" s="88">
        <v>7.0000000000000007E-2</v>
      </c>
      <c r="G70" s="88">
        <v>7.0000000000000007E-2</v>
      </c>
      <c r="H70" s="88">
        <v>7.0000000000000007E-2</v>
      </c>
      <c r="I70" s="89">
        <v>7.0000000000000007E-2</v>
      </c>
      <c r="J70" s="76"/>
      <c r="K70"/>
      <c r="L70" s="94">
        <f>L60*(1+12%)</f>
        <v>303.80909194124501</v>
      </c>
      <c r="M70"/>
      <c r="N70"/>
      <c r="O70"/>
      <c r="P70" s="87">
        <v>7.0000000000000007E-2</v>
      </c>
      <c r="Q70" s="91">
        <v>7.0000000000000007E-2</v>
      </c>
      <c r="R70" s="88">
        <v>7.0000000000000007E-2</v>
      </c>
      <c r="S70" s="89">
        <v>7.0000000000000007E-2</v>
      </c>
    </row>
    <row r="71" spans="1:19" ht="13.5" thickBot="1" x14ac:dyDescent="0.35">
      <c r="A71" s="163" t="s">
        <v>76</v>
      </c>
      <c r="B71" s="164">
        <f>(B60/(1-B69))/(1-B70)</f>
        <v>159.22202063153298</v>
      </c>
      <c r="C71" s="165">
        <f t="shared" ref="C71:I71" si="34">(C60/(1-C69))/(1-C70)</f>
        <v>204.40590965606569</v>
      </c>
      <c r="D71" s="165">
        <f t="shared" si="34"/>
        <v>226.15893438622666</v>
      </c>
      <c r="E71" s="165">
        <f t="shared" si="34"/>
        <v>427.95863800388577</v>
      </c>
      <c r="F71" s="165">
        <f t="shared" si="34"/>
        <v>419.46732571886673</v>
      </c>
      <c r="G71" s="165">
        <f t="shared" si="34"/>
        <v>438.54892635935892</v>
      </c>
      <c r="H71" s="165">
        <f t="shared" si="34"/>
        <v>514.87532892132731</v>
      </c>
      <c r="I71" s="166">
        <f t="shared" si="34"/>
        <v>533.95692956181949</v>
      </c>
      <c r="J71" s="167"/>
      <c r="K71" s="168"/>
      <c r="L71" s="168"/>
      <c r="M71" s="168"/>
      <c r="N71" s="168"/>
      <c r="O71" s="168"/>
      <c r="P71" s="164">
        <f>(P60/(1-P69))/(1-P70)</f>
        <v>160.35291452317114</v>
      </c>
      <c r="Q71" s="195">
        <f t="shared" ref="Q71:S71" si="35">(Q60/(1-Q69))/(1-Q70)</f>
        <v>220.96334243288459</v>
      </c>
      <c r="R71" s="165">
        <f t="shared" si="35"/>
        <v>422.60411169567311</v>
      </c>
      <c r="S71" s="166">
        <f t="shared" si="35"/>
        <v>441.85080633494454</v>
      </c>
    </row>
    <row r="72" spans="1:19" ht="13" thickBot="1" x14ac:dyDescent="0.3"/>
    <row r="73" spans="1:19" ht="13" x14ac:dyDescent="0.3">
      <c r="A73" s="47" t="s">
        <v>40</v>
      </c>
      <c r="B73" s="48" t="s">
        <v>41</v>
      </c>
      <c r="C73" s="49" t="s">
        <v>41</v>
      </c>
      <c r="D73" s="49" t="s">
        <v>41</v>
      </c>
      <c r="E73" s="49" t="s">
        <v>41</v>
      </c>
      <c r="F73" s="49" t="s">
        <v>41</v>
      </c>
      <c r="G73" s="49" t="s">
        <v>41</v>
      </c>
      <c r="H73" s="49" t="s">
        <v>41</v>
      </c>
      <c r="I73" s="50" t="s">
        <v>41</v>
      </c>
      <c r="J73" s="51" t="s">
        <v>42</v>
      </c>
      <c r="K73" s="52" t="s">
        <v>42</v>
      </c>
      <c r="L73" s="52" t="s">
        <v>42</v>
      </c>
      <c r="M73" s="52" t="s">
        <v>42</v>
      </c>
      <c r="N73" s="52" t="s">
        <v>42</v>
      </c>
      <c r="O73" s="172" t="s">
        <v>42</v>
      </c>
      <c r="P73" s="54" t="s">
        <v>43</v>
      </c>
      <c r="Q73" s="55" t="s">
        <v>43</v>
      </c>
      <c r="R73" s="56" t="s">
        <v>43</v>
      </c>
      <c r="S73" s="57" t="s">
        <v>43</v>
      </c>
    </row>
    <row r="74" spans="1:19" ht="13" x14ac:dyDescent="0.3">
      <c r="A74" s="62" t="s">
        <v>45</v>
      </c>
      <c r="B74" s="63">
        <v>13.7</v>
      </c>
      <c r="C74" s="64">
        <v>17.8</v>
      </c>
      <c r="D74" s="64">
        <v>20.079999999999998</v>
      </c>
      <c r="E74" s="64">
        <v>38.89</v>
      </c>
      <c r="F74" s="64">
        <v>38</v>
      </c>
      <c r="G74" s="64">
        <v>40</v>
      </c>
      <c r="H74" s="64">
        <v>48</v>
      </c>
      <c r="I74" s="65">
        <v>50</v>
      </c>
      <c r="J74" s="63">
        <v>13.6</v>
      </c>
      <c r="K74" s="64">
        <v>13.7</v>
      </c>
      <c r="L74" s="64">
        <v>28.7</v>
      </c>
      <c r="M74" s="64">
        <v>38</v>
      </c>
      <c r="N74" s="64">
        <v>40</v>
      </c>
      <c r="O74" s="65">
        <v>48</v>
      </c>
      <c r="P74" s="63">
        <v>13.7</v>
      </c>
      <c r="Q74" s="18">
        <v>17.8</v>
      </c>
      <c r="R74" s="64">
        <v>38</v>
      </c>
      <c r="S74" s="65">
        <v>40</v>
      </c>
    </row>
    <row r="75" spans="1:19" x14ac:dyDescent="0.25">
      <c r="A75" s="70" t="s">
        <v>46</v>
      </c>
      <c r="B75" s="71">
        <f t="shared" ref="B75:S75" si="36">1-B76</f>
        <v>0.4</v>
      </c>
      <c r="C75" s="72">
        <f t="shared" si="36"/>
        <v>0.4</v>
      </c>
      <c r="D75" s="72">
        <f t="shared" si="36"/>
        <v>0.4</v>
      </c>
      <c r="E75" s="72">
        <f t="shared" si="36"/>
        <v>0.4</v>
      </c>
      <c r="F75" s="72">
        <f t="shared" si="36"/>
        <v>0.4</v>
      </c>
      <c r="G75" s="72">
        <f t="shared" si="36"/>
        <v>0.4</v>
      </c>
      <c r="H75" s="72">
        <f t="shared" si="36"/>
        <v>0.4</v>
      </c>
      <c r="I75" s="73">
        <f t="shared" si="36"/>
        <v>0.4</v>
      </c>
      <c r="J75" s="71">
        <f t="shared" si="36"/>
        <v>0.4</v>
      </c>
      <c r="K75" s="72">
        <f t="shared" si="36"/>
        <v>0.4</v>
      </c>
      <c r="L75" s="72">
        <f t="shared" si="36"/>
        <v>0.4</v>
      </c>
      <c r="M75" s="72">
        <f t="shared" si="36"/>
        <v>0.4</v>
      </c>
      <c r="N75" s="72">
        <f t="shared" si="36"/>
        <v>0.4</v>
      </c>
      <c r="O75" s="73">
        <f t="shared" si="36"/>
        <v>0.4</v>
      </c>
      <c r="P75" s="71">
        <f t="shared" si="36"/>
        <v>0.4</v>
      </c>
      <c r="Q75" s="75">
        <f t="shared" si="36"/>
        <v>0.4</v>
      </c>
      <c r="R75" s="72">
        <f t="shared" si="36"/>
        <v>0.4</v>
      </c>
      <c r="S75" s="73">
        <f t="shared" si="36"/>
        <v>0.4</v>
      </c>
    </row>
    <row r="76" spans="1:19" x14ac:dyDescent="0.25">
      <c r="A76" s="80" t="s">
        <v>52</v>
      </c>
      <c r="B76" s="81">
        <v>0.6</v>
      </c>
      <c r="C76" s="82">
        <v>0.6</v>
      </c>
      <c r="D76" s="82">
        <v>0.6</v>
      </c>
      <c r="E76" s="82">
        <v>0.6</v>
      </c>
      <c r="F76" s="82">
        <v>0.6</v>
      </c>
      <c r="G76" s="82">
        <v>0.6</v>
      </c>
      <c r="H76" s="82">
        <v>0.6</v>
      </c>
      <c r="I76" s="83">
        <v>0.6</v>
      </c>
      <c r="J76" s="81">
        <v>0.6</v>
      </c>
      <c r="K76" s="82">
        <v>0.6</v>
      </c>
      <c r="L76" s="82">
        <v>0.6</v>
      </c>
      <c r="M76" s="82">
        <v>0.6</v>
      </c>
      <c r="N76" s="82">
        <v>0.6</v>
      </c>
      <c r="O76" s="83">
        <v>0.6</v>
      </c>
      <c r="P76" s="81">
        <v>0.6</v>
      </c>
      <c r="Q76" s="85">
        <v>0.6</v>
      </c>
      <c r="R76" s="82">
        <v>0.6</v>
      </c>
      <c r="S76" s="83">
        <v>0.6</v>
      </c>
    </row>
    <row r="77" spans="1:19" x14ac:dyDescent="0.25">
      <c r="A77" s="86" t="s">
        <v>32</v>
      </c>
      <c r="B77" s="87">
        <v>0.01</v>
      </c>
      <c r="C77" s="88">
        <v>0.01</v>
      </c>
      <c r="D77" s="88">
        <v>0.01</v>
      </c>
      <c r="E77" s="88">
        <v>0.01</v>
      </c>
      <c r="F77" s="88">
        <v>0.01</v>
      </c>
      <c r="G77" s="88">
        <v>0.01</v>
      </c>
      <c r="H77" s="88">
        <v>0.01</v>
      </c>
      <c r="I77" s="89">
        <v>0.01</v>
      </c>
      <c r="J77" s="87">
        <v>0.01</v>
      </c>
      <c r="K77" s="88">
        <v>0.01</v>
      </c>
      <c r="L77" s="88">
        <v>0.01</v>
      </c>
      <c r="M77" s="88">
        <v>0.01</v>
      </c>
      <c r="N77" s="88">
        <v>0.01</v>
      </c>
      <c r="O77" s="89">
        <v>0.01</v>
      </c>
      <c r="P77" s="87">
        <v>0.01</v>
      </c>
      <c r="Q77" s="91">
        <v>0.01</v>
      </c>
      <c r="R77" s="88">
        <v>0.01</v>
      </c>
      <c r="S77" s="89">
        <v>0.01</v>
      </c>
    </row>
    <row r="78" spans="1:19" x14ac:dyDescent="0.25">
      <c r="A78" s="92" t="s">
        <v>54</v>
      </c>
      <c r="B78" s="93">
        <f t="shared" ref="B78:I78" si="37">(($V$13*B75)+($V$19*B76))*(1+B77)</f>
        <v>7828.2726160907796</v>
      </c>
      <c r="C78" s="94">
        <f t="shared" si="37"/>
        <v>7828.2726160907796</v>
      </c>
      <c r="D78" s="94">
        <f t="shared" si="37"/>
        <v>7828.2726160907796</v>
      </c>
      <c r="E78" s="94">
        <f t="shared" si="37"/>
        <v>7828.2726160907796</v>
      </c>
      <c r="F78" s="94">
        <f t="shared" si="37"/>
        <v>7828.2726160907796</v>
      </c>
      <c r="G78" s="94">
        <f t="shared" si="37"/>
        <v>7828.2726160907796</v>
      </c>
      <c r="H78" s="94">
        <f t="shared" si="37"/>
        <v>7828.2726160907796</v>
      </c>
      <c r="I78" s="95">
        <f t="shared" si="37"/>
        <v>7828.2726160907796</v>
      </c>
      <c r="J78" s="93">
        <f>(($W$13*J75)+($W$19*J76))*(1+J77)</f>
        <v>8084.9048265334604</v>
      </c>
      <c r="K78" s="94">
        <f t="shared" ref="K78:O78" si="38">(($W$13*K75)+($W$19*K76))*(1+K77)</f>
        <v>8084.9048265334604</v>
      </c>
      <c r="L78" s="94">
        <f t="shared" si="38"/>
        <v>8084.9048265334604</v>
      </c>
      <c r="M78" s="94">
        <f t="shared" si="38"/>
        <v>8084.9048265334604</v>
      </c>
      <c r="N78" s="94">
        <f t="shared" si="38"/>
        <v>8084.9048265334604</v>
      </c>
      <c r="O78" s="95">
        <f t="shared" si="38"/>
        <v>8084.9048265334604</v>
      </c>
      <c r="P78" s="93">
        <f>(($X$13*P75)+($X$19*P76))*(1+P77)</f>
        <v>7874.6404056481006</v>
      </c>
      <c r="Q78" s="97">
        <f>(($X$13*Q75)+($X$19*Q76))*(1+Q77)</f>
        <v>7874.6404056481006</v>
      </c>
      <c r="R78" s="94">
        <f>(($X$13*R75)+($X$19*R76))*(1+R77)</f>
        <v>7874.6404056481006</v>
      </c>
      <c r="S78" s="95">
        <f>(($X$13*S75)+($X$19*S76))*(1+S77)</f>
        <v>7874.6404056481006</v>
      </c>
    </row>
    <row r="79" spans="1:19" x14ac:dyDescent="0.25">
      <c r="A79" s="92" t="s">
        <v>59</v>
      </c>
      <c r="B79" s="99">
        <f t="shared" ref="B79:S79" si="39">B80/$X$1</f>
        <v>20.499911086559305</v>
      </c>
      <c r="C79" s="5">
        <f t="shared" si="39"/>
        <v>26.634920973777788</v>
      </c>
      <c r="D79" s="5">
        <f t="shared" si="39"/>
        <v>30.046585008621228</v>
      </c>
      <c r="E79" s="5">
        <f t="shared" si="39"/>
        <v>58.19281329607967</v>
      </c>
      <c r="F79" s="5">
        <f t="shared" si="39"/>
        <v>56.861067247390778</v>
      </c>
      <c r="G79" s="5">
        <f t="shared" si="39"/>
        <v>59.853754997253453</v>
      </c>
      <c r="H79" s="5">
        <f t="shared" si="39"/>
        <v>71.824505996704147</v>
      </c>
      <c r="I79" s="100">
        <f t="shared" si="39"/>
        <v>74.817193746566829</v>
      </c>
      <c r="J79" s="99">
        <f t="shared" si="39"/>
        <v>21.017414489038735</v>
      </c>
      <c r="K79" s="5">
        <f t="shared" si="39"/>
        <v>21.171954301458136</v>
      </c>
      <c r="L79" s="5">
        <f t="shared" si="39"/>
        <v>44.352926164368512</v>
      </c>
      <c r="M79" s="5">
        <f t="shared" si="39"/>
        <v>58.72512871937294</v>
      </c>
      <c r="N79" s="5">
        <f t="shared" si="39"/>
        <v>61.815924967760992</v>
      </c>
      <c r="O79" s="100">
        <f t="shared" si="39"/>
        <v>74.179109961313188</v>
      </c>
      <c r="P79" s="99">
        <f t="shared" si="39"/>
        <v>20.621334497549306</v>
      </c>
      <c r="Q79" s="102">
        <f t="shared" si="39"/>
        <v>26.79268277783779</v>
      </c>
      <c r="R79" s="5">
        <f t="shared" si="39"/>
        <v>57.197862109990787</v>
      </c>
      <c r="S79" s="100">
        <f t="shared" si="39"/>
        <v>60.208275905253466</v>
      </c>
    </row>
    <row r="80" spans="1:19" x14ac:dyDescent="0.25">
      <c r="A80" s="86" t="s">
        <v>63</v>
      </c>
      <c r="B80" s="93">
        <f t="shared" ref="B80:S80" si="40">B78*(B74/1000)</f>
        <v>107.24733484044367</v>
      </c>
      <c r="C80" s="94">
        <f t="shared" si="40"/>
        <v>139.34325256641588</v>
      </c>
      <c r="D80" s="94">
        <f t="shared" si="40"/>
        <v>157.19171413110283</v>
      </c>
      <c r="E80" s="94">
        <f t="shared" si="40"/>
        <v>304.4415220397704</v>
      </c>
      <c r="F80" s="94">
        <f t="shared" si="40"/>
        <v>297.4743594114496</v>
      </c>
      <c r="G80" s="94">
        <f t="shared" si="40"/>
        <v>313.1309046436312</v>
      </c>
      <c r="H80" s="94">
        <f t="shared" si="40"/>
        <v>375.75708557235743</v>
      </c>
      <c r="I80" s="95">
        <f t="shared" si="40"/>
        <v>391.41363080453903</v>
      </c>
      <c r="J80" s="93">
        <f t="shared" si="40"/>
        <v>109.95470564085505</v>
      </c>
      <c r="K80" s="94">
        <f t="shared" si="40"/>
        <v>110.76319612350839</v>
      </c>
      <c r="L80" s="94">
        <f t="shared" si="40"/>
        <v>232.03676852151031</v>
      </c>
      <c r="M80" s="94">
        <f t="shared" si="40"/>
        <v>307.22638340827149</v>
      </c>
      <c r="N80" s="94">
        <f t="shared" si="40"/>
        <v>323.39619306133841</v>
      </c>
      <c r="O80" s="95">
        <f t="shared" si="40"/>
        <v>388.07543167360609</v>
      </c>
      <c r="P80" s="93">
        <f t="shared" si="40"/>
        <v>107.88257355737896</v>
      </c>
      <c r="Q80" s="97">
        <f t="shared" si="40"/>
        <v>140.16859922053618</v>
      </c>
      <c r="R80" s="94">
        <f t="shared" si="40"/>
        <v>299.23633541462783</v>
      </c>
      <c r="S80" s="95">
        <f t="shared" si="40"/>
        <v>314.98561622592405</v>
      </c>
    </row>
    <row r="81" spans="1:19" x14ac:dyDescent="0.25">
      <c r="A81" s="86" t="s">
        <v>66</v>
      </c>
      <c r="B81" s="93">
        <v>24.0242662</v>
      </c>
      <c r="C81" s="94">
        <v>29.1358122</v>
      </c>
      <c r="D81" s="94">
        <v>29.1358122</v>
      </c>
      <c r="E81" s="94">
        <v>47.956524571999999</v>
      </c>
      <c r="F81" s="94">
        <v>47.956524571999999</v>
      </c>
      <c r="G81" s="94">
        <v>47.956524571999999</v>
      </c>
      <c r="H81" s="94">
        <v>47.956524571999999</v>
      </c>
      <c r="I81" s="95">
        <v>47.956524571999999</v>
      </c>
      <c r="J81" s="93">
        <v>24.0242662</v>
      </c>
      <c r="K81" s="94">
        <v>24.0242662</v>
      </c>
      <c r="L81" s="94">
        <v>36.291976599999998</v>
      </c>
      <c r="M81" s="94">
        <v>47.956524571999999</v>
      </c>
      <c r="N81" s="94">
        <v>47.956524571999999</v>
      </c>
      <c r="O81" s="96">
        <v>47.956524571999999</v>
      </c>
      <c r="P81" s="93">
        <v>24.0242662</v>
      </c>
      <c r="Q81" s="97">
        <v>29.1358122</v>
      </c>
      <c r="R81" s="94">
        <v>47.956524571999999</v>
      </c>
      <c r="S81" s="95">
        <v>47.956524571999999</v>
      </c>
    </row>
    <row r="82" spans="1:19" x14ac:dyDescent="0.25">
      <c r="A82" s="86" t="s">
        <v>69</v>
      </c>
      <c r="B82" s="106"/>
      <c r="C82" s="103"/>
      <c r="D82" s="103"/>
      <c r="E82" s="103"/>
      <c r="F82" s="103"/>
      <c r="G82" s="103"/>
      <c r="H82" s="103"/>
      <c r="I82" s="107"/>
      <c r="J82" s="106"/>
      <c r="K82" s="103"/>
      <c r="L82" s="103"/>
      <c r="M82" s="103"/>
      <c r="N82" s="103"/>
      <c r="O82" s="107"/>
      <c r="P82" s="99"/>
      <c r="Q82" s="102">
        <v>2.4300000000000002</v>
      </c>
      <c r="R82" s="5"/>
      <c r="S82" s="100"/>
    </row>
    <row r="83" spans="1:19" x14ac:dyDescent="0.25">
      <c r="A83" s="86" t="s">
        <v>71</v>
      </c>
      <c r="B83" s="109">
        <f t="shared" ref="B83:S83" si="41">$V$26</f>
        <v>1.6666666666666681E-3</v>
      </c>
      <c r="C83" s="110">
        <f t="shared" si="41"/>
        <v>1.6666666666666681E-3</v>
      </c>
      <c r="D83" s="110">
        <f t="shared" si="41"/>
        <v>1.6666666666666681E-3</v>
      </c>
      <c r="E83" s="110">
        <f t="shared" si="41"/>
        <v>1.6666666666666681E-3</v>
      </c>
      <c r="F83" s="110">
        <f t="shared" si="41"/>
        <v>1.6666666666666681E-3</v>
      </c>
      <c r="G83" s="110">
        <f t="shared" si="41"/>
        <v>1.6666666666666681E-3</v>
      </c>
      <c r="H83" s="110">
        <f t="shared" si="41"/>
        <v>1.6666666666666681E-3</v>
      </c>
      <c r="I83" s="111">
        <f t="shared" si="41"/>
        <v>1.6666666666666681E-3</v>
      </c>
      <c r="J83" s="109">
        <f t="shared" si="41"/>
        <v>1.6666666666666681E-3</v>
      </c>
      <c r="K83" s="110">
        <f t="shared" si="41"/>
        <v>1.6666666666666681E-3</v>
      </c>
      <c r="L83" s="110">
        <f t="shared" si="41"/>
        <v>1.6666666666666681E-3</v>
      </c>
      <c r="M83" s="110">
        <f t="shared" si="41"/>
        <v>1.6666666666666681E-3</v>
      </c>
      <c r="N83" s="110">
        <f t="shared" si="41"/>
        <v>1.6666666666666681E-3</v>
      </c>
      <c r="O83" s="111">
        <f t="shared" si="41"/>
        <v>1.6666666666666681E-3</v>
      </c>
      <c r="P83" s="109">
        <f t="shared" si="41"/>
        <v>1.6666666666666681E-3</v>
      </c>
      <c r="Q83" s="113">
        <f t="shared" si="41"/>
        <v>1.6666666666666681E-3</v>
      </c>
      <c r="R83" s="110">
        <f t="shared" si="41"/>
        <v>1.6666666666666681E-3</v>
      </c>
      <c r="S83" s="111">
        <f t="shared" si="41"/>
        <v>1.6666666666666681E-3</v>
      </c>
    </row>
    <row r="84" spans="1:19" ht="13" x14ac:dyDescent="0.3">
      <c r="A84" s="62" t="s">
        <v>73</v>
      </c>
      <c r="B84" s="116">
        <f t="shared" ref="B84:S84" si="42">(B80+B81+(B82*$X$1))*(1+B83)</f>
        <v>131.49038704217776</v>
      </c>
      <c r="C84" s="117">
        <f t="shared" si="42"/>
        <v>168.75986320769326</v>
      </c>
      <c r="D84" s="117">
        <f t="shared" si="42"/>
        <v>186.63807220832135</v>
      </c>
      <c r="E84" s="117">
        <f t="shared" si="42"/>
        <v>352.9853766894567</v>
      </c>
      <c r="F84" s="117">
        <f t="shared" si="42"/>
        <v>346.006602123422</v>
      </c>
      <c r="G84" s="117">
        <f t="shared" si="42"/>
        <v>361.68924159765726</v>
      </c>
      <c r="H84" s="117">
        <f t="shared" si="42"/>
        <v>424.41979949459801</v>
      </c>
      <c r="I84" s="118">
        <f t="shared" si="42"/>
        <v>440.10243896883327</v>
      </c>
      <c r="J84" s="119">
        <f t="shared" si="42"/>
        <v>134.20227012725647</v>
      </c>
      <c r="K84" s="120">
        <f t="shared" si="42"/>
        <v>135.01210809404759</v>
      </c>
      <c r="L84" s="120">
        <f t="shared" si="42"/>
        <v>268.77595969671285</v>
      </c>
      <c r="M84" s="120">
        <f t="shared" si="42"/>
        <v>355.77487949357192</v>
      </c>
      <c r="N84" s="120">
        <f t="shared" si="42"/>
        <v>371.97163882939395</v>
      </c>
      <c r="O84" s="175">
        <f t="shared" si="42"/>
        <v>436.7586761726821</v>
      </c>
      <c r="P84" s="122">
        <f t="shared" si="42"/>
        <v>132.12668449030795</v>
      </c>
      <c r="Q84" s="123">
        <f t="shared" si="42"/>
        <v>182.3205614195704</v>
      </c>
      <c r="R84" s="124">
        <f t="shared" si="42"/>
        <v>347.77151475327219</v>
      </c>
      <c r="S84" s="125">
        <f t="shared" si="42"/>
        <v>363.54704436592056</v>
      </c>
    </row>
    <row r="85" spans="1:19" x14ac:dyDescent="0.25">
      <c r="A85" s="86" t="s">
        <v>75</v>
      </c>
      <c r="B85" s="129">
        <v>9.2499999999999999E-2</v>
      </c>
      <c r="C85" s="130">
        <v>9.2499999999999999E-2</v>
      </c>
      <c r="D85" s="130">
        <v>9.2499999999999999E-2</v>
      </c>
      <c r="E85" s="130">
        <v>9.2499999999999999E-2</v>
      </c>
      <c r="F85" s="130">
        <v>9.2499999999999999E-2</v>
      </c>
      <c r="G85" s="130">
        <v>9.2499999999999999E-2</v>
      </c>
      <c r="H85" s="130">
        <v>9.2499999999999999E-2</v>
      </c>
      <c r="I85" s="131">
        <v>9.2499999999999999E-2</v>
      </c>
      <c r="J85" s="129">
        <v>9.2499999999999999E-2</v>
      </c>
      <c r="K85" s="130">
        <v>9.2499999999999999E-2</v>
      </c>
      <c r="L85" s="130">
        <v>9.2499999999999999E-2</v>
      </c>
      <c r="M85" s="130">
        <v>9.2499999999999999E-2</v>
      </c>
      <c r="N85" s="130">
        <v>9.2499999999999999E-2</v>
      </c>
      <c r="O85" s="131">
        <v>9.2499999999999999E-2</v>
      </c>
      <c r="P85" s="129">
        <v>9.2499999999999999E-2</v>
      </c>
      <c r="Q85" s="133">
        <v>9.2499999999999999E-2</v>
      </c>
      <c r="R85" s="130">
        <v>9.2499999999999999E-2</v>
      </c>
      <c r="S85" s="131">
        <v>9.2499999999999999E-2</v>
      </c>
    </row>
    <row r="86" spans="1:19" x14ac:dyDescent="0.25">
      <c r="A86" s="86" t="s">
        <v>36</v>
      </c>
      <c r="B86" s="87">
        <v>0.22</v>
      </c>
      <c r="C86" s="88">
        <v>0.22</v>
      </c>
      <c r="D86" s="88">
        <v>0.22</v>
      </c>
      <c r="E86" s="88">
        <v>0.22</v>
      </c>
      <c r="F86" s="88">
        <v>0.22</v>
      </c>
      <c r="G86" s="88">
        <v>0.22</v>
      </c>
      <c r="H86" s="88">
        <v>0.22</v>
      </c>
      <c r="I86" s="89">
        <v>0.22</v>
      </c>
      <c r="J86" s="135">
        <v>0.20499999999999999</v>
      </c>
      <c r="K86" s="136">
        <v>0.20499999999999999</v>
      </c>
      <c r="L86" s="136">
        <v>0.20499999999999999</v>
      </c>
      <c r="M86" s="136">
        <v>0.20499999999999999</v>
      </c>
      <c r="N86" s="136">
        <v>0.20499999999999999</v>
      </c>
      <c r="O86" s="176">
        <v>0.20499999999999999</v>
      </c>
      <c r="P86" s="87">
        <v>0.18</v>
      </c>
      <c r="Q86" s="91">
        <v>0.18</v>
      </c>
      <c r="R86" s="88">
        <v>0.18</v>
      </c>
      <c r="S86" s="89">
        <v>0.18</v>
      </c>
    </row>
    <row r="87" spans="1:19" ht="13" x14ac:dyDescent="0.3">
      <c r="A87" s="62" t="s">
        <v>76</v>
      </c>
      <c r="B87" s="139">
        <f>(B84/(1-B85))/(1-B86)</f>
        <v>185.76024163619093</v>
      </c>
      <c r="C87" s="140">
        <f t="shared" ref="C87:S87" si="43">(C84/(1-C85))/(1-C86)</f>
        <v>238.41189970713182</v>
      </c>
      <c r="D87" s="140">
        <f t="shared" si="43"/>
        <v>263.66895840689602</v>
      </c>
      <c r="E87" s="140">
        <f t="shared" si="43"/>
        <v>498.67256719567234</v>
      </c>
      <c r="F87" s="140">
        <f t="shared" si="43"/>
        <v>488.81345217690472</v>
      </c>
      <c r="G87" s="140">
        <f t="shared" si="43"/>
        <v>510.96876682582075</v>
      </c>
      <c r="H87" s="140">
        <f t="shared" si="43"/>
        <v>599.59002542148482</v>
      </c>
      <c r="I87" s="141">
        <f t="shared" si="43"/>
        <v>621.74534007040086</v>
      </c>
      <c r="J87" s="139">
        <f t="shared" si="43"/>
        <v>186.01420049864888</v>
      </c>
      <c r="K87" s="140">
        <f t="shared" si="43"/>
        <v>187.13669538478797</v>
      </c>
      <c r="L87" s="140">
        <f t="shared" si="43"/>
        <v>372.5432156164913</v>
      </c>
      <c r="M87" s="140">
        <f t="shared" si="43"/>
        <v>493.13010654548492</v>
      </c>
      <c r="N87" s="140">
        <f t="shared" si="43"/>
        <v>515.58000426826607</v>
      </c>
      <c r="O87" s="141">
        <f t="shared" si="43"/>
        <v>605.37959515939087</v>
      </c>
      <c r="P87" s="139">
        <f t="shared" si="43"/>
        <v>177.55383254761534</v>
      </c>
      <c r="Q87" s="143">
        <f t="shared" si="43"/>
        <v>245.00512184313698</v>
      </c>
      <c r="R87" s="140">
        <f t="shared" si="43"/>
        <v>467.34060976049477</v>
      </c>
      <c r="S87" s="141">
        <f t="shared" si="43"/>
        <v>488.54000452317479</v>
      </c>
    </row>
    <row r="88" spans="1:19" x14ac:dyDescent="0.25">
      <c r="A88" s="76"/>
      <c r="B88" s="146"/>
      <c r="I88" s="147"/>
      <c r="J88" s="146"/>
      <c r="O88" s="147"/>
      <c r="P88" s="106"/>
      <c r="Q88" s="148"/>
      <c r="R88" s="103"/>
      <c r="S88" s="107"/>
    </row>
    <row r="89" spans="1:19" x14ac:dyDescent="0.25">
      <c r="A89" s="86" t="s">
        <v>75</v>
      </c>
      <c r="B89" s="129">
        <v>9.2499999999999999E-2</v>
      </c>
      <c r="C89" s="130">
        <v>9.2499999999999999E-2</v>
      </c>
      <c r="D89" s="130">
        <v>9.2499999999999999E-2</v>
      </c>
      <c r="E89" s="130">
        <v>9.2499999999999999E-2</v>
      </c>
      <c r="F89" s="130">
        <v>9.2499999999999999E-2</v>
      </c>
      <c r="G89" s="130">
        <v>9.2499999999999999E-2</v>
      </c>
      <c r="H89" s="130">
        <v>9.2499999999999999E-2</v>
      </c>
      <c r="I89" s="131">
        <v>9.2499999999999999E-2</v>
      </c>
      <c r="J89" s="129">
        <v>9.2499999999999999E-2</v>
      </c>
      <c r="K89" s="130">
        <v>9.2499999999999999E-2</v>
      </c>
      <c r="L89" s="130">
        <v>9.2499999999999999E-2</v>
      </c>
      <c r="M89" s="130">
        <v>9.2499999999999999E-2</v>
      </c>
      <c r="N89" s="130">
        <v>9.2499999999999999E-2</v>
      </c>
      <c r="O89" s="131">
        <v>9.2499999999999999E-2</v>
      </c>
      <c r="P89" s="129">
        <v>9.2499999999999999E-2</v>
      </c>
      <c r="Q89" s="133">
        <v>9.2499999999999999E-2</v>
      </c>
      <c r="R89" s="130">
        <v>9.2499999999999999E-2</v>
      </c>
      <c r="S89" s="131">
        <v>9.2499999999999999E-2</v>
      </c>
    </row>
    <row r="90" spans="1:19" x14ac:dyDescent="0.25">
      <c r="A90" s="86" t="s">
        <v>36</v>
      </c>
      <c r="B90" s="87">
        <v>0.12</v>
      </c>
      <c r="C90" s="88">
        <v>0.12</v>
      </c>
      <c r="D90" s="88">
        <v>0.12</v>
      </c>
      <c r="E90" s="88">
        <v>0.12</v>
      </c>
      <c r="F90" s="88">
        <v>0.12</v>
      </c>
      <c r="G90" s="88">
        <v>0.12</v>
      </c>
      <c r="H90" s="88">
        <v>0.12</v>
      </c>
      <c r="I90" s="89">
        <v>0.12</v>
      </c>
      <c r="J90" s="87">
        <v>0.12</v>
      </c>
      <c r="K90" s="88">
        <v>0.12</v>
      </c>
      <c r="L90" s="88">
        <v>0.12</v>
      </c>
      <c r="M90" s="88">
        <v>0.12</v>
      </c>
      <c r="N90" s="88">
        <v>0.12</v>
      </c>
      <c r="O90" s="89">
        <v>0.12</v>
      </c>
      <c r="P90" s="87">
        <v>0.12</v>
      </c>
      <c r="Q90" s="91">
        <v>0.12</v>
      </c>
      <c r="R90" s="88">
        <v>0.12</v>
      </c>
      <c r="S90" s="89">
        <v>0.12</v>
      </c>
    </row>
    <row r="91" spans="1:19" ht="13" x14ac:dyDescent="0.3">
      <c r="A91" s="62" t="s">
        <v>76</v>
      </c>
      <c r="B91" s="139">
        <f>(B84/(1-B89))/(1-B90)</f>
        <v>164.65112326844198</v>
      </c>
      <c r="C91" s="140">
        <f t="shared" ref="C91:S91" si="44">(C84/(1-C89))/(1-C90)</f>
        <v>211.31963837677594</v>
      </c>
      <c r="D91" s="140">
        <f t="shared" si="44"/>
        <v>233.70657676974878</v>
      </c>
      <c r="E91" s="140">
        <f t="shared" si="44"/>
        <v>442.00523001434595</v>
      </c>
      <c r="F91" s="140">
        <f t="shared" si="44"/>
        <v>433.26646897498375</v>
      </c>
      <c r="G91" s="140">
        <f t="shared" si="44"/>
        <v>452.90413423197754</v>
      </c>
      <c r="H91" s="140">
        <f t="shared" si="44"/>
        <v>531.45479525995245</v>
      </c>
      <c r="I91" s="141">
        <f t="shared" si="44"/>
        <v>551.09246051694629</v>
      </c>
      <c r="J91" s="139">
        <f t="shared" si="44"/>
        <v>168.04691976866576</v>
      </c>
      <c r="K91" s="140">
        <f t="shared" si="44"/>
        <v>169.06099185330277</v>
      </c>
      <c r="L91" s="140">
        <f t="shared" si="44"/>
        <v>336.55892774444385</v>
      </c>
      <c r="M91" s="140">
        <f t="shared" si="44"/>
        <v>445.49822125415972</v>
      </c>
      <c r="N91" s="140">
        <f t="shared" si="44"/>
        <v>465.77966294689952</v>
      </c>
      <c r="O91" s="141">
        <f t="shared" si="44"/>
        <v>546.90542971785885</v>
      </c>
      <c r="P91" s="139">
        <f t="shared" si="44"/>
        <v>165.44788941936886</v>
      </c>
      <c r="Q91" s="143">
        <f t="shared" si="44"/>
        <v>228.30022717201402</v>
      </c>
      <c r="R91" s="140">
        <f t="shared" si="44"/>
        <v>435.47647727682471</v>
      </c>
      <c r="S91" s="141">
        <f t="shared" si="44"/>
        <v>455.2304587602311</v>
      </c>
    </row>
    <row r="92" spans="1:19" x14ac:dyDescent="0.25">
      <c r="A92" s="76"/>
      <c r="B92" s="146"/>
      <c r="I92" s="147"/>
      <c r="J92" s="156"/>
      <c r="K92" s="157"/>
      <c r="L92" s="157"/>
      <c r="M92" s="157"/>
      <c r="N92" s="157"/>
      <c r="O92" s="157"/>
      <c r="P92" s="156"/>
      <c r="Q92" s="157"/>
      <c r="R92" s="157"/>
      <c r="S92" s="158"/>
    </row>
    <row r="93" spans="1:19" x14ac:dyDescent="0.25">
      <c r="A93" s="86" t="s">
        <v>75</v>
      </c>
      <c r="B93" s="129">
        <v>9.2499999999999999E-2</v>
      </c>
      <c r="C93" s="130">
        <v>9.2499999999999999E-2</v>
      </c>
      <c r="D93" s="130">
        <v>9.2499999999999999E-2</v>
      </c>
      <c r="E93" s="130">
        <v>9.2499999999999999E-2</v>
      </c>
      <c r="F93" s="130">
        <v>9.2499999999999999E-2</v>
      </c>
      <c r="G93" s="130">
        <v>9.2499999999999999E-2</v>
      </c>
      <c r="H93" s="130">
        <v>9.2499999999999999E-2</v>
      </c>
      <c r="I93" s="131">
        <v>9.2499999999999999E-2</v>
      </c>
      <c r="J93" s="76"/>
      <c r="K93"/>
      <c r="L93" s="103" t="s">
        <v>82</v>
      </c>
      <c r="M93"/>
      <c r="N93"/>
      <c r="O93"/>
      <c r="P93" s="129">
        <v>9.2499999999999999E-2</v>
      </c>
      <c r="Q93" s="133">
        <v>9.2499999999999999E-2</v>
      </c>
      <c r="R93" s="130">
        <v>9.2499999999999999E-2</v>
      </c>
      <c r="S93" s="131">
        <v>9.2499999999999999E-2</v>
      </c>
    </row>
    <row r="94" spans="1:19" x14ac:dyDescent="0.25">
      <c r="A94" s="86" t="s">
        <v>36</v>
      </c>
      <c r="B94" s="87">
        <v>7.0000000000000007E-2</v>
      </c>
      <c r="C94" s="88">
        <v>7.0000000000000007E-2</v>
      </c>
      <c r="D94" s="88">
        <v>7.0000000000000007E-2</v>
      </c>
      <c r="E94" s="88">
        <v>7.0000000000000007E-2</v>
      </c>
      <c r="F94" s="88">
        <v>7.0000000000000007E-2</v>
      </c>
      <c r="G94" s="88">
        <v>7.0000000000000007E-2</v>
      </c>
      <c r="H94" s="88">
        <v>7.0000000000000007E-2</v>
      </c>
      <c r="I94" s="89">
        <v>7.0000000000000007E-2</v>
      </c>
      <c r="J94" s="76"/>
      <c r="K94"/>
      <c r="L94" s="94">
        <f>L84*(1+12%)</f>
        <v>301.02907486031842</v>
      </c>
      <c r="M94"/>
      <c r="N94"/>
      <c r="O94"/>
      <c r="P94" s="87">
        <v>7.0000000000000007E-2</v>
      </c>
      <c r="Q94" s="91">
        <v>7.0000000000000007E-2</v>
      </c>
      <c r="R94" s="88">
        <v>7.0000000000000007E-2</v>
      </c>
      <c r="S94" s="89">
        <v>7.0000000000000007E-2</v>
      </c>
    </row>
    <row r="95" spans="1:19" ht="13.5" thickBot="1" x14ac:dyDescent="0.35">
      <c r="A95" s="163" t="s">
        <v>76</v>
      </c>
      <c r="B95" s="164">
        <f>(B84/(1-B93))/(1-B94)</f>
        <v>155.79891234003114</v>
      </c>
      <c r="C95" s="165">
        <f t="shared" ref="C95:I95" si="45">(C84/(1-C93))/(1-C94)</f>
        <v>199.95836749630413</v>
      </c>
      <c r="D95" s="165">
        <f t="shared" si="45"/>
        <v>221.14170705094509</v>
      </c>
      <c r="E95" s="165">
        <f t="shared" si="45"/>
        <v>418.24150797056399</v>
      </c>
      <c r="F95" s="165">
        <f t="shared" si="45"/>
        <v>409.972572793533</v>
      </c>
      <c r="G95" s="165">
        <f t="shared" si="45"/>
        <v>428.55444959584975</v>
      </c>
      <c r="H95" s="165">
        <f t="shared" si="45"/>
        <v>502.88195680511632</v>
      </c>
      <c r="I95" s="166">
        <f t="shared" si="45"/>
        <v>521.46383360743312</v>
      </c>
      <c r="J95" s="167"/>
      <c r="K95" s="168"/>
      <c r="L95" s="168"/>
      <c r="M95" s="168"/>
      <c r="N95" s="168"/>
      <c r="O95" s="168"/>
      <c r="P95" s="164">
        <f>(P84/(1-P93))/(1-P94)</f>
        <v>156.55284160112322</v>
      </c>
      <c r="Q95" s="195">
        <f t="shared" ref="Q95:S95" si="46">(Q84/(1-Q93))/(1-Q94)</f>
        <v>216.02602141007779</v>
      </c>
      <c r="R95" s="165">
        <f t="shared" si="46"/>
        <v>412.06376344473739</v>
      </c>
      <c r="S95" s="166">
        <f t="shared" si="46"/>
        <v>430.75570291290688</v>
      </c>
    </row>
  </sheetData>
  <mergeCells count="3">
    <mergeCell ref="AA2:AH2"/>
    <mergeCell ref="AA3:AH3"/>
    <mergeCell ref="AA4:AH4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97E5-62E1-44DD-9E6F-00A5DCAC207F}">
  <dimension ref="A1:AV219"/>
  <sheetViews>
    <sheetView workbookViewId="0">
      <selection activeCell="AN3" sqref="AN3"/>
    </sheetView>
  </sheetViews>
  <sheetFormatPr defaultColWidth="8.7265625" defaultRowHeight="12.5" x14ac:dyDescent="0.25"/>
  <cols>
    <col min="1" max="1" width="11.54296875" style="1" bestFit="1" customWidth="1"/>
    <col min="2" max="2" width="6" style="1" bestFit="1" customWidth="1"/>
    <col min="3" max="4" width="5.7265625" style="1" bestFit="1" customWidth="1"/>
    <col min="5" max="5" width="6.1796875" style="1" bestFit="1" customWidth="1"/>
    <col min="6" max="6" width="10.1796875" style="1" bestFit="1" customWidth="1"/>
    <col min="7" max="7" width="8.81640625" style="1" bestFit="1" customWidth="1"/>
    <col min="8" max="8" width="8.26953125" style="1" customWidth="1"/>
    <col min="9" max="9" width="6.26953125" style="1" bestFit="1" customWidth="1"/>
    <col min="10" max="10" width="12.54296875" style="1" bestFit="1" customWidth="1"/>
    <col min="11" max="12" width="11.81640625" style="1" customWidth="1"/>
    <col min="13" max="13" width="12.54296875" style="1" bestFit="1" customWidth="1"/>
    <col min="14" max="21" width="10.81640625" style="1" hidden="1" customWidth="1"/>
    <col min="22" max="22" width="9.453125" style="1" customWidth="1"/>
    <col min="23" max="24" width="9.26953125" style="1" customWidth="1"/>
    <col min="25" max="27" width="9.26953125" style="1" hidden="1" customWidth="1"/>
    <col min="28" max="28" width="9.81640625" style="1" hidden="1" customWidth="1"/>
    <col min="29" max="30" width="9.26953125" style="1" hidden="1" customWidth="1"/>
    <col min="31" max="31" width="9.453125" style="1" hidden="1" customWidth="1"/>
    <col min="32" max="32" width="9.26953125" style="1" hidden="1" customWidth="1"/>
    <col min="33" max="33" width="11.54296875" style="1" hidden="1" customWidth="1"/>
    <col min="34" max="34" width="36.81640625" style="1" bestFit="1" customWidth="1"/>
    <col min="35" max="44" width="12.453125" style="6" bestFit="1" customWidth="1"/>
    <col min="45" max="47" width="12.54296875" style="6" bestFit="1" customWidth="1"/>
    <col min="48" max="48" width="12.453125" style="6" bestFit="1" customWidth="1"/>
    <col min="49" max="16384" width="8.7265625" style="1"/>
  </cols>
  <sheetData>
    <row r="1" spans="1:48" ht="13" x14ac:dyDescent="0.25">
      <c r="F1" s="206"/>
      <c r="G1" s="207"/>
      <c r="H1" s="207"/>
      <c r="I1" s="208"/>
      <c r="J1" s="3">
        <v>46023</v>
      </c>
      <c r="K1" s="3">
        <v>46054</v>
      </c>
      <c r="L1" s="3">
        <v>46082</v>
      </c>
      <c r="M1" s="3">
        <v>46113</v>
      </c>
      <c r="N1" s="3">
        <v>46143</v>
      </c>
      <c r="O1" s="3">
        <v>46174</v>
      </c>
      <c r="P1" s="3">
        <v>46204</v>
      </c>
      <c r="Q1" s="3">
        <v>46235</v>
      </c>
      <c r="R1" s="3">
        <v>46266</v>
      </c>
      <c r="S1" s="3">
        <v>46296</v>
      </c>
      <c r="T1" s="3">
        <v>46327</v>
      </c>
      <c r="U1" s="3">
        <v>46357</v>
      </c>
      <c r="AH1" s="4" t="s">
        <v>0</v>
      </c>
      <c r="AI1" s="4">
        <v>45931</v>
      </c>
      <c r="AJ1" s="4">
        <v>45962</v>
      </c>
      <c r="AK1" s="4">
        <v>45992</v>
      </c>
      <c r="AL1" s="4">
        <v>46023</v>
      </c>
      <c r="AM1" s="4">
        <v>46054</v>
      </c>
      <c r="AN1" s="4">
        <v>46082</v>
      </c>
      <c r="AO1" s="4">
        <v>46113</v>
      </c>
      <c r="AP1" s="4">
        <v>46143</v>
      </c>
      <c r="AQ1" s="4">
        <v>46174</v>
      </c>
      <c r="AR1" s="4">
        <v>46204</v>
      </c>
      <c r="AS1" s="4">
        <v>46235</v>
      </c>
      <c r="AT1" s="4">
        <v>46266</v>
      </c>
      <c r="AU1" s="4">
        <v>46296</v>
      </c>
      <c r="AV1" s="4">
        <v>46327</v>
      </c>
    </row>
    <row r="2" spans="1:48" ht="14.5" customHeight="1" x14ac:dyDescent="0.25">
      <c r="F2" s="200" t="s">
        <v>1</v>
      </c>
      <c r="G2" s="201"/>
      <c r="H2" s="201"/>
      <c r="I2" s="202"/>
      <c r="J2" s="23">
        <v>805</v>
      </c>
      <c r="K2" s="23">
        <v>830</v>
      </c>
      <c r="L2" s="23">
        <v>852.5</v>
      </c>
      <c r="M2" s="23">
        <v>1115</v>
      </c>
      <c r="N2" s="23"/>
      <c r="O2" s="23"/>
      <c r="P2" s="23"/>
      <c r="Q2" s="5"/>
      <c r="R2" s="5"/>
      <c r="S2" s="5"/>
      <c r="T2" s="23"/>
      <c r="U2" s="5"/>
      <c r="AH2" s="24" t="s">
        <v>2</v>
      </c>
      <c r="AI2" s="25">
        <v>2654</v>
      </c>
      <c r="AJ2" s="25">
        <v>1999</v>
      </c>
      <c r="AK2" s="25">
        <v>1699</v>
      </c>
      <c r="AL2" s="25">
        <v>1473</v>
      </c>
      <c r="AM2" s="25">
        <v>1486</v>
      </c>
      <c r="AN2" s="25">
        <v>2795</v>
      </c>
      <c r="AO2" s="25"/>
      <c r="AP2" s="25"/>
      <c r="AQ2" s="25"/>
      <c r="AR2" s="25"/>
      <c r="AS2" s="25"/>
      <c r="AT2" s="25"/>
      <c r="AU2" s="25"/>
      <c r="AV2" s="25"/>
    </row>
    <row r="3" spans="1:48" ht="14.5" customHeight="1" x14ac:dyDescent="0.25">
      <c r="F3" s="200" t="s">
        <v>3</v>
      </c>
      <c r="G3" s="201"/>
      <c r="H3" s="201"/>
      <c r="I3" s="202"/>
      <c r="J3" s="23">
        <v>892.38</v>
      </c>
      <c r="K3" s="23">
        <v>925</v>
      </c>
      <c r="L3" s="23">
        <v>939</v>
      </c>
      <c r="M3" s="23">
        <v>1235.75</v>
      </c>
      <c r="N3" s="23"/>
      <c r="O3" s="23"/>
      <c r="P3" s="23"/>
      <c r="Q3" s="5"/>
      <c r="R3" s="5"/>
      <c r="S3" s="5"/>
      <c r="T3" s="23"/>
      <c r="U3" s="5"/>
      <c r="AH3" s="2" t="s">
        <v>4</v>
      </c>
      <c r="AI3" s="25">
        <f>AI2/21</f>
        <v>126.38095238095238</v>
      </c>
      <c r="AJ3" s="25">
        <f t="shared" ref="AJ3:AV3" si="0">AJ2/21</f>
        <v>95.19047619047619</v>
      </c>
      <c r="AK3" s="25">
        <f t="shared" si="0"/>
        <v>80.904761904761898</v>
      </c>
      <c r="AL3" s="25">
        <f t="shared" si="0"/>
        <v>70.142857142857139</v>
      </c>
      <c r="AM3" s="25">
        <f t="shared" si="0"/>
        <v>70.761904761904759</v>
      </c>
      <c r="AN3" s="25">
        <f t="shared" si="0"/>
        <v>133.0952380952381</v>
      </c>
      <c r="AO3" s="25">
        <f t="shared" si="0"/>
        <v>0</v>
      </c>
      <c r="AP3" s="25">
        <f t="shared" si="0"/>
        <v>0</v>
      </c>
      <c r="AQ3" s="25">
        <f t="shared" si="0"/>
        <v>0</v>
      </c>
      <c r="AR3" s="25">
        <f t="shared" si="0"/>
        <v>0</v>
      </c>
      <c r="AS3" s="25">
        <f t="shared" si="0"/>
        <v>0</v>
      </c>
      <c r="AT3" s="25">
        <f t="shared" si="0"/>
        <v>0</v>
      </c>
      <c r="AU3" s="25">
        <f t="shared" si="0"/>
        <v>0</v>
      </c>
      <c r="AV3" s="25">
        <f t="shared" si="0"/>
        <v>0</v>
      </c>
    </row>
    <row r="4" spans="1:48" ht="14.5" customHeight="1" x14ac:dyDescent="0.25">
      <c r="F4" s="200" t="s">
        <v>5</v>
      </c>
      <c r="G4" s="201"/>
      <c r="H4" s="201"/>
      <c r="I4" s="202"/>
      <c r="J4" s="26">
        <f t="shared" ref="J4:O4" si="1">IF(J2&gt;J3,J3,IF((J3-J2)&gt;75,(J3-75),J2))</f>
        <v>817.38</v>
      </c>
      <c r="K4" s="26">
        <f t="shared" si="1"/>
        <v>850</v>
      </c>
      <c r="L4" s="26">
        <f t="shared" si="1"/>
        <v>864</v>
      </c>
      <c r="M4" s="26">
        <f t="shared" si="1"/>
        <v>1160.75</v>
      </c>
      <c r="N4" s="26">
        <f t="shared" si="1"/>
        <v>0</v>
      </c>
      <c r="O4" s="26">
        <f t="shared" si="1"/>
        <v>0</v>
      </c>
      <c r="P4" s="27">
        <f>IF(P2&gt;P3,P3,IF((P3-P2)&gt;75,(P3-75),P2))</f>
        <v>0</v>
      </c>
      <c r="Q4" s="27">
        <f t="shared" ref="Q4:U4" si="2">IF(Q2&gt;Q3,Q3,IF((Q3-Q2)&gt;75,(Q3-75),Q2))</f>
        <v>0</v>
      </c>
      <c r="R4" s="27">
        <f t="shared" si="2"/>
        <v>0</v>
      </c>
      <c r="S4" s="27">
        <f t="shared" si="2"/>
        <v>0</v>
      </c>
      <c r="T4" s="27">
        <f t="shared" si="2"/>
        <v>0</v>
      </c>
      <c r="U4" s="27">
        <f t="shared" si="2"/>
        <v>0</v>
      </c>
      <c r="AB4" s="28"/>
    </row>
    <row r="5" spans="1:48" ht="14.5" customHeight="1" x14ac:dyDescent="0.25">
      <c r="F5" s="200" t="s">
        <v>6</v>
      </c>
      <c r="G5" s="201"/>
      <c r="H5" s="201"/>
      <c r="I5" s="202"/>
      <c r="J5" s="29">
        <v>5.4531000000000001</v>
      </c>
      <c r="K5" s="29">
        <v>5.3380000000000001</v>
      </c>
      <c r="L5" s="29">
        <v>5.2005999999999997</v>
      </c>
      <c r="M5" s="29">
        <v>5.2316000000000003</v>
      </c>
      <c r="N5" s="29"/>
      <c r="O5" s="29"/>
      <c r="P5" s="29"/>
      <c r="Q5" s="29"/>
      <c r="R5" s="29"/>
      <c r="S5" s="29"/>
      <c r="T5" s="29"/>
      <c r="U5" s="29"/>
      <c r="AI5" s="4">
        <v>45658</v>
      </c>
      <c r="AJ5" s="4">
        <v>45689</v>
      </c>
      <c r="AK5" s="4">
        <v>45717</v>
      </c>
      <c r="AL5" s="4">
        <v>45748</v>
      </c>
      <c r="AM5" s="4">
        <v>45778</v>
      </c>
      <c r="AN5" s="4">
        <v>45809</v>
      </c>
      <c r="AO5" s="4">
        <v>45839</v>
      </c>
      <c r="AP5" s="4">
        <v>45870</v>
      </c>
      <c r="AQ5" s="4">
        <v>45901</v>
      </c>
      <c r="AR5" s="4">
        <v>45931</v>
      </c>
      <c r="AS5" s="4">
        <v>45962</v>
      </c>
      <c r="AT5" s="4">
        <v>45992</v>
      </c>
    </row>
    <row r="6" spans="1:48" s="31" customFormat="1" ht="14.5" customHeight="1" x14ac:dyDescent="0.25">
      <c r="A6" s="30"/>
      <c r="B6" s="30"/>
      <c r="F6" s="200" t="s">
        <v>7</v>
      </c>
      <c r="G6" s="201"/>
      <c r="H6" s="201"/>
      <c r="I6" s="202"/>
      <c r="J6" s="7">
        <v>2.5000000000000001E-2</v>
      </c>
      <c r="K6" s="7">
        <v>2.5000000000000001E-2</v>
      </c>
      <c r="L6" s="7">
        <v>2.5000000000000001E-2</v>
      </c>
      <c r="M6" s="7">
        <v>2.5000000000000001E-2</v>
      </c>
      <c r="N6" s="7">
        <v>2.5000000000000001E-2</v>
      </c>
      <c r="O6" s="7">
        <v>2.5000000000000001E-2</v>
      </c>
      <c r="P6" s="7">
        <v>2.5000000000000001E-2</v>
      </c>
      <c r="Q6" s="7">
        <v>2.5000000000000001E-2</v>
      </c>
      <c r="R6" s="7">
        <v>2.5000000000000001E-2</v>
      </c>
      <c r="S6" s="7">
        <v>2.5000000000000001E-2</v>
      </c>
      <c r="T6" s="7">
        <v>2.5000000000000001E-2</v>
      </c>
      <c r="U6" s="7">
        <v>2.5000000000000001E-2</v>
      </c>
      <c r="AH6" s="2" t="s">
        <v>8</v>
      </c>
      <c r="AI6" s="25">
        <f t="shared" ref="AI6:AT6" si="3">AVERAGE(AI3:AK3)</f>
        <v>100.82539682539682</v>
      </c>
      <c r="AJ6" s="25">
        <f t="shared" si="3"/>
        <v>82.079365079365076</v>
      </c>
      <c r="AK6" s="25">
        <f t="shared" si="3"/>
        <v>73.936507936507937</v>
      </c>
      <c r="AL6" s="25">
        <f t="shared" si="3"/>
        <v>91.333333333333329</v>
      </c>
      <c r="AM6" s="25">
        <f t="shared" si="3"/>
        <v>67.952380952380949</v>
      </c>
      <c r="AN6" s="25">
        <f t="shared" si="3"/>
        <v>44.365079365079367</v>
      </c>
      <c r="AO6" s="25">
        <f t="shared" si="3"/>
        <v>0</v>
      </c>
      <c r="AP6" s="25">
        <f t="shared" si="3"/>
        <v>0</v>
      </c>
      <c r="AQ6" s="25">
        <f t="shared" si="3"/>
        <v>0</v>
      </c>
      <c r="AR6" s="25">
        <f t="shared" si="3"/>
        <v>0</v>
      </c>
      <c r="AS6" s="25">
        <f t="shared" si="3"/>
        <v>0</v>
      </c>
      <c r="AT6" s="25">
        <f t="shared" si="3"/>
        <v>0</v>
      </c>
      <c r="AU6" s="6"/>
      <c r="AV6" s="6"/>
    </row>
    <row r="7" spans="1:48" s="31" customFormat="1" ht="14.5" customHeight="1" x14ac:dyDescent="0.25">
      <c r="A7" s="30"/>
      <c r="B7" s="30"/>
      <c r="F7" s="200" t="s">
        <v>9</v>
      </c>
      <c r="G7" s="201"/>
      <c r="H7" s="201"/>
      <c r="I7" s="202"/>
      <c r="J7" s="7">
        <v>0.04</v>
      </c>
      <c r="K7" s="7">
        <v>0.04</v>
      </c>
      <c r="L7" s="7">
        <v>0.04</v>
      </c>
      <c r="M7" s="7">
        <v>0.04</v>
      </c>
      <c r="N7" s="7">
        <v>0.04</v>
      </c>
      <c r="O7" s="7">
        <v>0.04</v>
      </c>
      <c r="P7" s="7">
        <v>0.04</v>
      </c>
      <c r="Q7" s="7">
        <v>0.04</v>
      </c>
      <c r="R7" s="7">
        <v>0.04</v>
      </c>
      <c r="S7" s="7">
        <v>0.04</v>
      </c>
      <c r="T7" s="7">
        <v>0.04</v>
      </c>
      <c r="U7" s="7">
        <v>0.04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</row>
    <row r="8" spans="1:48" s="31" customFormat="1" ht="14.5" customHeight="1" x14ac:dyDescent="0.25">
      <c r="A8" s="30"/>
      <c r="B8" s="30"/>
      <c r="F8" s="200" t="s">
        <v>10</v>
      </c>
      <c r="G8" s="201"/>
      <c r="H8" s="201"/>
      <c r="I8" s="202"/>
      <c r="J8" s="7">
        <v>0.01</v>
      </c>
      <c r="K8" s="7">
        <v>0.01</v>
      </c>
      <c r="L8" s="7">
        <v>0.01</v>
      </c>
      <c r="M8" s="7">
        <v>0.01</v>
      </c>
      <c r="N8" s="7">
        <v>0.01</v>
      </c>
      <c r="O8" s="7">
        <v>0.01</v>
      </c>
      <c r="P8" s="7">
        <v>0.01</v>
      </c>
      <c r="Q8" s="7">
        <v>0.01</v>
      </c>
      <c r="R8" s="7">
        <v>0.01</v>
      </c>
      <c r="S8" s="7">
        <v>0.01</v>
      </c>
      <c r="T8" s="7">
        <v>0.01</v>
      </c>
      <c r="U8" s="7">
        <v>0.01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</row>
    <row r="9" spans="1:48" s="31" customFormat="1" ht="14.5" customHeight="1" x14ac:dyDescent="0.25">
      <c r="A9" s="30"/>
      <c r="B9" s="30"/>
      <c r="C9" s="30"/>
      <c r="D9" s="30"/>
      <c r="E9" s="30"/>
      <c r="F9" s="200" t="s">
        <v>11</v>
      </c>
      <c r="G9" s="201"/>
      <c r="H9" s="201"/>
      <c r="I9" s="202"/>
      <c r="J9" s="33">
        <f>IF(AI6&gt;300,AI6*(1-15%),IF(AND(AI6&lt;=300,AI6&gt;=251),AI6*(1-10%),IF(AND(AI6&lt;=250,AI6&gt;=201),AI6*(1-5%),IF(AI6&lt;200,AI6,0))))</f>
        <v>100.82539682539682</v>
      </c>
      <c r="K9" s="33">
        <f t="shared" ref="K9:U9" si="4">IF(AJ6&gt;300,AJ6*(1-15%),IF(AND(AJ6&lt;=300,AJ6&gt;=251),AJ6*(1-10%),IF(AND(AJ6&lt;=250,AJ6&gt;=201),AJ6*(1-5%),IF(AJ6&lt;200,AJ6,0))))</f>
        <v>82.079365079365076</v>
      </c>
      <c r="L9" s="33">
        <f t="shared" si="4"/>
        <v>73.936507936507937</v>
      </c>
      <c r="M9" s="33">
        <f t="shared" si="4"/>
        <v>91.333333333333329</v>
      </c>
      <c r="N9" s="33">
        <f t="shared" si="4"/>
        <v>67.952380952380949</v>
      </c>
      <c r="O9" s="33">
        <f t="shared" si="4"/>
        <v>44.365079365079367</v>
      </c>
      <c r="P9" s="33">
        <f t="shared" si="4"/>
        <v>0</v>
      </c>
      <c r="Q9" s="33">
        <f t="shared" si="4"/>
        <v>0</v>
      </c>
      <c r="R9" s="33">
        <f t="shared" si="4"/>
        <v>0</v>
      </c>
      <c r="S9" s="33">
        <f>IF(AR6&gt;300,AR6*(1-15%),IF(AND(AR6&lt;=300,AR6&gt;=251),AR6*(1-10%),IF(AND(AR6&lt;=250,AR6&gt;=201),AR6*(1-5%),IF(AR6&lt;200,AR6,0))))</f>
        <v>0</v>
      </c>
      <c r="T9" s="33">
        <f t="shared" si="4"/>
        <v>0</v>
      </c>
      <c r="U9" s="33">
        <f t="shared" si="4"/>
        <v>0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</row>
    <row r="10" spans="1:48" ht="14.5" customHeight="1" x14ac:dyDescent="0.25">
      <c r="F10" s="200" t="s">
        <v>12</v>
      </c>
      <c r="G10" s="201"/>
      <c r="H10" s="201"/>
      <c r="I10" s="202"/>
      <c r="J10" s="34">
        <v>0.26</v>
      </c>
      <c r="K10" s="34">
        <v>0.26</v>
      </c>
      <c r="L10" s="34">
        <v>0.26</v>
      </c>
      <c r="M10" s="34">
        <v>0.26</v>
      </c>
      <c r="N10" s="34">
        <v>0.26</v>
      </c>
      <c r="O10" s="34">
        <v>0.26</v>
      </c>
      <c r="P10" s="35">
        <v>0.26</v>
      </c>
      <c r="Q10" s="35">
        <v>0.26</v>
      </c>
      <c r="R10" s="35">
        <v>0.26</v>
      </c>
      <c r="S10" s="35">
        <v>0.26</v>
      </c>
      <c r="T10" s="35">
        <v>0.26</v>
      </c>
      <c r="U10" s="35">
        <v>0.26</v>
      </c>
    </row>
    <row r="11" spans="1:48" ht="14.5" customHeight="1" x14ac:dyDescent="0.25">
      <c r="F11" s="200" t="s">
        <v>88</v>
      </c>
      <c r="G11" s="201"/>
      <c r="H11" s="201"/>
      <c r="I11" s="202"/>
      <c r="J11" s="33">
        <f>85-25</f>
        <v>60</v>
      </c>
      <c r="K11" s="33">
        <f t="shared" ref="K11:U11" si="5">85-25</f>
        <v>60</v>
      </c>
      <c r="L11" s="33">
        <f t="shared" si="5"/>
        <v>60</v>
      </c>
      <c r="M11" s="33">
        <f t="shared" si="5"/>
        <v>60</v>
      </c>
      <c r="N11" s="33">
        <f t="shared" si="5"/>
        <v>60</v>
      </c>
      <c r="O11" s="33">
        <f t="shared" si="5"/>
        <v>60</v>
      </c>
      <c r="P11" s="33">
        <f t="shared" si="5"/>
        <v>60</v>
      </c>
      <c r="Q11" s="33">
        <f t="shared" si="5"/>
        <v>60</v>
      </c>
      <c r="R11" s="33">
        <f t="shared" si="5"/>
        <v>60</v>
      </c>
      <c r="S11" s="33">
        <f t="shared" si="5"/>
        <v>60</v>
      </c>
      <c r="T11" s="33">
        <f t="shared" si="5"/>
        <v>60</v>
      </c>
      <c r="U11" s="33">
        <f t="shared" si="5"/>
        <v>60</v>
      </c>
    </row>
    <row r="12" spans="1:48" ht="14.5" customHeight="1" x14ac:dyDescent="0.25">
      <c r="F12" s="200" t="s">
        <v>14</v>
      </c>
      <c r="G12" s="201"/>
      <c r="H12" s="201"/>
      <c r="I12" s="202"/>
      <c r="J12" s="36">
        <f>4.1*1000</f>
        <v>4100</v>
      </c>
      <c r="K12" s="36">
        <f>3.7*1000</f>
        <v>3700</v>
      </c>
      <c r="L12" s="36">
        <f>3.1*1000</f>
        <v>3100</v>
      </c>
      <c r="M12" s="36">
        <f>3.4*1000</f>
        <v>3400</v>
      </c>
      <c r="N12" s="36"/>
      <c r="O12" s="36"/>
      <c r="P12" s="37"/>
      <c r="Q12" s="37"/>
      <c r="R12" s="37"/>
      <c r="S12" s="37"/>
      <c r="T12" s="37"/>
      <c r="U12" s="37"/>
    </row>
    <row r="13" spans="1:48" ht="14.5" customHeight="1" x14ac:dyDescent="0.25">
      <c r="F13" s="200" t="s">
        <v>15</v>
      </c>
      <c r="G13" s="201"/>
      <c r="H13" s="201"/>
      <c r="I13" s="202"/>
      <c r="J13" s="36">
        <f>4.5*1000</f>
        <v>4500</v>
      </c>
      <c r="K13" s="36">
        <f>4*1000</f>
        <v>4000</v>
      </c>
      <c r="L13" s="36">
        <f>3.55*1000</f>
        <v>3550</v>
      </c>
      <c r="M13" s="36">
        <f>3.75*1000</f>
        <v>3750</v>
      </c>
      <c r="N13" s="36"/>
      <c r="O13" s="36"/>
      <c r="P13" s="37"/>
      <c r="Q13" s="37"/>
      <c r="R13" s="37"/>
      <c r="S13" s="37"/>
      <c r="T13" s="37"/>
      <c r="U13" s="37"/>
    </row>
    <row r="14" spans="1:48" ht="14.5" customHeight="1" x14ac:dyDescent="0.25">
      <c r="F14" s="200" t="s">
        <v>16</v>
      </c>
      <c r="G14" s="201"/>
      <c r="H14" s="201"/>
      <c r="I14" s="202"/>
      <c r="J14" s="36">
        <v>2476.738275748</v>
      </c>
      <c r="K14" s="36">
        <v>2476.738275748</v>
      </c>
      <c r="L14" s="36">
        <v>2476.738275748</v>
      </c>
      <c r="M14" s="36">
        <v>2476.738275748</v>
      </c>
      <c r="N14" s="36">
        <v>2476.738275748</v>
      </c>
      <c r="O14" s="36">
        <v>2476.738275748</v>
      </c>
      <c r="P14" s="36">
        <v>2476.738275748</v>
      </c>
      <c r="Q14" s="36">
        <v>2476.738275748</v>
      </c>
      <c r="R14" s="36">
        <v>2476.738275748</v>
      </c>
      <c r="S14" s="36">
        <v>2476.738275748</v>
      </c>
      <c r="T14" s="36">
        <v>2476.738275748</v>
      </c>
      <c r="U14" s="36">
        <v>2476.738275748</v>
      </c>
    </row>
    <row r="15" spans="1:48" ht="14.5" customHeight="1" x14ac:dyDescent="0.25">
      <c r="F15" s="200" t="s">
        <v>17</v>
      </c>
      <c r="G15" s="201"/>
      <c r="H15" s="201"/>
      <c r="I15" s="202"/>
      <c r="J15" s="39">
        <v>120</v>
      </c>
      <c r="K15" s="39">
        <v>120</v>
      </c>
      <c r="L15" s="39">
        <v>120</v>
      </c>
      <c r="M15" s="39">
        <v>120</v>
      </c>
      <c r="N15" s="39">
        <v>120</v>
      </c>
      <c r="O15" s="39">
        <v>120</v>
      </c>
      <c r="P15" s="39">
        <v>120</v>
      </c>
      <c r="Q15" s="39">
        <v>120</v>
      </c>
      <c r="R15" s="39">
        <v>120</v>
      </c>
      <c r="S15" s="39">
        <v>120</v>
      </c>
      <c r="T15" s="39">
        <v>120</v>
      </c>
      <c r="U15" s="39">
        <v>120</v>
      </c>
    </row>
    <row r="16" spans="1:48" x14ac:dyDescent="0.25">
      <c r="B16" s="8"/>
      <c r="G16" s="8"/>
      <c r="J16" s="9"/>
      <c r="K16" s="9"/>
      <c r="L16" s="9"/>
      <c r="M16" s="9"/>
      <c r="N16" s="9"/>
      <c r="O16" s="9"/>
      <c r="P16" s="10"/>
      <c r="Q16" s="10"/>
      <c r="R16" s="10"/>
      <c r="S16" s="10"/>
      <c r="T16" s="10"/>
      <c r="U16" s="10"/>
    </row>
    <row r="17" spans="1:48" ht="13" x14ac:dyDescent="0.25">
      <c r="F17" s="200"/>
      <c r="G17" s="201"/>
      <c r="H17" s="201"/>
      <c r="I17" s="202"/>
      <c r="J17" s="3">
        <v>46023</v>
      </c>
      <c r="K17" s="3">
        <v>46054</v>
      </c>
      <c r="L17" s="3">
        <v>46082</v>
      </c>
      <c r="M17" s="3">
        <v>46113</v>
      </c>
      <c r="N17" s="3">
        <v>46143</v>
      </c>
      <c r="O17" s="3">
        <v>46174</v>
      </c>
      <c r="P17" s="3">
        <v>46204</v>
      </c>
      <c r="Q17" s="3">
        <v>46235</v>
      </c>
      <c r="R17" s="3">
        <v>46266</v>
      </c>
      <c r="S17" s="3">
        <v>46296</v>
      </c>
      <c r="T17" s="3">
        <v>46327</v>
      </c>
      <c r="U17" s="3">
        <v>46357</v>
      </c>
    </row>
    <row r="18" spans="1:48" s="8" customFormat="1" ht="14.5" customHeight="1" x14ac:dyDescent="0.25">
      <c r="A18" s="11"/>
      <c r="B18" s="11"/>
      <c r="F18" s="200" t="s">
        <v>18</v>
      </c>
      <c r="G18" s="201"/>
      <c r="H18" s="201"/>
      <c r="I18" s="202"/>
      <c r="J18" s="36">
        <f t="shared" ref="J18:U18" si="6">((((J$4*(1-J6))+J$9)*(1+J$10))+J$11)*J$5</f>
        <v>6495.6854416229999</v>
      </c>
      <c r="K18" s="36">
        <f t="shared" si="6"/>
        <v>6446.4090100000003</v>
      </c>
      <c r="L18" s="36">
        <f t="shared" si="6"/>
        <v>6316.5655503999997</v>
      </c>
      <c r="M18" s="36">
        <f t="shared" si="6"/>
        <v>8376.1126894500012</v>
      </c>
      <c r="N18" s="36">
        <f t="shared" si="6"/>
        <v>0</v>
      </c>
      <c r="O18" s="36">
        <f t="shared" si="6"/>
        <v>0</v>
      </c>
      <c r="P18" s="36">
        <f t="shared" si="6"/>
        <v>0</v>
      </c>
      <c r="Q18" s="36">
        <f t="shared" si="6"/>
        <v>0</v>
      </c>
      <c r="R18" s="36">
        <f t="shared" si="6"/>
        <v>0</v>
      </c>
      <c r="S18" s="36">
        <f t="shared" si="6"/>
        <v>0</v>
      </c>
      <c r="T18" s="36">
        <f t="shared" si="6"/>
        <v>0</v>
      </c>
      <c r="U18" s="36">
        <f t="shared" si="6"/>
        <v>0</v>
      </c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</row>
    <row r="19" spans="1:48" ht="14.5" customHeight="1" x14ac:dyDescent="0.25">
      <c r="A19" s="11"/>
      <c r="B19" s="11"/>
      <c r="F19" s="200" t="s">
        <v>19</v>
      </c>
      <c r="G19" s="201"/>
      <c r="H19" s="201"/>
      <c r="I19" s="202"/>
      <c r="J19" s="36">
        <f t="shared" ref="J19:U19" si="7">(J12/0.7)+J$14</f>
        <v>8333.8811328908578</v>
      </c>
      <c r="K19" s="36">
        <f t="shared" si="7"/>
        <v>7762.4525614622862</v>
      </c>
      <c r="L19" s="36">
        <f t="shared" si="7"/>
        <v>6905.3097043194284</v>
      </c>
      <c r="M19" s="36">
        <f t="shared" si="7"/>
        <v>7333.8811328908578</v>
      </c>
      <c r="N19" s="36">
        <f t="shared" si="7"/>
        <v>2476.738275748</v>
      </c>
      <c r="O19" s="36">
        <f t="shared" si="7"/>
        <v>2476.738275748</v>
      </c>
      <c r="P19" s="36">
        <f t="shared" si="7"/>
        <v>2476.738275748</v>
      </c>
      <c r="Q19" s="36">
        <f t="shared" si="7"/>
        <v>2476.738275748</v>
      </c>
      <c r="R19" s="36">
        <f t="shared" si="7"/>
        <v>2476.738275748</v>
      </c>
      <c r="S19" s="36">
        <f t="shared" si="7"/>
        <v>2476.738275748</v>
      </c>
      <c r="T19" s="36">
        <f t="shared" si="7"/>
        <v>2476.738275748</v>
      </c>
      <c r="U19" s="36">
        <f t="shared" si="7"/>
        <v>2476.738275748</v>
      </c>
    </row>
    <row r="20" spans="1:48" s="8" customFormat="1" ht="14.5" customHeight="1" x14ac:dyDescent="0.25">
      <c r="A20" s="11"/>
      <c r="B20" s="11"/>
      <c r="F20" s="200" t="s">
        <v>20</v>
      </c>
      <c r="G20" s="201"/>
      <c r="H20" s="201"/>
      <c r="I20" s="202"/>
      <c r="J20" s="36">
        <f t="shared" ref="J20:U20" si="8">((((J$4*(1-J7))+J$9)*(1+J$10))+J$11)*J$5</f>
        <v>6411.4433244288002</v>
      </c>
      <c r="K20" s="36">
        <f t="shared" si="8"/>
        <v>6360.6540399999994</v>
      </c>
      <c r="L20" s="36">
        <f t="shared" si="8"/>
        <v>6231.6418326399998</v>
      </c>
      <c r="M20" s="36">
        <f t="shared" si="8"/>
        <v>8261.34093312</v>
      </c>
      <c r="N20" s="36">
        <f t="shared" si="8"/>
        <v>0</v>
      </c>
      <c r="O20" s="36">
        <f t="shared" si="8"/>
        <v>0</v>
      </c>
      <c r="P20" s="36">
        <f t="shared" si="8"/>
        <v>0</v>
      </c>
      <c r="Q20" s="36">
        <f t="shared" si="8"/>
        <v>0</v>
      </c>
      <c r="R20" s="36">
        <f t="shared" si="8"/>
        <v>0</v>
      </c>
      <c r="S20" s="36">
        <f t="shared" si="8"/>
        <v>0</v>
      </c>
      <c r="T20" s="36">
        <f t="shared" si="8"/>
        <v>0</v>
      </c>
      <c r="U20" s="36">
        <f t="shared" si="8"/>
        <v>0</v>
      </c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</row>
    <row r="21" spans="1:48" ht="14.5" customHeight="1" x14ac:dyDescent="0.25">
      <c r="A21" s="11"/>
      <c r="B21" s="11"/>
      <c r="F21" s="200" t="s">
        <v>21</v>
      </c>
      <c r="G21" s="201"/>
      <c r="H21" s="201"/>
      <c r="I21" s="202"/>
      <c r="J21" s="36">
        <f t="shared" ref="J21:U21" si="9">(J13/0.7)+J$14</f>
        <v>8905.3097043194284</v>
      </c>
      <c r="K21" s="36">
        <f t="shared" si="9"/>
        <v>8191.0239900337147</v>
      </c>
      <c r="L21" s="36">
        <f t="shared" si="9"/>
        <v>7548.1668471765715</v>
      </c>
      <c r="M21" s="36">
        <f t="shared" si="9"/>
        <v>7833.8811328908578</v>
      </c>
      <c r="N21" s="36">
        <f t="shared" si="9"/>
        <v>2476.738275748</v>
      </c>
      <c r="O21" s="36">
        <f t="shared" si="9"/>
        <v>2476.738275748</v>
      </c>
      <c r="P21" s="36">
        <f t="shared" si="9"/>
        <v>2476.738275748</v>
      </c>
      <c r="Q21" s="36">
        <f t="shared" si="9"/>
        <v>2476.738275748</v>
      </c>
      <c r="R21" s="36">
        <f t="shared" si="9"/>
        <v>2476.738275748</v>
      </c>
      <c r="S21" s="36">
        <f t="shared" si="9"/>
        <v>2476.738275748</v>
      </c>
      <c r="T21" s="36">
        <f t="shared" si="9"/>
        <v>2476.738275748</v>
      </c>
      <c r="U21" s="36">
        <f t="shared" si="9"/>
        <v>2476.738275748</v>
      </c>
    </row>
    <row r="22" spans="1:48" s="8" customFormat="1" ht="14.5" customHeight="1" x14ac:dyDescent="0.25">
      <c r="A22" s="11"/>
      <c r="B22" s="11"/>
      <c r="F22" s="200" t="s">
        <v>22</v>
      </c>
      <c r="G22" s="201"/>
      <c r="H22" s="201"/>
      <c r="I22" s="202"/>
      <c r="J22" s="36">
        <f t="shared" ref="J22:U22" si="10">((((J$4*(1-J8))+J$9)*(1+J$10))+J$11)*J$5</f>
        <v>6579.9275588172004</v>
      </c>
      <c r="K22" s="36">
        <f t="shared" si="10"/>
        <v>6532.1639800000003</v>
      </c>
      <c r="L22" s="36">
        <f t="shared" si="10"/>
        <v>6401.4892681600004</v>
      </c>
      <c r="M22" s="36">
        <f t="shared" si="10"/>
        <v>8490.8844457799987</v>
      </c>
      <c r="N22" s="36">
        <f t="shared" si="10"/>
        <v>0</v>
      </c>
      <c r="O22" s="36">
        <f t="shared" si="10"/>
        <v>0</v>
      </c>
      <c r="P22" s="36">
        <f t="shared" si="10"/>
        <v>0</v>
      </c>
      <c r="Q22" s="36">
        <f t="shared" si="10"/>
        <v>0</v>
      </c>
      <c r="R22" s="36">
        <f t="shared" si="10"/>
        <v>0</v>
      </c>
      <c r="S22" s="36">
        <f t="shared" si="10"/>
        <v>0</v>
      </c>
      <c r="T22" s="36">
        <f t="shared" si="10"/>
        <v>0</v>
      </c>
      <c r="U22" s="36">
        <f t="shared" si="10"/>
        <v>0</v>
      </c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</row>
    <row r="23" spans="1:48" ht="14.5" customHeight="1" x14ac:dyDescent="0.25">
      <c r="A23" s="11"/>
      <c r="B23" s="11"/>
      <c r="F23" s="200" t="s">
        <v>23</v>
      </c>
      <c r="G23" s="201"/>
      <c r="H23" s="201"/>
      <c r="I23" s="202"/>
      <c r="J23" s="36">
        <f t="shared" ref="J23:U23" si="11">(J12/0.7)+J$14</f>
        <v>8333.8811328908578</v>
      </c>
      <c r="K23" s="36">
        <f t="shared" si="11"/>
        <v>7762.4525614622862</v>
      </c>
      <c r="L23" s="36">
        <f t="shared" si="11"/>
        <v>6905.3097043194284</v>
      </c>
      <c r="M23" s="36">
        <f t="shared" si="11"/>
        <v>7333.8811328908578</v>
      </c>
      <c r="N23" s="36">
        <f t="shared" si="11"/>
        <v>2476.738275748</v>
      </c>
      <c r="O23" s="36">
        <f t="shared" si="11"/>
        <v>2476.738275748</v>
      </c>
      <c r="P23" s="36">
        <f t="shared" si="11"/>
        <v>2476.738275748</v>
      </c>
      <c r="Q23" s="36">
        <f t="shared" si="11"/>
        <v>2476.738275748</v>
      </c>
      <c r="R23" s="36">
        <f t="shared" si="11"/>
        <v>2476.738275748</v>
      </c>
      <c r="S23" s="36">
        <f t="shared" si="11"/>
        <v>2476.738275748</v>
      </c>
      <c r="T23" s="36">
        <f t="shared" si="11"/>
        <v>2476.738275748</v>
      </c>
      <c r="U23" s="36">
        <f t="shared" si="11"/>
        <v>2476.738275748</v>
      </c>
    </row>
    <row r="24" spans="1:48" x14ac:dyDescent="0.25">
      <c r="J24" s="12"/>
      <c r="K24" s="12"/>
      <c r="L24" s="12"/>
      <c r="M24" s="12"/>
      <c r="N24" s="12"/>
      <c r="O24" s="12"/>
      <c r="P24" s="13"/>
      <c r="Q24" s="13"/>
      <c r="R24" s="13"/>
      <c r="S24" s="13"/>
      <c r="T24" s="13"/>
      <c r="U24" s="13"/>
    </row>
    <row r="25" spans="1:48" ht="13" x14ac:dyDescent="0.25">
      <c r="F25" s="200"/>
      <c r="G25" s="201"/>
      <c r="H25" s="201"/>
      <c r="I25" s="202"/>
      <c r="J25" s="3">
        <v>46023</v>
      </c>
      <c r="K25" s="3">
        <v>46054</v>
      </c>
      <c r="L25" s="3">
        <v>46082</v>
      </c>
      <c r="M25" s="3">
        <v>46113</v>
      </c>
      <c r="N25" s="3">
        <v>46143</v>
      </c>
      <c r="O25" s="3">
        <v>46174</v>
      </c>
      <c r="P25" s="3">
        <v>46204</v>
      </c>
      <c r="Q25" s="3">
        <v>46235</v>
      </c>
      <c r="R25" s="3">
        <v>46266</v>
      </c>
      <c r="S25" s="3">
        <v>46296</v>
      </c>
      <c r="T25" s="3">
        <v>46327</v>
      </c>
      <c r="U25" s="3">
        <v>46357</v>
      </c>
    </row>
    <row r="26" spans="1:48" ht="14.5" customHeight="1" x14ac:dyDescent="0.25">
      <c r="A26" s="11"/>
      <c r="B26" s="11"/>
      <c r="F26" s="200" t="s">
        <v>24</v>
      </c>
      <c r="G26" s="201"/>
      <c r="H26" s="201"/>
      <c r="I26" s="202"/>
      <c r="J26" s="42">
        <v>0.15</v>
      </c>
      <c r="K26" s="42">
        <v>0.15</v>
      </c>
      <c r="L26" s="42">
        <v>0.15</v>
      </c>
      <c r="M26" s="42">
        <v>0.14749999999999999</v>
      </c>
      <c r="N26" s="42">
        <v>0</v>
      </c>
      <c r="O26" s="42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</row>
    <row r="27" spans="1:48" ht="14.5" customHeight="1" x14ac:dyDescent="0.25">
      <c r="A27" s="11"/>
      <c r="B27" s="11"/>
      <c r="F27" s="200" t="s">
        <v>25</v>
      </c>
      <c r="G27" s="201"/>
      <c r="H27" s="201"/>
      <c r="I27" s="202"/>
      <c r="J27" s="43">
        <f>((IF((J26-14.25%)&lt;0,0,(J26-14.25%)))/360)*J15</f>
        <v>2.5000000000000022E-3</v>
      </c>
      <c r="K27" s="43">
        <f t="shared" ref="K27:U27" si="12">((IF((K26-14.25%)&lt;0,0,(K26-14.25%)))/360)*K15</f>
        <v>2.5000000000000022E-3</v>
      </c>
      <c r="L27" s="43">
        <f t="shared" si="12"/>
        <v>2.5000000000000022E-3</v>
      </c>
      <c r="M27" s="43">
        <f t="shared" si="12"/>
        <v>1.6666666666666681E-3</v>
      </c>
      <c r="N27" s="43">
        <f t="shared" si="12"/>
        <v>0</v>
      </c>
      <c r="O27" s="43">
        <f t="shared" si="12"/>
        <v>0</v>
      </c>
      <c r="P27" s="15">
        <f t="shared" si="12"/>
        <v>0</v>
      </c>
      <c r="Q27" s="15">
        <f t="shared" si="12"/>
        <v>0</v>
      </c>
      <c r="R27" s="15">
        <f t="shared" si="12"/>
        <v>0</v>
      </c>
      <c r="S27" s="15">
        <f t="shared" si="12"/>
        <v>0</v>
      </c>
      <c r="T27" s="15">
        <f t="shared" si="12"/>
        <v>0</v>
      </c>
      <c r="U27" s="15">
        <f t="shared" si="12"/>
        <v>0</v>
      </c>
    </row>
    <row r="28" spans="1:48" x14ac:dyDescent="0.25">
      <c r="A28" s="1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48" ht="13" x14ac:dyDescent="0.3">
      <c r="B29" s="13"/>
      <c r="C29" s="13"/>
      <c r="D29" s="13"/>
      <c r="E29" s="13"/>
      <c r="F29" s="13"/>
      <c r="G29" s="13"/>
      <c r="H29" s="13"/>
      <c r="I29" s="13"/>
      <c r="J29" s="203" t="s">
        <v>26</v>
      </c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5"/>
      <c r="V29" s="203" t="s">
        <v>27</v>
      </c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5"/>
    </row>
    <row r="30" spans="1:48" ht="56.5" customHeight="1" x14ac:dyDescent="0.25">
      <c r="A30" s="19" t="s">
        <v>28</v>
      </c>
      <c r="B30" s="19" t="s">
        <v>29</v>
      </c>
      <c r="C30" s="19" t="s">
        <v>30</v>
      </c>
      <c r="D30" s="19" t="s">
        <v>31</v>
      </c>
      <c r="E30" s="19" t="s">
        <v>32</v>
      </c>
      <c r="F30" s="19" t="s">
        <v>33</v>
      </c>
      <c r="G30" s="20" t="s">
        <v>34</v>
      </c>
      <c r="H30" s="19" t="s">
        <v>35</v>
      </c>
      <c r="I30" s="19" t="s">
        <v>36</v>
      </c>
      <c r="J30" s="21">
        <v>46023</v>
      </c>
      <c r="K30" s="21">
        <v>46054</v>
      </c>
      <c r="L30" s="21">
        <v>46082</v>
      </c>
      <c r="M30" s="21">
        <v>46113</v>
      </c>
      <c r="N30" s="21">
        <v>46143</v>
      </c>
      <c r="O30" s="21">
        <v>46174</v>
      </c>
      <c r="P30" s="21">
        <v>46204</v>
      </c>
      <c r="Q30" s="21">
        <v>46235</v>
      </c>
      <c r="R30" s="21">
        <v>46266</v>
      </c>
      <c r="S30" s="21">
        <v>46296</v>
      </c>
      <c r="T30" s="21">
        <v>46327</v>
      </c>
      <c r="U30" s="21">
        <v>46357</v>
      </c>
      <c r="V30" s="22">
        <v>46023</v>
      </c>
      <c r="W30" s="22">
        <v>46054</v>
      </c>
      <c r="X30" s="22">
        <v>46082</v>
      </c>
      <c r="Y30" s="22">
        <v>46113</v>
      </c>
      <c r="Z30" s="22">
        <v>46143</v>
      </c>
      <c r="AA30" s="22">
        <v>46174</v>
      </c>
      <c r="AB30" s="22">
        <v>46204</v>
      </c>
      <c r="AC30" s="22">
        <v>46235</v>
      </c>
      <c r="AD30" s="22">
        <v>46266</v>
      </c>
      <c r="AE30" s="22">
        <v>46296</v>
      </c>
      <c r="AF30" s="22">
        <v>46327</v>
      </c>
      <c r="AG30" s="22">
        <v>46357</v>
      </c>
    </row>
    <row r="31" spans="1:48" ht="13" customHeight="1" x14ac:dyDescent="0.25">
      <c r="A31" s="40" t="s">
        <v>39</v>
      </c>
      <c r="B31" s="40">
        <v>13.7</v>
      </c>
      <c r="C31" s="44">
        <f t="shared" ref="C31:C62" si="13">100%-D31</f>
        <v>0</v>
      </c>
      <c r="D31" s="44">
        <v>1</v>
      </c>
      <c r="E31" s="44">
        <v>0.01</v>
      </c>
      <c r="F31" s="38">
        <v>24.0242662</v>
      </c>
      <c r="G31" s="40">
        <v>0</v>
      </c>
      <c r="H31" s="35">
        <v>9.2499999999999999E-2</v>
      </c>
      <c r="I31" s="45">
        <v>0.18</v>
      </c>
      <c r="J31" s="38">
        <f t="shared" ref="J31:U40" si="14">(((((J$22*$C31)+(J$23*$D31))*(1+$E31))*($B31/1000))+$F31+($G31*J$5))*(1+J$27)</f>
        <v>139.68852988440031</v>
      </c>
      <c r="K31" s="38">
        <f t="shared" si="14"/>
        <v>131.76190559868601</v>
      </c>
      <c r="L31" s="38">
        <f t="shared" si="14"/>
        <v>119.87196917011458</v>
      </c>
      <c r="M31" s="38">
        <f t="shared" si="14"/>
        <v>125.71235140153713</v>
      </c>
      <c r="N31" s="38">
        <f t="shared" si="14"/>
        <v>58.294893721525071</v>
      </c>
      <c r="O31" s="38">
        <f t="shared" si="14"/>
        <v>58.294893721525071</v>
      </c>
      <c r="P31" s="38">
        <f t="shared" si="14"/>
        <v>58.294893721525071</v>
      </c>
      <c r="Q31" s="38">
        <f t="shared" si="14"/>
        <v>58.294893721525071</v>
      </c>
      <c r="R31" s="38">
        <f t="shared" si="14"/>
        <v>58.294893721525071</v>
      </c>
      <c r="S31" s="38">
        <f t="shared" si="14"/>
        <v>58.294893721525071</v>
      </c>
      <c r="T31" s="38">
        <f t="shared" si="14"/>
        <v>58.294893721525071</v>
      </c>
      <c r="U31" s="38">
        <f t="shared" si="14"/>
        <v>58.294893721525071</v>
      </c>
      <c r="V31" s="38">
        <f t="shared" ref="V31:V62" si="15">(J31/(1-$H31))/(1-$I31)</f>
        <v>187.71555450433422</v>
      </c>
      <c r="W31" s="38">
        <f t="shared" ref="W31:W62" si="16">(K31/(1-$H31))/(1-$I31)</f>
        <v>177.06363716815966</v>
      </c>
      <c r="X31" s="38">
        <f t="shared" ref="X31:X62" si="17">(L31/(1-$H31))/(1-$I31)</f>
        <v>161.08576116389781</v>
      </c>
      <c r="Y31" s="38">
        <f t="shared" ref="Y31:Y62" si="18">(M31/(1-$H31))/(1-$I31)</f>
        <v>168.9341549439456</v>
      </c>
      <c r="Z31" s="38">
        <f t="shared" ref="Z31:Z62" si="19">(N31/(1-$H31))/(1-$I31)</f>
        <v>78.337557913760762</v>
      </c>
      <c r="AA31" s="38">
        <f t="shared" ref="AA31:AA62" si="20">(O31/(1-$H31))/(1-$I31)</f>
        <v>78.337557913760762</v>
      </c>
      <c r="AB31" s="38">
        <f t="shared" ref="AB31:AB62" si="21">(P31/(1-$H31))/(1-$I31)</f>
        <v>78.337557913760762</v>
      </c>
      <c r="AC31" s="38">
        <f t="shared" ref="AC31:AC62" si="22">(Q31/(1-$H31))/(1-$I31)</f>
        <v>78.337557913760762</v>
      </c>
      <c r="AD31" s="38">
        <f t="shared" ref="AD31:AD62" si="23">(R31/(1-$H31))/(1-$I31)</f>
        <v>78.337557913760762</v>
      </c>
      <c r="AE31" s="38">
        <f t="shared" ref="AE31:AE62" si="24">(S31/(1-$H31))/(1-$I31)</f>
        <v>78.337557913760762</v>
      </c>
      <c r="AF31" s="38">
        <f t="shared" ref="AF31:AF62" si="25">(T31/(1-$H31))/(1-$I31)</f>
        <v>78.337557913760762</v>
      </c>
      <c r="AG31" s="38">
        <f t="shared" ref="AG31:AG62" si="26">(U31/(1-$H31))/(1-$I31)</f>
        <v>78.337557913760762</v>
      </c>
    </row>
    <row r="32" spans="1:48" ht="13" customHeight="1" x14ac:dyDescent="0.25">
      <c r="A32" s="40" t="s">
        <v>39</v>
      </c>
      <c r="B32" s="40">
        <v>13.7</v>
      </c>
      <c r="C32" s="44">
        <f t="shared" si="13"/>
        <v>0.4</v>
      </c>
      <c r="D32" s="44">
        <v>0.6</v>
      </c>
      <c r="E32" s="44">
        <v>0.01</v>
      </c>
      <c r="F32" s="38">
        <v>24.0242662</v>
      </c>
      <c r="G32" s="40">
        <v>0</v>
      </c>
      <c r="H32" s="35">
        <v>9.2499999999999999E-2</v>
      </c>
      <c r="I32" s="45">
        <v>0.18</v>
      </c>
      <c r="J32" s="38">
        <f t="shared" si="14"/>
        <v>129.95647818701298</v>
      </c>
      <c r="K32" s="38">
        <f t="shared" si="14"/>
        <v>124.93548085490687</v>
      </c>
      <c r="L32" s="38">
        <f t="shared" si="14"/>
        <v>117.07645245668425</v>
      </c>
      <c r="M32" s="38">
        <f t="shared" si="14"/>
        <v>132.1268063076096</v>
      </c>
      <c r="N32" s="38">
        <f t="shared" si="14"/>
        <v>44.586642712915044</v>
      </c>
      <c r="O32" s="38">
        <f t="shared" si="14"/>
        <v>44.586642712915044</v>
      </c>
      <c r="P32" s="38">
        <f t="shared" si="14"/>
        <v>44.586642712915044</v>
      </c>
      <c r="Q32" s="38">
        <f t="shared" si="14"/>
        <v>44.586642712915044</v>
      </c>
      <c r="R32" s="38">
        <f t="shared" si="14"/>
        <v>44.586642712915044</v>
      </c>
      <c r="S32" s="38">
        <f t="shared" si="14"/>
        <v>44.586642712915044</v>
      </c>
      <c r="T32" s="38">
        <f t="shared" si="14"/>
        <v>44.586642712915044</v>
      </c>
      <c r="U32" s="38">
        <f t="shared" si="14"/>
        <v>44.586642712915044</v>
      </c>
      <c r="V32" s="38">
        <f t="shared" si="15"/>
        <v>174.63747656656989</v>
      </c>
      <c r="W32" s="38">
        <f t="shared" si="16"/>
        <v>167.89018457959668</v>
      </c>
      <c r="X32" s="38">
        <f t="shared" si="17"/>
        <v>157.32910361712592</v>
      </c>
      <c r="Y32" s="38">
        <f t="shared" si="18"/>
        <v>177.55399624754364</v>
      </c>
      <c r="Z32" s="38">
        <f t="shared" si="19"/>
        <v>59.916203336578704</v>
      </c>
      <c r="AA32" s="38">
        <f t="shared" si="20"/>
        <v>59.916203336578704</v>
      </c>
      <c r="AB32" s="38">
        <f t="shared" si="21"/>
        <v>59.916203336578704</v>
      </c>
      <c r="AC32" s="38">
        <f t="shared" si="22"/>
        <v>59.916203336578704</v>
      </c>
      <c r="AD32" s="38">
        <f t="shared" si="23"/>
        <v>59.916203336578704</v>
      </c>
      <c r="AE32" s="38">
        <f t="shared" si="24"/>
        <v>59.916203336578704</v>
      </c>
      <c r="AF32" s="38">
        <f t="shared" si="25"/>
        <v>59.916203336578704</v>
      </c>
      <c r="AG32" s="38">
        <f t="shared" si="26"/>
        <v>59.916203336578704</v>
      </c>
    </row>
    <row r="33" spans="1:33" ht="13" customHeight="1" x14ac:dyDescent="0.25">
      <c r="A33" s="40" t="s">
        <v>39</v>
      </c>
      <c r="B33" s="40">
        <v>13.7</v>
      </c>
      <c r="C33" s="44">
        <f t="shared" si="13"/>
        <v>0.6</v>
      </c>
      <c r="D33" s="44">
        <v>0.4</v>
      </c>
      <c r="E33" s="44">
        <v>0.01</v>
      </c>
      <c r="F33" s="38">
        <v>24.0242662</v>
      </c>
      <c r="G33" s="40">
        <v>0</v>
      </c>
      <c r="H33" s="35">
        <v>9.2499999999999999E-2</v>
      </c>
      <c r="I33" s="45">
        <v>0.18</v>
      </c>
      <c r="J33" s="38">
        <f t="shared" si="14"/>
        <v>125.09045233831931</v>
      </c>
      <c r="K33" s="38">
        <f t="shared" si="14"/>
        <v>121.5222684830173</v>
      </c>
      <c r="L33" s="38">
        <f t="shared" si="14"/>
        <v>115.67869409996908</v>
      </c>
      <c r="M33" s="38">
        <f t="shared" si="14"/>
        <v>135.33403376064581</v>
      </c>
      <c r="N33" s="38">
        <f t="shared" si="14"/>
        <v>37.732517208610034</v>
      </c>
      <c r="O33" s="38">
        <f t="shared" si="14"/>
        <v>37.732517208610034</v>
      </c>
      <c r="P33" s="38">
        <f t="shared" si="14"/>
        <v>37.732517208610034</v>
      </c>
      <c r="Q33" s="38">
        <f t="shared" si="14"/>
        <v>37.732517208610034</v>
      </c>
      <c r="R33" s="38">
        <f t="shared" si="14"/>
        <v>37.732517208610034</v>
      </c>
      <c r="S33" s="38">
        <f t="shared" si="14"/>
        <v>37.732517208610034</v>
      </c>
      <c r="T33" s="38">
        <f t="shared" si="14"/>
        <v>37.732517208610034</v>
      </c>
      <c r="U33" s="38">
        <f t="shared" si="14"/>
        <v>37.732517208610034</v>
      </c>
      <c r="V33" s="38">
        <f t="shared" si="15"/>
        <v>168.09843759768771</v>
      </c>
      <c r="W33" s="38">
        <f t="shared" si="16"/>
        <v>163.3034582853152</v>
      </c>
      <c r="X33" s="38">
        <f t="shared" si="17"/>
        <v>155.45077484373994</v>
      </c>
      <c r="Y33" s="38">
        <f t="shared" si="18"/>
        <v>181.8639168993426</v>
      </c>
      <c r="Z33" s="38">
        <f t="shared" si="19"/>
        <v>50.705526047987682</v>
      </c>
      <c r="AA33" s="38">
        <f t="shared" si="20"/>
        <v>50.705526047987682</v>
      </c>
      <c r="AB33" s="38">
        <f t="shared" si="21"/>
        <v>50.705526047987682</v>
      </c>
      <c r="AC33" s="38">
        <f t="shared" si="22"/>
        <v>50.705526047987682</v>
      </c>
      <c r="AD33" s="38">
        <f t="shared" si="23"/>
        <v>50.705526047987682</v>
      </c>
      <c r="AE33" s="38">
        <f t="shared" si="24"/>
        <v>50.705526047987682</v>
      </c>
      <c r="AF33" s="38">
        <f t="shared" si="25"/>
        <v>50.705526047987682</v>
      </c>
      <c r="AG33" s="38">
        <f t="shared" si="26"/>
        <v>50.705526047987682</v>
      </c>
    </row>
    <row r="34" spans="1:33" ht="13" customHeight="1" x14ac:dyDescent="0.25">
      <c r="A34" s="40" t="s">
        <v>39</v>
      </c>
      <c r="B34" s="40">
        <v>13.7</v>
      </c>
      <c r="C34" s="44">
        <f t="shared" si="13"/>
        <v>1</v>
      </c>
      <c r="D34" s="44">
        <v>0</v>
      </c>
      <c r="E34" s="44">
        <v>0.01</v>
      </c>
      <c r="F34" s="38">
        <v>24.0242662</v>
      </c>
      <c r="G34" s="40">
        <v>0</v>
      </c>
      <c r="H34" s="35">
        <v>9.2499999999999999E-2</v>
      </c>
      <c r="I34" s="45">
        <v>0.18</v>
      </c>
      <c r="J34" s="38">
        <f t="shared" si="14"/>
        <v>115.35840064093198</v>
      </c>
      <c r="K34" s="38">
        <f t="shared" si="14"/>
        <v>114.69584373923814</v>
      </c>
      <c r="L34" s="38">
        <f t="shared" si="14"/>
        <v>112.88317738653873</v>
      </c>
      <c r="M34" s="38">
        <f t="shared" si="14"/>
        <v>141.74848866671826</v>
      </c>
      <c r="N34" s="38">
        <f t="shared" si="14"/>
        <v>24.0242662</v>
      </c>
      <c r="O34" s="38">
        <f t="shared" si="14"/>
        <v>24.0242662</v>
      </c>
      <c r="P34" s="38">
        <f t="shared" si="14"/>
        <v>24.0242662</v>
      </c>
      <c r="Q34" s="38">
        <f t="shared" si="14"/>
        <v>24.0242662</v>
      </c>
      <c r="R34" s="38">
        <f t="shared" si="14"/>
        <v>24.0242662</v>
      </c>
      <c r="S34" s="38">
        <f t="shared" si="14"/>
        <v>24.0242662</v>
      </c>
      <c r="T34" s="38">
        <f t="shared" si="14"/>
        <v>24.0242662</v>
      </c>
      <c r="U34" s="38">
        <f t="shared" si="14"/>
        <v>24.0242662</v>
      </c>
      <c r="V34" s="38">
        <f t="shared" si="15"/>
        <v>155.02035965992337</v>
      </c>
      <c r="W34" s="38">
        <f t="shared" si="16"/>
        <v>154.13000569675219</v>
      </c>
      <c r="X34" s="38">
        <f t="shared" si="17"/>
        <v>151.69411729696799</v>
      </c>
      <c r="Y34" s="38">
        <f t="shared" si="18"/>
        <v>190.48375820294061</v>
      </c>
      <c r="Z34" s="38">
        <f t="shared" si="19"/>
        <v>32.284171470805617</v>
      </c>
      <c r="AA34" s="38">
        <f t="shared" si="20"/>
        <v>32.284171470805617</v>
      </c>
      <c r="AB34" s="38">
        <f t="shared" si="21"/>
        <v>32.284171470805617</v>
      </c>
      <c r="AC34" s="38">
        <f t="shared" si="22"/>
        <v>32.284171470805617</v>
      </c>
      <c r="AD34" s="38">
        <f t="shared" si="23"/>
        <v>32.284171470805617</v>
      </c>
      <c r="AE34" s="38">
        <f t="shared" si="24"/>
        <v>32.284171470805617</v>
      </c>
      <c r="AF34" s="38">
        <f t="shared" si="25"/>
        <v>32.284171470805617</v>
      </c>
      <c r="AG34" s="38">
        <f t="shared" si="26"/>
        <v>32.284171470805617</v>
      </c>
    </row>
    <row r="35" spans="1:33" ht="13" customHeight="1" x14ac:dyDescent="0.25">
      <c r="A35" s="40" t="s">
        <v>39</v>
      </c>
      <c r="B35" s="40">
        <v>13.7</v>
      </c>
      <c r="C35" s="44">
        <f t="shared" si="13"/>
        <v>0</v>
      </c>
      <c r="D35" s="44">
        <v>1</v>
      </c>
      <c r="E35" s="44">
        <v>0.01</v>
      </c>
      <c r="F35" s="38">
        <v>24.0242662</v>
      </c>
      <c r="G35" s="40">
        <v>0</v>
      </c>
      <c r="H35" s="35">
        <v>9.2499999999999999E-2</v>
      </c>
      <c r="I35" s="45">
        <v>0.12</v>
      </c>
      <c r="J35" s="38">
        <f t="shared" si="14"/>
        <v>139.68852988440031</v>
      </c>
      <c r="K35" s="38">
        <f t="shared" si="14"/>
        <v>131.76190559868601</v>
      </c>
      <c r="L35" s="38">
        <f t="shared" si="14"/>
        <v>119.87196917011458</v>
      </c>
      <c r="M35" s="38">
        <f t="shared" si="14"/>
        <v>125.71235140153713</v>
      </c>
      <c r="N35" s="38">
        <f t="shared" si="14"/>
        <v>58.294893721525071</v>
      </c>
      <c r="O35" s="38">
        <f t="shared" si="14"/>
        <v>58.294893721525071</v>
      </c>
      <c r="P35" s="38">
        <f t="shared" si="14"/>
        <v>58.294893721525071</v>
      </c>
      <c r="Q35" s="38">
        <f t="shared" si="14"/>
        <v>58.294893721525071</v>
      </c>
      <c r="R35" s="38">
        <f t="shared" si="14"/>
        <v>58.294893721525071</v>
      </c>
      <c r="S35" s="38">
        <f t="shared" si="14"/>
        <v>58.294893721525071</v>
      </c>
      <c r="T35" s="38">
        <f t="shared" si="14"/>
        <v>58.294893721525071</v>
      </c>
      <c r="U35" s="38">
        <f t="shared" si="14"/>
        <v>58.294893721525071</v>
      </c>
      <c r="V35" s="38">
        <f t="shared" si="15"/>
        <v>174.91676669722054</v>
      </c>
      <c r="W35" s="38">
        <f t="shared" si="16"/>
        <v>164.99111645214879</v>
      </c>
      <c r="X35" s="38">
        <f t="shared" si="17"/>
        <v>150.10264108454118</v>
      </c>
      <c r="Y35" s="38">
        <f t="shared" si="18"/>
        <v>157.41591710685842</v>
      </c>
      <c r="Z35" s="38">
        <f t="shared" si="19"/>
        <v>72.996360783277083</v>
      </c>
      <c r="AA35" s="38">
        <f t="shared" si="20"/>
        <v>72.996360783277083</v>
      </c>
      <c r="AB35" s="38">
        <f t="shared" si="21"/>
        <v>72.996360783277083</v>
      </c>
      <c r="AC35" s="38">
        <f t="shared" si="22"/>
        <v>72.996360783277083</v>
      </c>
      <c r="AD35" s="38">
        <f t="shared" si="23"/>
        <v>72.996360783277083</v>
      </c>
      <c r="AE35" s="38">
        <f t="shared" si="24"/>
        <v>72.996360783277083</v>
      </c>
      <c r="AF35" s="38">
        <f t="shared" si="25"/>
        <v>72.996360783277083</v>
      </c>
      <c r="AG35" s="38">
        <f t="shared" si="26"/>
        <v>72.996360783277083</v>
      </c>
    </row>
    <row r="36" spans="1:33" ht="13" customHeight="1" x14ac:dyDescent="0.25">
      <c r="A36" s="40" t="s">
        <v>39</v>
      </c>
      <c r="B36" s="40">
        <v>13.7</v>
      </c>
      <c r="C36" s="44">
        <f t="shared" si="13"/>
        <v>0.4</v>
      </c>
      <c r="D36" s="44">
        <v>0.6</v>
      </c>
      <c r="E36" s="44">
        <v>0.01</v>
      </c>
      <c r="F36" s="38">
        <v>24.0242662</v>
      </c>
      <c r="G36" s="40">
        <v>0</v>
      </c>
      <c r="H36" s="35">
        <v>9.2499999999999999E-2</v>
      </c>
      <c r="I36" s="45">
        <v>0.12</v>
      </c>
      <c r="J36" s="38">
        <f t="shared" si="14"/>
        <v>129.95647818701298</v>
      </c>
      <c r="K36" s="38">
        <f t="shared" si="14"/>
        <v>124.93548085490687</v>
      </c>
      <c r="L36" s="38">
        <f t="shared" si="14"/>
        <v>117.07645245668425</v>
      </c>
      <c r="M36" s="38">
        <f t="shared" si="14"/>
        <v>132.1268063076096</v>
      </c>
      <c r="N36" s="38">
        <f t="shared" si="14"/>
        <v>44.586642712915044</v>
      </c>
      <c r="O36" s="38">
        <f t="shared" si="14"/>
        <v>44.586642712915044</v>
      </c>
      <c r="P36" s="38">
        <f t="shared" si="14"/>
        <v>44.586642712915044</v>
      </c>
      <c r="Q36" s="38">
        <f t="shared" si="14"/>
        <v>44.586642712915044</v>
      </c>
      <c r="R36" s="38">
        <f t="shared" si="14"/>
        <v>44.586642712915044</v>
      </c>
      <c r="S36" s="38">
        <f t="shared" si="14"/>
        <v>44.586642712915044</v>
      </c>
      <c r="T36" s="38">
        <f t="shared" si="14"/>
        <v>44.586642712915044</v>
      </c>
      <c r="U36" s="38">
        <f t="shared" si="14"/>
        <v>44.586642712915044</v>
      </c>
      <c r="V36" s="38">
        <f t="shared" si="15"/>
        <v>162.7303758915765</v>
      </c>
      <c r="W36" s="38">
        <f t="shared" si="16"/>
        <v>156.44312654007874</v>
      </c>
      <c r="X36" s="38">
        <f t="shared" si="17"/>
        <v>146.60211927959463</v>
      </c>
      <c r="Y36" s="38">
        <f t="shared" si="18"/>
        <v>165.44804195793839</v>
      </c>
      <c r="Z36" s="38">
        <f t="shared" si="19"/>
        <v>55.831007654539256</v>
      </c>
      <c r="AA36" s="38">
        <f t="shared" si="20"/>
        <v>55.831007654539256</v>
      </c>
      <c r="AB36" s="38">
        <f t="shared" si="21"/>
        <v>55.831007654539256</v>
      </c>
      <c r="AC36" s="38">
        <f t="shared" si="22"/>
        <v>55.831007654539256</v>
      </c>
      <c r="AD36" s="38">
        <f t="shared" si="23"/>
        <v>55.831007654539256</v>
      </c>
      <c r="AE36" s="38">
        <f t="shared" si="24"/>
        <v>55.831007654539256</v>
      </c>
      <c r="AF36" s="38">
        <f t="shared" si="25"/>
        <v>55.831007654539256</v>
      </c>
      <c r="AG36" s="38">
        <f t="shared" si="26"/>
        <v>55.831007654539256</v>
      </c>
    </row>
    <row r="37" spans="1:33" ht="13" customHeight="1" x14ac:dyDescent="0.25">
      <c r="A37" s="40" t="s">
        <v>39</v>
      </c>
      <c r="B37" s="40">
        <v>13.7</v>
      </c>
      <c r="C37" s="44">
        <f t="shared" si="13"/>
        <v>0.6</v>
      </c>
      <c r="D37" s="44">
        <v>0.4</v>
      </c>
      <c r="E37" s="44">
        <v>0.01</v>
      </c>
      <c r="F37" s="38">
        <v>24.0242662</v>
      </c>
      <c r="G37" s="40">
        <v>0</v>
      </c>
      <c r="H37" s="35">
        <v>9.2499999999999999E-2</v>
      </c>
      <c r="I37" s="45">
        <v>0.12</v>
      </c>
      <c r="J37" s="38">
        <f t="shared" si="14"/>
        <v>125.09045233831931</v>
      </c>
      <c r="K37" s="38">
        <f t="shared" si="14"/>
        <v>121.5222684830173</v>
      </c>
      <c r="L37" s="38">
        <f t="shared" si="14"/>
        <v>115.67869409996908</v>
      </c>
      <c r="M37" s="38">
        <f t="shared" si="14"/>
        <v>135.33403376064581</v>
      </c>
      <c r="N37" s="38">
        <f t="shared" si="14"/>
        <v>37.732517208610034</v>
      </c>
      <c r="O37" s="38">
        <f t="shared" si="14"/>
        <v>37.732517208610034</v>
      </c>
      <c r="P37" s="38">
        <f t="shared" si="14"/>
        <v>37.732517208610034</v>
      </c>
      <c r="Q37" s="38">
        <f t="shared" si="14"/>
        <v>37.732517208610034</v>
      </c>
      <c r="R37" s="38">
        <f t="shared" si="14"/>
        <v>37.732517208610034</v>
      </c>
      <c r="S37" s="38">
        <f t="shared" si="14"/>
        <v>37.732517208610034</v>
      </c>
      <c r="T37" s="38">
        <f t="shared" si="14"/>
        <v>37.732517208610034</v>
      </c>
      <c r="U37" s="38">
        <f t="shared" si="14"/>
        <v>37.732517208610034</v>
      </c>
      <c r="V37" s="38">
        <f t="shared" si="15"/>
        <v>156.63718048875447</v>
      </c>
      <c r="W37" s="38">
        <f t="shared" si="16"/>
        <v>152.16913158404373</v>
      </c>
      <c r="X37" s="38">
        <f t="shared" si="17"/>
        <v>144.85185837712132</v>
      </c>
      <c r="Y37" s="38">
        <f t="shared" si="18"/>
        <v>169.46410438347834</v>
      </c>
      <c r="Z37" s="38">
        <f t="shared" si="19"/>
        <v>47.248331090170346</v>
      </c>
      <c r="AA37" s="38">
        <f t="shared" si="20"/>
        <v>47.248331090170346</v>
      </c>
      <c r="AB37" s="38">
        <f t="shared" si="21"/>
        <v>47.248331090170346</v>
      </c>
      <c r="AC37" s="38">
        <f t="shared" si="22"/>
        <v>47.248331090170346</v>
      </c>
      <c r="AD37" s="38">
        <f t="shared" si="23"/>
        <v>47.248331090170346</v>
      </c>
      <c r="AE37" s="38">
        <f t="shared" si="24"/>
        <v>47.248331090170346</v>
      </c>
      <c r="AF37" s="38">
        <f t="shared" si="25"/>
        <v>47.248331090170346</v>
      </c>
      <c r="AG37" s="38">
        <f t="shared" si="26"/>
        <v>47.248331090170346</v>
      </c>
    </row>
    <row r="38" spans="1:33" ht="13" customHeight="1" x14ac:dyDescent="0.25">
      <c r="A38" s="40" t="s">
        <v>39</v>
      </c>
      <c r="B38" s="40">
        <v>13.7</v>
      </c>
      <c r="C38" s="44">
        <f t="shared" si="13"/>
        <v>1</v>
      </c>
      <c r="D38" s="44">
        <v>0</v>
      </c>
      <c r="E38" s="44">
        <v>0.01</v>
      </c>
      <c r="F38" s="38">
        <v>24.0242662</v>
      </c>
      <c r="G38" s="40">
        <v>0</v>
      </c>
      <c r="H38" s="35">
        <v>9.2499999999999999E-2</v>
      </c>
      <c r="I38" s="45">
        <v>0.12</v>
      </c>
      <c r="J38" s="38">
        <f t="shared" si="14"/>
        <v>115.35840064093198</v>
      </c>
      <c r="K38" s="38">
        <f t="shared" si="14"/>
        <v>114.69584373923814</v>
      </c>
      <c r="L38" s="38">
        <f t="shared" si="14"/>
        <v>112.88317738653873</v>
      </c>
      <c r="M38" s="38">
        <f t="shared" si="14"/>
        <v>141.74848866671826</v>
      </c>
      <c r="N38" s="38">
        <f t="shared" si="14"/>
        <v>24.0242662</v>
      </c>
      <c r="O38" s="38">
        <f t="shared" si="14"/>
        <v>24.0242662</v>
      </c>
      <c r="P38" s="38">
        <f t="shared" si="14"/>
        <v>24.0242662</v>
      </c>
      <c r="Q38" s="38">
        <f t="shared" si="14"/>
        <v>24.0242662</v>
      </c>
      <c r="R38" s="38">
        <f t="shared" si="14"/>
        <v>24.0242662</v>
      </c>
      <c r="S38" s="38">
        <f t="shared" si="14"/>
        <v>24.0242662</v>
      </c>
      <c r="T38" s="38">
        <f t="shared" si="14"/>
        <v>24.0242662</v>
      </c>
      <c r="U38" s="38">
        <f t="shared" si="14"/>
        <v>24.0242662</v>
      </c>
      <c r="V38" s="38">
        <f t="shared" si="15"/>
        <v>144.45078968311043</v>
      </c>
      <c r="W38" s="38">
        <f t="shared" si="16"/>
        <v>143.62114167197365</v>
      </c>
      <c r="X38" s="38">
        <f t="shared" si="17"/>
        <v>141.35133657217472</v>
      </c>
      <c r="Y38" s="38">
        <f t="shared" si="18"/>
        <v>177.49622923455829</v>
      </c>
      <c r="Z38" s="38">
        <f t="shared" si="19"/>
        <v>30.082977961432508</v>
      </c>
      <c r="AA38" s="38">
        <f t="shared" si="20"/>
        <v>30.082977961432508</v>
      </c>
      <c r="AB38" s="38">
        <f t="shared" si="21"/>
        <v>30.082977961432508</v>
      </c>
      <c r="AC38" s="38">
        <f t="shared" si="22"/>
        <v>30.082977961432508</v>
      </c>
      <c r="AD38" s="38">
        <f t="shared" si="23"/>
        <v>30.082977961432508</v>
      </c>
      <c r="AE38" s="38">
        <f t="shared" si="24"/>
        <v>30.082977961432508</v>
      </c>
      <c r="AF38" s="38">
        <f t="shared" si="25"/>
        <v>30.082977961432508</v>
      </c>
      <c r="AG38" s="38">
        <f t="shared" si="26"/>
        <v>30.082977961432508</v>
      </c>
    </row>
    <row r="39" spans="1:33" ht="13" customHeight="1" x14ac:dyDescent="0.25">
      <c r="A39" s="40" t="s">
        <v>39</v>
      </c>
      <c r="B39" s="40">
        <v>13.7</v>
      </c>
      <c r="C39" s="44">
        <f t="shared" si="13"/>
        <v>0</v>
      </c>
      <c r="D39" s="44">
        <v>1</v>
      </c>
      <c r="E39" s="44">
        <v>0.01</v>
      </c>
      <c r="F39" s="38">
        <v>24.0242662</v>
      </c>
      <c r="G39" s="40">
        <v>0</v>
      </c>
      <c r="H39" s="35">
        <v>9.2499999999999999E-2</v>
      </c>
      <c r="I39" s="45">
        <v>7.0000000000000007E-2</v>
      </c>
      <c r="J39" s="38">
        <f t="shared" si="14"/>
        <v>139.68852988440031</v>
      </c>
      <c r="K39" s="38">
        <f t="shared" si="14"/>
        <v>131.76190559868601</v>
      </c>
      <c r="L39" s="38">
        <f t="shared" si="14"/>
        <v>119.87196917011458</v>
      </c>
      <c r="M39" s="38">
        <f t="shared" si="14"/>
        <v>125.71235140153713</v>
      </c>
      <c r="N39" s="38">
        <f t="shared" si="14"/>
        <v>58.294893721525071</v>
      </c>
      <c r="O39" s="38">
        <f t="shared" si="14"/>
        <v>58.294893721525071</v>
      </c>
      <c r="P39" s="38">
        <f t="shared" si="14"/>
        <v>58.294893721525071</v>
      </c>
      <c r="Q39" s="38">
        <f t="shared" si="14"/>
        <v>58.294893721525071</v>
      </c>
      <c r="R39" s="38">
        <f t="shared" si="14"/>
        <v>58.294893721525071</v>
      </c>
      <c r="S39" s="38">
        <f t="shared" si="14"/>
        <v>58.294893721525071</v>
      </c>
      <c r="T39" s="38">
        <f t="shared" si="14"/>
        <v>58.294893721525071</v>
      </c>
      <c r="U39" s="38">
        <f t="shared" si="14"/>
        <v>58.294893721525071</v>
      </c>
      <c r="V39" s="38">
        <f t="shared" si="15"/>
        <v>165.51263945543451</v>
      </c>
      <c r="W39" s="38">
        <f t="shared" si="16"/>
        <v>156.12062632031282</v>
      </c>
      <c r="X39" s="38">
        <f t="shared" si="17"/>
        <v>142.03260661763036</v>
      </c>
      <c r="Y39" s="38">
        <f t="shared" si="18"/>
        <v>148.95269575702733</v>
      </c>
      <c r="Z39" s="38">
        <f t="shared" si="19"/>
        <v>69.071825257294449</v>
      </c>
      <c r="AA39" s="38">
        <f t="shared" si="20"/>
        <v>69.071825257294449</v>
      </c>
      <c r="AB39" s="38">
        <f t="shared" si="21"/>
        <v>69.071825257294449</v>
      </c>
      <c r="AC39" s="38">
        <f t="shared" si="22"/>
        <v>69.071825257294449</v>
      </c>
      <c r="AD39" s="38">
        <f t="shared" si="23"/>
        <v>69.071825257294449</v>
      </c>
      <c r="AE39" s="38">
        <f t="shared" si="24"/>
        <v>69.071825257294449</v>
      </c>
      <c r="AF39" s="38">
        <f t="shared" si="25"/>
        <v>69.071825257294449</v>
      </c>
      <c r="AG39" s="38">
        <f t="shared" si="26"/>
        <v>69.071825257294449</v>
      </c>
    </row>
    <row r="40" spans="1:33" ht="13" customHeight="1" x14ac:dyDescent="0.25">
      <c r="A40" s="40" t="s">
        <v>39</v>
      </c>
      <c r="B40" s="40">
        <v>13.7</v>
      </c>
      <c r="C40" s="44">
        <f t="shared" si="13"/>
        <v>0</v>
      </c>
      <c r="D40" s="44">
        <v>1</v>
      </c>
      <c r="E40" s="44">
        <v>0.01</v>
      </c>
      <c r="F40" s="38">
        <v>24.0242662</v>
      </c>
      <c r="G40" s="40">
        <v>0</v>
      </c>
      <c r="H40" s="35">
        <v>9.2499999999999999E-2</v>
      </c>
      <c r="I40" s="45">
        <v>7.0000000000000007E-2</v>
      </c>
      <c r="J40" s="38">
        <f t="shared" si="14"/>
        <v>139.68852988440031</v>
      </c>
      <c r="K40" s="38">
        <f t="shared" si="14"/>
        <v>131.76190559868601</v>
      </c>
      <c r="L40" s="38">
        <f t="shared" si="14"/>
        <v>119.87196917011458</v>
      </c>
      <c r="M40" s="38">
        <f t="shared" si="14"/>
        <v>125.71235140153713</v>
      </c>
      <c r="N40" s="38">
        <f t="shared" si="14"/>
        <v>58.294893721525071</v>
      </c>
      <c r="O40" s="38">
        <f t="shared" si="14"/>
        <v>58.294893721525071</v>
      </c>
      <c r="P40" s="38">
        <f t="shared" si="14"/>
        <v>58.294893721525071</v>
      </c>
      <c r="Q40" s="38">
        <f t="shared" si="14"/>
        <v>58.294893721525071</v>
      </c>
      <c r="R40" s="38">
        <f t="shared" si="14"/>
        <v>58.294893721525071</v>
      </c>
      <c r="S40" s="38">
        <f t="shared" si="14"/>
        <v>58.294893721525071</v>
      </c>
      <c r="T40" s="38">
        <f t="shared" si="14"/>
        <v>58.294893721525071</v>
      </c>
      <c r="U40" s="38">
        <f t="shared" si="14"/>
        <v>58.294893721525071</v>
      </c>
      <c r="V40" s="38">
        <f t="shared" si="15"/>
        <v>165.51263945543451</v>
      </c>
      <c r="W40" s="38">
        <f t="shared" si="16"/>
        <v>156.12062632031282</v>
      </c>
      <c r="X40" s="38">
        <f t="shared" si="17"/>
        <v>142.03260661763036</v>
      </c>
      <c r="Y40" s="38">
        <f t="shared" si="18"/>
        <v>148.95269575702733</v>
      </c>
      <c r="Z40" s="38">
        <f t="shared" si="19"/>
        <v>69.071825257294449</v>
      </c>
      <c r="AA40" s="38">
        <f t="shared" si="20"/>
        <v>69.071825257294449</v>
      </c>
      <c r="AB40" s="38">
        <f t="shared" si="21"/>
        <v>69.071825257294449</v>
      </c>
      <c r="AC40" s="38">
        <f t="shared" si="22"/>
        <v>69.071825257294449</v>
      </c>
      <c r="AD40" s="38">
        <f t="shared" si="23"/>
        <v>69.071825257294449</v>
      </c>
      <c r="AE40" s="38">
        <f t="shared" si="24"/>
        <v>69.071825257294449</v>
      </c>
      <c r="AF40" s="38">
        <f t="shared" si="25"/>
        <v>69.071825257294449</v>
      </c>
      <c r="AG40" s="38">
        <f t="shared" si="26"/>
        <v>69.071825257294449</v>
      </c>
    </row>
    <row r="41" spans="1:33" ht="13" customHeight="1" x14ac:dyDescent="0.25">
      <c r="A41" s="40" t="s">
        <v>39</v>
      </c>
      <c r="B41" s="40">
        <v>13.7</v>
      </c>
      <c r="C41" s="44">
        <f t="shared" si="13"/>
        <v>0.4</v>
      </c>
      <c r="D41" s="44">
        <v>0.6</v>
      </c>
      <c r="E41" s="44">
        <v>0.01</v>
      </c>
      <c r="F41" s="38">
        <v>24.0242662</v>
      </c>
      <c r="G41" s="40">
        <v>0</v>
      </c>
      <c r="H41" s="35">
        <v>9.2499999999999999E-2</v>
      </c>
      <c r="I41" s="45">
        <v>7.0000000000000007E-2</v>
      </c>
      <c r="J41" s="38">
        <f t="shared" ref="J41:U50" si="27">(((((J$22*$C41)+(J$23*$D41))*(1+$E41))*($B41/1000))+$F41+($G41*J$5))*(1+J$27)</f>
        <v>129.95647818701298</v>
      </c>
      <c r="K41" s="38">
        <f t="shared" si="27"/>
        <v>124.93548085490687</v>
      </c>
      <c r="L41" s="38">
        <f t="shared" si="27"/>
        <v>117.07645245668425</v>
      </c>
      <c r="M41" s="38">
        <f t="shared" si="27"/>
        <v>132.1268063076096</v>
      </c>
      <c r="N41" s="38">
        <f t="shared" si="27"/>
        <v>44.586642712915044</v>
      </c>
      <c r="O41" s="38">
        <f t="shared" si="27"/>
        <v>44.586642712915044</v>
      </c>
      <c r="P41" s="38">
        <f t="shared" si="27"/>
        <v>44.586642712915044</v>
      </c>
      <c r="Q41" s="38">
        <f t="shared" si="27"/>
        <v>44.586642712915044</v>
      </c>
      <c r="R41" s="38">
        <f t="shared" si="27"/>
        <v>44.586642712915044</v>
      </c>
      <c r="S41" s="38">
        <f t="shared" si="27"/>
        <v>44.586642712915044</v>
      </c>
      <c r="T41" s="38">
        <f t="shared" si="27"/>
        <v>44.586642712915044</v>
      </c>
      <c r="U41" s="38">
        <f t="shared" si="27"/>
        <v>44.586642712915044</v>
      </c>
      <c r="V41" s="38">
        <f t="shared" si="15"/>
        <v>153.98143095116916</v>
      </c>
      <c r="W41" s="38">
        <f t="shared" si="16"/>
        <v>148.03220575835408</v>
      </c>
      <c r="X41" s="38">
        <f t="shared" si="17"/>
        <v>138.72028490972394</v>
      </c>
      <c r="Y41" s="38">
        <f t="shared" si="18"/>
        <v>156.55298593869441</v>
      </c>
      <c r="Z41" s="38">
        <f t="shared" si="19"/>
        <v>52.829340576338218</v>
      </c>
      <c r="AA41" s="38">
        <f t="shared" si="20"/>
        <v>52.829340576338218</v>
      </c>
      <c r="AB41" s="38">
        <f t="shared" si="21"/>
        <v>52.829340576338218</v>
      </c>
      <c r="AC41" s="38">
        <f t="shared" si="22"/>
        <v>52.829340576338218</v>
      </c>
      <c r="AD41" s="38">
        <f t="shared" si="23"/>
        <v>52.829340576338218</v>
      </c>
      <c r="AE41" s="38">
        <f t="shared" si="24"/>
        <v>52.829340576338218</v>
      </c>
      <c r="AF41" s="38">
        <f t="shared" si="25"/>
        <v>52.829340576338218</v>
      </c>
      <c r="AG41" s="38">
        <f t="shared" si="26"/>
        <v>52.829340576338218</v>
      </c>
    </row>
    <row r="42" spans="1:33" ht="13" customHeight="1" x14ac:dyDescent="0.25">
      <c r="A42" s="40" t="s">
        <v>39</v>
      </c>
      <c r="B42" s="40">
        <v>13.7</v>
      </c>
      <c r="C42" s="44">
        <f t="shared" si="13"/>
        <v>0.4</v>
      </c>
      <c r="D42" s="44">
        <v>0.6</v>
      </c>
      <c r="E42" s="44">
        <v>0.01</v>
      </c>
      <c r="F42" s="38">
        <v>24.0242662</v>
      </c>
      <c r="G42" s="40">
        <v>0</v>
      </c>
      <c r="H42" s="35">
        <v>9.2499999999999999E-2</v>
      </c>
      <c r="I42" s="45">
        <v>7.0000000000000007E-2</v>
      </c>
      <c r="J42" s="38">
        <f t="shared" si="27"/>
        <v>129.95647818701298</v>
      </c>
      <c r="K42" s="38">
        <f t="shared" si="27"/>
        <v>124.93548085490687</v>
      </c>
      <c r="L42" s="38">
        <f t="shared" si="27"/>
        <v>117.07645245668425</v>
      </c>
      <c r="M42" s="38">
        <f t="shared" si="27"/>
        <v>132.1268063076096</v>
      </c>
      <c r="N42" s="38">
        <f t="shared" si="27"/>
        <v>44.586642712915044</v>
      </c>
      <c r="O42" s="38">
        <f t="shared" si="27"/>
        <v>44.586642712915044</v>
      </c>
      <c r="P42" s="38">
        <f t="shared" si="27"/>
        <v>44.586642712915044</v>
      </c>
      <c r="Q42" s="38">
        <f t="shared" si="27"/>
        <v>44.586642712915044</v>
      </c>
      <c r="R42" s="38">
        <f t="shared" si="27"/>
        <v>44.586642712915044</v>
      </c>
      <c r="S42" s="38">
        <f t="shared" si="27"/>
        <v>44.586642712915044</v>
      </c>
      <c r="T42" s="38">
        <f t="shared" si="27"/>
        <v>44.586642712915044</v>
      </c>
      <c r="U42" s="38">
        <f t="shared" si="27"/>
        <v>44.586642712915044</v>
      </c>
      <c r="V42" s="38">
        <f t="shared" si="15"/>
        <v>153.98143095116916</v>
      </c>
      <c r="W42" s="38">
        <f t="shared" si="16"/>
        <v>148.03220575835408</v>
      </c>
      <c r="X42" s="38">
        <f t="shared" si="17"/>
        <v>138.72028490972394</v>
      </c>
      <c r="Y42" s="38">
        <f t="shared" si="18"/>
        <v>156.55298593869441</v>
      </c>
      <c r="Z42" s="38">
        <f t="shared" si="19"/>
        <v>52.829340576338218</v>
      </c>
      <c r="AA42" s="38">
        <f t="shared" si="20"/>
        <v>52.829340576338218</v>
      </c>
      <c r="AB42" s="38">
        <f t="shared" si="21"/>
        <v>52.829340576338218</v>
      </c>
      <c r="AC42" s="38">
        <f t="shared" si="22"/>
        <v>52.829340576338218</v>
      </c>
      <c r="AD42" s="38">
        <f t="shared" si="23"/>
        <v>52.829340576338218</v>
      </c>
      <c r="AE42" s="38">
        <f t="shared" si="24"/>
        <v>52.829340576338218</v>
      </c>
      <c r="AF42" s="38">
        <f t="shared" si="25"/>
        <v>52.829340576338218</v>
      </c>
      <c r="AG42" s="38">
        <f t="shared" si="26"/>
        <v>52.829340576338218</v>
      </c>
    </row>
    <row r="43" spans="1:33" ht="13" customHeight="1" x14ac:dyDescent="0.25">
      <c r="A43" s="40" t="s">
        <v>39</v>
      </c>
      <c r="B43" s="40">
        <v>13.7</v>
      </c>
      <c r="C43" s="44">
        <f t="shared" si="13"/>
        <v>0.6</v>
      </c>
      <c r="D43" s="44">
        <v>0.4</v>
      </c>
      <c r="E43" s="44">
        <v>0.01</v>
      </c>
      <c r="F43" s="197">
        <v>24.0242662</v>
      </c>
      <c r="G43" s="40">
        <v>0</v>
      </c>
      <c r="H43" s="35">
        <v>9.2499999999999999E-2</v>
      </c>
      <c r="I43" s="45">
        <v>7.0000000000000007E-2</v>
      </c>
      <c r="J43" s="38">
        <f t="shared" si="27"/>
        <v>125.09045233831931</v>
      </c>
      <c r="K43" s="38">
        <f t="shared" si="27"/>
        <v>121.5222684830173</v>
      </c>
      <c r="L43" s="38">
        <f t="shared" si="27"/>
        <v>115.67869409996908</v>
      </c>
      <c r="M43" s="38">
        <f t="shared" si="27"/>
        <v>135.33403376064581</v>
      </c>
      <c r="N43" s="38">
        <f t="shared" si="27"/>
        <v>37.732517208610034</v>
      </c>
      <c r="O43" s="38">
        <f t="shared" si="27"/>
        <v>37.732517208610034</v>
      </c>
      <c r="P43" s="38">
        <f t="shared" si="27"/>
        <v>37.732517208610034</v>
      </c>
      <c r="Q43" s="38">
        <f t="shared" si="27"/>
        <v>37.732517208610034</v>
      </c>
      <c r="R43" s="38">
        <f t="shared" si="27"/>
        <v>37.732517208610034</v>
      </c>
      <c r="S43" s="38">
        <f t="shared" si="27"/>
        <v>37.732517208610034</v>
      </c>
      <c r="T43" s="38">
        <f t="shared" si="27"/>
        <v>37.732517208610034</v>
      </c>
      <c r="U43" s="38">
        <f t="shared" si="27"/>
        <v>37.732517208610034</v>
      </c>
      <c r="V43" s="38">
        <f t="shared" si="15"/>
        <v>148.21582669903648</v>
      </c>
      <c r="W43" s="38">
        <f t="shared" si="16"/>
        <v>143.98799547737471</v>
      </c>
      <c r="X43" s="38">
        <f t="shared" si="17"/>
        <v>137.06412405577072</v>
      </c>
      <c r="Y43" s="38">
        <f t="shared" si="18"/>
        <v>160.3531310295279</v>
      </c>
      <c r="Z43" s="38">
        <f t="shared" si="19"/>
        <v>44.708098235860113</v>
      </c>
      <c r="AA43" s="38">
        <f t="shared" si="20"/>
        <v>44.708098235860113</v>
      </c>
      <c r="AB43" s="38">
        <f t="shared" si="21"/>
        <v>44.708098235860113</v>
      </c>
      <c r="AC43" s="38">
        <f t="shared" si="22"/>
        <v>44.708098235860113</v>
      </c>
      <c r="AD43" s="38">
        <f t="shared" si="23"/>
        <v>44.708098235860113</v>
      </c>
      <c r="AE43" s="38">
        <f t="shared" si="24"/>
        <v>44.708098235860113</v>
      </c>
      <c r="AF43" s="38">
        <f t="shared" si="25"/>
        <v>44.708098235860113</v>
      </c>
      <c r="AG43" s="38">
        <f t="shared" si="26"/>
        <v>44.708098235860113</v>
      </c>
    </row>
    <row r="44" spans="1:33" ht="13" customHeight="1" x14ac:dyDescent="0.25">
      <c r="A44" s="40" t="s">
        <v>39</v>
      </c>
      <c r="B44" s="40">
        <v>13.7</v>
      </c>
      <c r="C44" s="44">
        <f t="shared" si="13"/>
        <v>0.6</v>
      </c>
      <c r="D44" s="44">
        <v>0.4</v>
      </c>
      <c r="E44" s="44">
        <v>0.01</v>
      </c>
      <c r="F44" s="38">
        <v>24.0242662</v>
      </c>
      <c r="G44" s="40">
        <v>0</v>
      </c>
      <c r="H44" s="35">
        <v>9.2499999999999999E-2</v>
      </c>
      <c r="I44" s="45">
        <v>7.0000000000000007E-2</v>
      </c>
      <c r="J44" s="38">
        <f t="shared" si="27"/>
        <v>125.09045233831931</v>
      </c>
      <c r="K44" s="38">
        <f t="shared" si="27"/>
        <v>121.5222684830173</v>
      </c>
      <c r="L44" s="38">
        <f t="shared" si="27"/>
        <v>115.67869409996908</v>
      </c>
      <c r="M44" s="38">
        <f t="shared" si="27"/>
        <v>135.33403376064581</v>
      </c>
      <c r="N44" s="38">
        <f t="shared" si="27"/>
        <v>37.732517208610034</v>
      </c>
      <c r="O44" s="38">
        <f t="shared" si="27"/>
        <v>37.732517208610034</v>
      </c>
      <c r="P44" s="38">
        <f t="shared" si="27"/>
        <v>37.732517208610034</v>
      </c>
      <c r="Q44" s="38">
        <f t="shared" si="27"/>
        <v>37.732517208610034</v>
      </c>
      <c r="R44" s="38">
        <f t="shared" si="27"/>
        <v>37.732517208610034</v>
      </c>
      <c r="S44" s="38">
        <f t="shared" si="27"/>
        <v>37.732517208610034</v>
      </c>
      <c r="T44" s="38">
        <f t="shared" si="27"/>
        <v>37.732517208610034</v>
      </c>
      <c r="U44" s="38">
        <f t="shared" si="27"/>
        <v>37.732517208610034</v>
      </c>
      <c r="V44" s="38">
        <f t="shared" si="15"/>
        <v>148.21582669903648</v>
      </c>
      <c r="W44" s="38">
        <f t="shared" si="16"/>
        <v>143.98799547737471</v>
      </c>
      <c r="X44" s="38">
        <f t="shared" si="17"/>
        <v>137.06412405577072</v>
      </c>
      <c r="Y44" s="38">
        <f t="shared" si="18"/>
        <v>160.3531310295279</v>
      </c>
      <c r="Z44" s="38">
        <f t="shared" si="19"/>
        <v>44.708098235860113</v>
      </c>
      <c r="AA44" s="38">
        <f t="shared" si="20"/>
        <v>44.708098235860113</v>
      </c>
      <c r="AB44" s="38">
        <f t="shared" si="21"/>
        <v>44.708098235860113</v>
      </c>
      <c r="AC44" s="38">
        <f t="shared" si="22"/>
        <v>44.708098235860113</v>
      </c>
      <c r="AD44" s="38">
        <f t="shared" si="23"/>
        <v>44.708098235860113</v>
      </c>
      <c r="AE44" s="38">
        <f t="shared" si="24"/>
        <v>44.708098235860113</v>
      </c>
      <c r="AF44" s="38">
        <f t="shared" si="25"/>
        <v>44.708098235860113</v>
      </c>
      <c r="AG44" s="38">
        <f t="shared" si="26"/>
        <v>44.708098235860113</v>
      </c>
    </row>
    <row r="45" spans="1:33" ht="13" customHeight="1" x14ac:dyDescent="0.25">
      <c r="A45" s="40" t="s">
        <v>39</v>
      </c>
      <c r="B45" s="40">
        <v>13.7</v>
      </c>
      <c r="C45" s="44">
        <f t="shared" si="13"/>
        <v>1</v>
      </c>
      <c r="D45" s="44">
        <v>0</v>
      </c>
      <c r="E45" s="44">
        <v>0.01</v>
      </c>
      <c r="F45" s="38">
        <v>24.0242662</v>
      </c>
      <c r="G45" s="40">
        <v>0</v>
      </c>
      <c r="H45" s="35">
        <v>9.2499999999999999E-2</v>
      </c>
      <c r="I45" s="45">
        <v>7.0000000000000007E-2</v>
      </c>
      <c r="J45" s="38">
        <f t="shared" si="27"/>
        <v>115.35840064093198</v>
      </c>
      <c r="K45" s="38">
        <f t="shared" si="27"/>
        <v>114.69584373923814</v>
      </c>
      <c r="L45" s="38">
        <f t="shared" si="27"/>
        <v>112.88317738653873</v>
      </c>
      <c r="M45" s="38">
        <f t="shared" si="27"/>
        <v>141.74848866671826</v>
      </c>
      <c r="N45" s="38">
        <f t="shared" si="27"/>
        <v>24.0242662</v>
      </c>
      <c r="O45" s="38">
        <f t="shared" si="27"/>
        <v>24.0242662</v>
      </c>
      <c r="P45" s="38">
        <f t="shared" si="27"/>
        <v>24.0242662</v>
      </c>
      <c r="Q45" s="38">
        <f t="shared" si="27"/>
        <v>24.0242662</v>
      </c>
      <c r="R45" s="38">
        <f t="shared" si="27"/>
        <v>24.0242662</v>
      </c>
      <c r="S45" s="38">
        <f t="shared" si="27"/>
        <v>24.0242662</v>
      </c>
      <c r="T45" s="38">
        <f t="shared" si="27"/>
        <v>24.0242662</v>
      </c>
      <c r="U45" s="38">
        <f t="shared" si="27"/>
        <v>24.0242662</v>
      </c>
      <c r="V45" s="38">
        <f t="shared" si="15"/>
        <v>136.68461819477116</v>
      </c>
      <c r="W45" s="38">
        <f t="shared" si="16"/>
        <v>135.89957491541591</v>
      </c>
      <c r="X45" s="38">
        <f t="shared" si="17"/>
        <v>133.75180234786427</v>
      </c>
      <c r="Y45" s="38">
        <f t="shared" si="18"/>
        <v>167.95342121119495</v>
      </c>
      <c r="Z45" s="38">
        <f t="shared" si="19"/>
        <v>28.465613554903882</v>
      </c>
      <c r="AA45" s="38">
        <f t="shared" si="20"/>
        <v>28.465613554903882</v>
      </c>
      <c r="AB45" s="38">
        <f t="shared" si="21"/>
        <v>28.465613554903882</v>
      </c>
      <c r="AC45" s="38">
        <f t="shared" si="22"/>
        <v>28.465613554903882</v>
      </c>
      <c r="AD45" s="38">
        <f t="shared" si="23"/>
        <v>28.465613554903882</v>
      </c>
      <c r="AE45" s="38">
        <f t="shared" si="24"/>
        <v>28.465613554903882</v>
      </c>
      <c r="AF45" s="38">
        <f t="shared" si="25"/>
        <v>28.465613554903882</v>
      </c>
      <c r="AG45" s="38">
        <f t="shared" si="26"/>
        <v>28.465613554903882</v>
      </c>
    </row>
    <row r="46" spans="1:33" ht="13" customHeight="1" x14ac:dyDescent="0.25">
      <c r="A46" s="40" t="s">
        <v>39</v>
      </c>
      <c r="B46" s="40">
        <v>13.7</v>
      </c>
      <c r="C46" s="44">
        <f t="shared" si="13"/>
        <v>1</v>
      </c>
      <c r="D46" s="44">
        <v>0</v>
      </c>
      <c r="E46" s="44">
        <v>0.01</v>
      </c>
      <c r="F46" s="38">
        <v>24.0242662</v>
      </c>
      <c r="G46" s="40">
        <v>0</v>
      </c>
      <c r="H46" s="35">
        <v>9.2499999999999999E-2</v>
      </c>
      <c r="I46" s="45">
        <v>7.0000000000000007E-2</v>
      </c>
      <c r="J46" s="38">
        <f t="shared" si="27"/>
        <v>115.35840064093198</v>
      </c>
      <c r="K46" s="38">
        <f t="shared" si="27"/>
        <v>114.69584373923814</v>
      </c>
      <c r="L46" s="38">
        <f t="shared" si="27"/>
        <v>112.88317738653873</v>
      </c>
      <c r="M46" s="38">
        <f t="shared" si="27"/>
        <v>141.74848866671826</v>
      </c>
      <c r="N46" s="38">
        <f t="shared" si="27"/>
        <v>24.0242662</v>
      </c>
      <c r="O46" s="38">
        <f t="shared" si="27"/>
        <v>24.0242662</v>
      </c>
      <c r="P46" s="38">
        <f t="shared" si="27"/>
        <v>24.0242662</v>
      </c>
      <c r="Q46" s="38">
        <f t="shared" si="27"/>
        <v>24.0242662</v>
      </c>
      <c r="R46" s="38">
        <f t="shared" si="27"/>
        <v>24.0242662</v>
      </c>
      <c r="S46" s="38">
        <f t="shared" si="27"/>
        <v>24.0242662</v>
      </c>
      <c r="T46" s="38">
        <f t="shared" si="27"/>
        <v>24.0242662</v>
      </c>
      <c r="U46" s="38">
        <f t="shared" si="27"/>
        <v>24.0242662</v>
      </c>
      <c r="V46" s="38">
        <f t="shared" si="15"/>
        <v>136.68461819477116</v>
      </c>
      <c r="W46" s="38">
        <f t="shared" si="16"/>
        <v>135.89957491541591</v>
      </c>
      <c r="X46" s="38">
        <f t="shared" si="17"/>
        <v>133.75180234786427</v>
      </c>
      <c r="Y46" s="38">
        <f t="shared" si="18"/>
        <v>167.95342121119495</v>
      </c>
      <c r="Z46" s="38">
        <f t="shared" si="19"/>
        <v>28.465613554903882</v>
      </c>
      <c r="AA46" s="38">
        <f t="shared" si="20"/>
        <v>28.465613554903882</v>
      </c>
      <c r="AB46" s="38">
        <f t="shared" si="21"/>
        <v>28.465613554903882</v>
      </c>
      <c r="AC46" s="38">
        <f t="shared" si="22"/>
        <v>28.465613554903882</v>
      </c>
      <c r="AD46" s="38">
        <f t="shared" si="23"/>
        <v>28.465613554903882</v>
      </c>
      <c r="AE46" s="38">
        <f t="shared" si="24"/>
        <v>28.465613554903882</v>
      </c>
      <c r="AF46" s="38">
        <f t="shared" si="25"/>
        <v>28.465613554903882</v>
      </c>
      <c r="AG46" s="38">
        <f t="shared" si="26"/>
        <v>28.465613554903882</v>
      </c>
    </row>
    <row r="47" spans="1:33" ht="13" customHeight="1" x14ac:dyDescent="0.25">
      <c r="A47" s="40" t="s">
        <v>39</v>
      </c>
      <c r="B47" s="40">
        <v>17.8</v>
      </c>
      <c r="C47" s="44">
        <f t="shared" si="13"/>
        <v>0</v>
      </c>
      <c r="D47" s="44">
        <v>1</v>
      </c>
      <c r="E47" s="44">
        <v>0.01</v>
      </c>
      <c r="F47" s="94">
        <v>29.1358122</v>
      </c>
      <c r="G47" s="23">
        <v>2.4300000000000002</v>
      </c>
      <c r="H47" s="35">
        <v>9.2499999999999999E-2</v>
      </c>
      <c r="I47" s="45">
        <v>0.18</v>
      </c>
      <c r="J47" s="38">
        <f t="shared" si="27"/>
        <v>192.69389360762963</v>
      </c>
      <c r="K47" s="38">
        <f t="shared" si="27"/>
        <v>182.11467566084391</v>
      </c>
      <c r="L47" s="38">
        <f t="shared" si="27"/>
        <v>166.33172038441532</v>
      </c>
      <c r="M47" s="38">
        <f t="shared" si="27"/>
        <v>173.98661039912369</v>
      </c>
      <c r="N47" s="38">
        <f t="shared" si="27"/>
        <v>73.662612921397539</v>
      </c>
      <c r="O47" s="38">
        <f t="shared" si="27"/>
        <v>73.662612921397539</v>
      </c>
      <c r="P47" s="38">
        <f t="shared" si="27"/>
        <v>73.662612921397539</v>
      </c>
      <c r="Q47" s="38">
        <f t="shared" si="27"/>
        <v>73.662612921397539</v>
      </c>
      <c r="R47" s="38">
        <f t="shared" si="27"/>
        <v>73.662612921397539</v>
      </c>
      <c r="S47" s="38">
        <f t="shared" si="27"/>
        <v>73.662612921397539</v>
      </c>
      <c r="T47" s="38">
        <f t="shared" si="27"/>
        <v>73.662612921397539</v>
      </c>
      <c r="U47" s="38">
        <f t="shared" si="27"/>
        <v>73.662612921397539</v>
      </c>
      <c r="V47" s="38">
        <f t="shared" si="15"/>
        <v>258.94496218185799</v>
      </c>
      <c r="W47" s="38">
        <f t="shared" si="16"/>
        <v>244.72844945352941</v>
      </c>
      <c r="X47" s="38">
        <f t="shared" si="17"/>
        <v>223.51907597180048</v>
      </c>
      <c r="Y47" s="38">
        <f t="shared" si="18"/>
        <v>233.80583269384354</v>
      </c>
      <c r="Z47" s="38">
        <f t="shared" si="19"/>
        <v>98.988930889467909</v>
      </c>
      <c r="AA47" s="38">
        <f t="shared" si="20"/>
        <v>98.988930889467909</v>
      </c>
      <c r="AB47" s="38">
        <f t="shared" si="21"/>
        <v>98.988930889467909</v>
      </c>
      <c r="AC47" s="38">
        <f t="shared" si="22"/>
        <v>98.988930889467909</v>
      </c>
      <c r="AD47" s="38">
        <f t="shared" si="23"/>
        <v>98.988930889467909</v>
      </c>
      <c r="AE47" s="38">
        <f t="shared" si="24"/>
        <v>98.988930889467909</v>
      </c>
      <c r="AF47" s="38">
        <f t="shared" si="25"/>
        <v>98.988930889467909</v>
      </c>
      <c r="AG47" s="38">
        <f t="shared" si="26"/>
        <v>98.988930889467909</v>
      </c>
    </row>
    <row r="48" spans="1:33" ht="13" customHeight="1" x14ac:dyDescent="0.25">
      <c r="A48" s="40" t="s">
        <v>39</v>
      </c>
      <c r="B48" s="40">
        <v>17.8</v>
      </c>
      <c r="C48" s="44">
        <f t="shared" si="13"/>
        <v>0.4</v>
      </c>
      <c r="D48" s="44">
        <v>0.6</v>
      </c>
      <c r="E48" s="44">
        <v>0.01</v>
      </c>
      <c r="F48" s="94">
        <v>29.1358122</v>
      </c>
      <c r="G48" s="23">
        <v>2.4300000000000002</v>
      </c>
      <c r="H48" s="35">
        <v>9.2499999999999999E-2</v>
      </c>
      <c r="I48" s="45">
        <v>0.18</v>
      </c>
      <c r="J48" s="38">
        <f t="shared" si="27"/>
        <v>180.04933008839643</v>
      </c>
      <c r="K48" s="38">
        <f t="shared" si="27"/>
        <v>173.24530628571478</v>
      </c>
      <c r="L48" s="38">
        <f t="shared" si="27"/>
        <v>162.69958918010434</v>
      </c>
      <c r="M48" s="38">
        <f t="shared" si="27"/>
        <v>182.32071969314484</v>
      </c>
      <c r="N48" s="38">
        <f t="shared" si="27"/>
        <v>55.851892632838528</v>
      </c>
      <c r="O48" s="38">
        <f t="shared" si="27"/>
        <v>55.851892632838528</v>
      </c>
      <c r="P48" s="38">
        <f t="shared" si="27"/>
        <v>55.851892632838528</v>
      </c>
      <c r="Q48" s="38">
        <f t="shared" si="27"/>
        <v>55.851892632838528</v>
      </c>
      <c r="R48" s="38">
        <f t="shared" si="27"/>
        <v>55.851892632838528</v>
      </c>
      <c r="S48" s="38">
        <f t="shared" si="27"/>
        <v>55.851892632838528</v>
      </c>
      <c r="T48" s="38">
        <f t="shared" si="27"/>
        <v>55.851892632838528</v>
      </c>
      <c r="U48" s="38">
        <f t="shared" si="27"/>
        <v>55.851892632838528</v>
      </c>
      <c r="V48" s="38">
        <f t="shared" si="15"/>
        <v>241.95300690505465</v>
      </c>
      <c r="W48" s="38">
        <f t="shared" si="16"/>
        <v>232.80965703919205</v>
      </c>
      <c r="X48" s="38">
        <f t="shared" si="17"/>
        <v>218.63816324679746</v>
      </c>
      <c r="Y48" s="38">
        <f t="shared" si="18"/>
        <v>245.00533453355484</v>
      </c>
      <c r="Z48" s="38">
        <f t="shared" si="19"/>
        <v>75.054616183348145</v>
      </c>
      <c r="AA48" s="38">
        <f t="shared" si="20"/>
        <v>75.054616183348145</v>
      </c>
      <c r="AB48" s="38">
        <f t="shared" si="21"/>
        <v>75.054616183348145</v>
      </c>
      <c r="AC48" s="38">
        <f t="shared" si="22"/>
        <v>75.054616183348145</v>
      </c>
      <c r="AD48" s="38">
        <f t="shared" si="23"/>
        <v>75.054616183348145</v>
      </c>
      <c r="AE48" s="38">
        <f t="shared" si="24"/>
        <v>75.054616183348145</v>
      </c>
      <c r="AF48" s="38">
        <f t="shared" si="25"/>
        <v>75.054616183348145</v>
      </c>
      <c r="AG48" s="38">
        <f t="shared" si="26"/>
        <v>75.054616183348145</v>
      </c>
    </row>
    <row r="49" spans="1:33" ht="13" customHeight="1" x14ac:dyDescent="0.25">
      <c r="A49" s="40" t="s">
        <v>39</v>
      </c>
      <c r="B49" s="40">
        <v>17.8</v>
      </c>
      <c r="C49" s="44">
        <f t="shared" si="13"/>
        <v>0.6</v>
      </c>
      <c r="D49" s="44">
        <v>0.4</v>
      </c>
      <c r="E49" s="44">
        <v>0.01</v>
      </c>
      <c r="F49" s="94">
        <v>29.1358122</v>
      </c>
      <c r="G49" s="23">
        <v>2.4300000000000002</v>
      </c>
      <c r="H49" s="35">
        <v>9.2499999999999999E-2</v>
      </c>
      <c r="I49" s="45">
        <v>0.18</v>
      </c>
      <c r="J49" s="38">
        <f t="shared" si="27"/>
        <v>173.72704832877986</v>
      </c>
      <c r="K49" s="38">
        <f t="shared" si="27"/>
        <v>168.81062159815022</v>
      </c>
      <c r="L49" s="38">
        <f t="shared" si="27"/>
        <v>160.88352357794889</v>
      </c>
      <c r="M49" s="38">
        <f t="shared" si="27"/>
        <v>186.4877743401554</v>
      </c>
      <c r="N49" s="38">
        <f t="shared" si="27"/>
        <v>46.946532488559015</v>
      </c>
      <c r="O49" s="38">
        <f t="shared" si="27"/>
        <v>46.946532488559015</v>
      </c>
      <c r="P49" s="38">
        <f t="shared" si="27"/>
        <v>46.946532488559015</v>
      </c>
      <c r="Q49" s="38">
        <f t="shared" si="27"/>
        <v>46.946532488559015</v>
      </c>
      <c r="R49" s="38">
        <f t="shared" si="27"/>
        <v>46.946532488559015</v>
      </c>
      <c r="S49" s="38">
        <f t="shared" si="27"/>
        <v>46.946532488559015</v>
      </c>
      <c r="T49" s="38">
        <f t="shared" si="27"/>
        <v>46.946532488559015</v>
      </c>
      <c r="U49" s="38">
        <f t="shared" si="27"/>
        <v>46.946532488559015</v>
      </c>
      <c r="V49" s="38">
        <f t="shared" si="15"/>
        <v>233.45702926665302</v>
      </c>
      <c r="W49" s="38">
        <f t="shared" si="16"/>
        <v>226.85026083202339</v>
      </c>
      <c r="X49" s="38">
        <f t="shared" si="17"/>
        <v>216.19770688429603</v>
      </c>
      <c r="Y49" s="38">
        <f t="shared" si="18"/>
        <v>250.60508545341045</v>
      </c>
      <c r="Z49" s="38">
        <f t="shared" si="19"/>
        <v>63.08745883028827</v>
      </c>
      <c r="AA49" s="38">
        <f t="shared" si="20"/>
        <v>63.08745883028827</v>
      </c>
      <c r="AB49" s="38">
        <f t="shared" si="21"/>
        <v>63.08745883028827</v>
      </c>
      <c r="AC49" s="38">
        <f t="shared" si="22"/>
        <v>63.08745883028827</v>
      </c>
      <c r="AD49" s="38">
        <f t="shared" si="23"/>
        <v>63.08745883028827</v>
      </c>
      <c r="AE49" s="38">
        <f t="shared" si="24"/>
        <v>63.08745883028827</v>
      </c>
      <c r="AF49" s="38">
        <f t="shared" si="25"/>
        <v>63.08745883028827</v>
      </c>
      <c r="AG49" s="38">
        <f t="shared" si="26"/>
        <v>63.08745883028827</v>
      </c>
    </row>
    <row r="50" spans="1:33" ht="13" customHeight="1" x14ac:dyDescent="0.25">
      <c r="A50" s="40" t="s">
        <v>39</v>
      </c>
      <c r="B50" s="40">
        <v>17.8</v>
      </c>
      <c r="C50" s="44">
        <f t="shared" si="13"/>
        <v>1</v>
      </c>
      <c r="D50" s="44">
        <v>0</v>
      </c>
      <c r="E50" s="44">
        <v>0.01</v>
      </c>
      <c r="F50" s="94">
        <v>29.1358122</v>
      </c>
      <c r="G50" s="23">
        <v>2.4300000000000002</v>
      </c>
      <c r="H50" s="35">
        <v>9.2499999999999999E-2</v>
      </c>
      <c r="I50" s="45">
        <v>0.18</v>
      </c>
      <c r="J50" s="38">
        <f t="shared" si="27"/>
        <v>161.08248480954666</v>
      </c>
      <c r="K50" s="38">
        <f t="shared" si="27"/>
        <v>159.94125222302111</v>
      </c>
      <c r="L50" s="38">
        <f t="shared" si="27"/>
        <v>157.25139237363794</v>
      </c>
      <c r="M50" s="38">
        <f t="shared" si="27"/>
        <v>194.82188363417652</v>
      </c>
      <c r="N50" s="38">
        <f t="shared" si="27"/>
        <v>29.1358122</v>
      </c>
      <c r="O50" s="38">
        <f t="shared" si="27"/>
        <v>29.1358122</v>
      </c>
      <c r="P50" s="38">
        <f t="shared" si="27"/>
        <v>29.1358122</v>
      </c>
      <c r="Q50" s="38">
        <f t="shared" si="27"/>
        <v>29.1358122</v>
      </c>
      <c r="R50" s="38">
        <f t="shared" si="27"/>
        <v>29.1358122</v>
      </c>
      <c r="S50" s="38">
        <f t="shared" si="27"/>
        <v>29.1358122</v>
      </c>
      <c r="T50" s="38">
        <f t="shared" si="27"/>
        <v>29.1358122</v>
      </c>
      <c r="U50" s="38">
        <f t="shared" si="27"/>
        <v>29.1358122</v>
      </c>
      <c r="V50" s="38">
        <f t="shared" si="15"/>
        <v>216.46507398984969</v>
      </c>
      <c r="W50" s="38">
        <f t="shared" si="16"/>
        <v>214.93146841768606</v>
      </c>
      <c r="X50" s="38">
        <f t="shared" si="17"/>
        <v>211.31679415929307</v>
      </c>
      <c r="Y50" s="38">
        <f t="shared" si="18"/>
        <v>261.8045872931217</v>
      </c>
      <c r="Z50" s="38">
        <f t="shared" si="19"/>
        <v>39.153144124168513</v>
      </c>
      <c r="AA50" s="38">
        <f t="shared" si="20"/>
        <v>39.153144124168513</v>
      </c>
      <c r="AB50" s="38">
        <f t="shared" si="21"/>
        <v>39.153144124168513</v>
      </c>
      <c r="AC50" s="38">
        <f t="shared" si="22"/>
        <v>39.153144124168513</v>
      </c>
      <c r="AD50" s="38">
        <f t="shared" si="23"/>
        <v>39.153144124168513</v>
      </c>
      <c r="AE50" s="38">
        <f t="shared" si="24"/>
        <v>39.153144124168513</v>
      </c>
      <c r="AF50" s="38">
        <f t="shared" si="25"/>
        <v>39.153144124168513</v>
      </c>
      <c r="AG50" s="38">
        <f t="shared" si="26"/>
        <v>39.153144124168513</v>
      </c>
    </row>
    <row r="51" spans="1:33" ht="13" customHeight="1" x14ac:dyDescent="0.25">
      <c r="A51" s="40" t="s">
        <v>39</v>
      </c>
      <c r="B51" s="40">
        <v>17.8</v>
      </c>
      <c r="C51" s="44">
        <f t="shared" si="13"/>
        <v>0</v>
      </c>
      <c r="D51" s="44">
        <v>1</v>
      </c>
      <c r="E51" s="44">
        <v>0.01</v>
      </c>
      <c r="F51" s="94">
        <v>29.1358122</v>
      </c>
      <c r="G51" s="23">
        <v>2.4300000000000002</v>
      </c>
      <c r="H51" s="35">
        <v>9.2499999999999999E-2</v>
      </c>
      <c r="I51" s="45">
        <v>0.12</v>
      </c>
      <c r="J51" s="38">
        <f t="shared" ref="J51:U60" si="28">(((((J$22*$C51)+(J$23*$D51))*(1+$E51))*($B51/1000))+$F51+($G51*J$5))*(1+J$27)</f>
        <v>192.69389360762963</v>
      </c>
      <c r="K51" s="38">
        <f t="shared" si="28"/>
        <v>182.11467566084391</v>
      </c>
      <c r="L51" s="38">
        <f t="shared" si="28"/>
        <v>166.33172038441532</v>
      </c>
      <c r="M51" s="38">
        <f t="shared" si="28"/>
        <v>173.98661039912369</v>
      </c>
      <c r="N51" s="38">
        <f t="shared" si="28"/>
        <v>73.662612921397539</v>
      </c>
      <c r="O51" s="38">
        <f t="shared" si="28"/>
        <v>73.662612921397539</v>
      </c>
      <c r="P51" s="38">
        <f t="shared" si="28"/>
        <v>73.662612921397539</v>
      </c>
      <c r="Q51" s="38">
        <f t="shared" si="28"/>
        <v>73.662612921397539</v>
      </c>
      <c r="R51" s="38">
        <f t="shared" si="28"/>
        <v>73.662612921397539</v>
      </c>
      <c r="S51" s="38">
        <f t="shared" si="28"/>
        <v>73.662612921397539</v>
      </c>
      <c r="T51" s="38">
        <f t="shared" si="28"/>
        <v>73.662612921397539</v>
      </c>
      <c r="U51" s="38">
        <f t="shared" si="28"/>
        <v>73.662612921397539</v>
      </c>
      <c r="V51" s="38">
        <f t="shared" si="15"/>
        <v>241.28962385127679</v>
      </c>
      <c r="W51" s="38">
        <f t="shared" si="16"/>
        <v>228.04241880897061</v>
      </c>
      <c r="X51" s="38">
        <f t="shared" si="17"/>
        <v>208.27913897372318</v>
      </c>
      <c r="Y51" s="38">
        <f t="shared" si="18"/>
        <v>217.86452591926331</v>
      </c>
      <c r="Z51" s="38">
        <f t="shared" si="19"/>
        <v>92.239685601549652</v>
      </c>
      <c r="AA51" s="38">
        <f t="shared" si="20"/>
        <v>92.239685601549652</v>
      </c>
      <c r="AB51" s="38">
        <f t="shared" si="21"/>
        <v>92.239685601549652</v>
      </c>
      <c r="AC51" s="38">
        <f t="shared" si="22"/>
        <v>92.239685601549652</v>
      </c>
      <c r="AD51" s="38">
        <f t="shared" si="23"/>
        <v>92.239685601549652</v>
      </c>
      <c r="AE51" s="38">
        <f t="shared" si="24"/>
        <v>92.239685601549652</v>
      </c>
      <c r="AF51" s="38">
        <f t="shared" si="25"/>
        <v>92.239685601549652</v>
      </c>
      <c r="AG51" s="38">
        <f t="shared" si="26"/>
        <v>92.239685601549652</v>
      </c>
    </row>
    <row r="52" spans="1:33" ht="13" customHeight="1" x14ac:dyDescent="0.25">
      <c r="A52" s="40" t="s">
        <v>39</v>
      </c>
      <c r="B52" s="40">
        <v>17.8</v>
      </c>
      <c r="C52" s="44">
        <f t="shared" si="13"/>
        <v>0.4</v>
      </c>
      <c r="D52" s="44">
        <v>0.6</v>
      </c>
      <c r="E52" s="44">
        <v>0.01</v>
      </c>
      <c r="F52" s="94">
        <v>29.1358122</v>
      </c>
      <c r="G52" s="23">
        <v>2.4300000000000002</v>
      </c>
      <c r="H52" s="35">
        <v>9.2499999999999999E-2</v>
      </c>
      <c r="I52" s="45">
        <v>0.12</v>
      </c>
      <c r="J52" s="38">
        <f t="shared" si="28"/>
        <v>180.04933008839643</v>
      </c>
      <c r="K52" s="38">
        <f t="shared" si="28"/>
        <v>173.24530628571478</v>
      </c>
      <c r="L52" s="38">
        <f t="shared" si="28"/>
        <v>162.69958918010434</v>
      </c>
      <c r="M52" s="38">
        <f t="shared" si="28"/>
        <v>182.32071969314484</v>
      </c>
      <c r="N52" s="38">
        <f t="shared" si="28"/>
        <v>55.851892632838528</v>
      </c>
      <c r="O52" s="38">
        <f t="shared" si="28"/>
        <v>55.851892632838528</v>
      </c>
      <c r="P52" s="38">
        <f t="shared" si="28"/>
        <v>55.851892632838528</v>
      </c>
      <c r="Q52" s="38">
        <f t="shared" si="28"/>
        <v>55.851892632838528</v>
      </c>
      <c r="R52" s="38">
        <f t="shared" si="28"/>
        <v>55.851892632838528</v>
      </c>
      <c r="S52" s="38">
        <f t="shared" si="28"/>
        <v>55.851892632838528</v>
      </c>
      <c r="T52" s="38">
        <f t="shared" si="28"/>
        <v>55.851892632838528</v>
      </c>
      <c r="U52" s="38">
        <f t="shared" si="28"/>
        <v>55.851892632838528</v>
      </c>
      <c r="V52" s="38">
        <f t="shared" si="15"/>
        <v>225.45621097971002</v>
      </c>
      <c r="W52" s="38">
        <f t="shared" si="16"/>
        <v>216.93627133197444</v>
      </c>
      <c r="X52" s="38">
        <f t="shared" si="17"/>
        <v>203.73101575269766</v>
      </c>
      <c r="Y52" s="38">
        <f t="shared" si="18"/>
        <v>228.30042536081248</v>
      </c>
      <c r="Z52" s="38">
        <f t="shared" si="19"/>
        <v>69.937255989028955</v>
      </c>
      <c r="AA52" s="38">
        <f t="shared" si="20"/>
        <v>69.937255989028955</v>
      </c>
      <c r="AB52" s="38">
        <f t="shared" si="21"/>
        <v>69.937255989028955</v>
      </c>
      <c r="AC52" s="38">
        <f t="shared" si="22"/>
        <v>69.937255989028955</v>
      </c>
      <c r="AD52" s="38">
        <f t="shared" si="23"/>
        <v>69.937255989028955</v>
      </c>
      <c r="AE52" s="38">
        <f t="shared" si="24"/>
        <v>69.937255989028955</v>
      </c>
      <c r="AF52" s="38">
        <f t="shared" si="25"/>
        <v>69.937255989028955</v>
      </c>
      <c r="AG52" s="38">
        <f t="shared" si="26"/>
        <v>69.937255989028955</v>
      </c>
    </row>
    <row r="53" spans="1:33" ht="13" customHeight="1" x14ac:dyDescent="0.25">
      <c r="A53" s="40" t="s">
        <v>39</v>
      </c>
      <c r="B53" s="40">
        <v>17.8</v>
      </c>
      <c r="C53" s="44">
        <f t="shared" si="13"/>
        <v>0.6</v>
      </c>
      <c r="D53" s="44">
        <v>0.4</v>
      </c>
      <c r="E53" s="44">
        <v>0.01</v>
      </c>
      <c r="F53" s="94">
        <v>29.1358122</v>
      </c>
      <c r="G53" s="23">
        <v>2.4300000000000002</v>
      </c>
      <c r="H53" s="35">
        <v>9.2499999999999999E-2</v>
      </c>
      <c r="I53" s="45">
        <v>0.12</v>
      </c>
      <c r="J53" s="38">
        <f t="shared" si="28"/>
        <v>173.72704832877986</v>
      </c>
      <c r="K53" s="38">
        <f t="shared" si="28"/>
        <v>168.81062159815022</v>
      </c>
      <c r="L53" s="38">
        <f t="shared" si="28"/>
        <v>160.88352357794889</v>
      </c>
      <c r="M53" s="38">
        <f t="shared" si="28"/>
        <v>186.4877743401554</v>
      </c>
      <c r="N53" s="38">
        <f t="shared" si="28"/>
        <v>46.946532488559015</v>
      </c>
      <c r="O53" s="38">
        <f t="shared" si="28"/>
        <v>46.946532488559015</v>
      </c>
      <c r="P53" s="38">
        <f t="shared" si="28"/>
        <v>46.946532488559015</v>
      </c>
      <c r="Q53" s="38">
        <f t="shared" si="28"/>
        <v>46.946532488559015</v>
      </c>
      <c r="R53" s="38">
        <f t="shared" si="28"/>
        <v>46.946532488559015</v>
      </c>
      <c r="S53" s="38">
        <f t="shared" si="28"/>
        <v>46.946532488559015</v>
      </c>
      <c r="T53" s="38">
        <f t="shared" si="28"/>
        <v>46.946532488559015</v>
      </c>
      <c r="U53" s="38">
        <f t="shared" si="28"/>
        <v>46.946532488559015</v>
      </c>
      <c r="V53" s="38">
        <f t="shared" si="15"/>
        <v>217.53950454392668</v>
      </c>
      <c r="W53" s="38">
        <f t="shared" si="16"/>
        <v>211.38319759347635</v>
      </c>
      <c r="X53" s="38">
        <f t="shared" si="17"/>
        <v>201.45695414218494</v>
      </c>
      <c r="Y53" s="38">
        <f t="shared" si="18"/>
        <v>233.51837508158704</v>
      </c>
      <c r="Z53" s="38">
        <f t="shared" si="19"/>
        <v>58.786041182768621</v>
      </c>
      <c r="AA53" s="38">
        <f t="shared" si="20"/>
        <v>58.786041182768621</v>
      </c>
      <c r="AB53" s="38">
        <f t="shared" si="21"/>
        <v>58.786041182768621</v>
      </c>
      <c r="AC53" s="38">
        <f t="shared" si="22"/>
        <v>58.786041182768621</v>
      </c>
      <c r="AD53" s="38">
        <f t="shared" si="23"/>
        <v>58.786041182768621</v>
      </c>
      <c r="AE53" s="38">
        <f t="shared" si="24"/>
        <v>58.786041182768621</v>
      </c>
      <c r="AF53" s="38">
        <f t="shared" si="25"/>
        <v>58.786041182768621</v>
      </c>
      <c r="AG53" s="38">
        <f t="shared" si="26"/>
        <v>58.786041182768621</v>
      </c>
    </row>
    <row r="54" spans="1:33" ht="13" customHeight="1" x14ac:dyDescent="0.25">
      <c r="A54" s="40" t="s">
        <v>39</v>
      </c>
      <c r="B54" s="40">
        <v>17.8</v>
      </c>
      <c r="C54" s="44">
        <f t="shared" si="13"/>
        <v>1</v>
      </c>
      <c r="D54" s="44">
        <v>0</v>
      </c>
      <c r="E54" s="44">
        <v>0.01</v>
      </c>
      <c r="F54" s="94">
        <v>29.1358122</v>
      </c>
      <c r="G54" s="23">
        <v>2.4300000000000002</v>
      </c>
      <c r="H54" s="35">
        <v>9.2499999999999999E-2</v>
      </c>
      <c r="I54" s="45">
        <v>0.12</v>
      </c>
      <c r="J54" s="38">
        <f t="shared" si="28"/>
        <v>161.08248480954666</v>
      </c>
      <c r="K54" s="38">
        <f t="shared" si="28"/>
        <v>159.94125222302111</v>
      </c>
      <c r="L54" s="38">
        <f t="shared" si="28"/>
        <v>157.25139237363794</v>
      </c>
      <c r="M54" s="38">
        <f t="shared" si="28"/>
        <v>194.82188363417652</v>
      </c>
      <c r="N54" s="38">
        <f t="shared" si="28"/>
        <v>29.1358122</v>
      </c>
      <c r="O54" s="38">
        <f t="shared" si="28"/>
        <v>29.1358122</v>
      </c>
      <c r="P54" s="38">
        <f t="shared" si="28"/>
        <v>29.1358122</v>
      </c>
      <c r="Q54" s="38">
        <f t="shared" si="28"/>
        <v>29.1358122</v>
      </c>
      <c r="R54" s="38">
        <f t="shared" si="28"/>
        <v>29.1358122</v>
      </c>
      <c r="S54" s="38">
        <f t="shared" si="28"/>
        <v>29.1358122</v>
      </c>
      <c r="T54" s="38">
        <f t="shared" si="28"/>
        <v>29.1358122</v>
      </c>
      <c r="U54" s="38">
        <f t="shared" si="28"/>
        <v>29.1358122</v>
      </c>
      <c r="V54" s="38">
        <f t="shared" si="15"/>
        <v>201.70609167235995</v>
      </c>
      <c r="W54" s="38">
        <f t="shared" si="16"/>
        <v>200.27705011648021</v>
      </c>
      <c r="X54" s="38">
        <f t="shared" si="17"/>
        <v>196.90883092115948</v>
      </c>
      <c r="Y54" s="38">
        <f t="shared" si="18"/>
        <v>243.95427452313615</v>
      </c>
      <c r="Z54" s="38">
        <f t="shared" si="19"/>
        <v>36.48361157024793</v>
      </c>
      <c r="AA54" s="38">
        <f t="shared" si="20"/>
        <v>36.48361157024793</v>
      </c>
      <c r="AB54" s="38">
        <f t="shared" si="21"/>
        <v>36.48361157024793</v>
      </c>
      <c r="AC54" s="38">
        <f t="shared" si="22"/>
        <v>36.48361157024793</v>
      </c>
      <c r="AD54" s="38">
        <f t="shared" si="23"/>
        <v>36.48361157024793</v>
      </c>
      <c r="AE54" s="38">
        <f t="shared" si="24"/>
        <v>36.48361157024793</v>
      </c>
      <c r="AF54" s="38">
        <f t="shared" si="25"/>
        <v>36.48361157024793</v>
      </c>
      <c r="AG54" s="38">
        <f t="shared" si="26"/>
        <v>36.48361157024793</v>
      </c>
    </row>
    <row r="55" spans="1:33" ht="13" customHeight="1" x14ac:dyDescent="0.25">
      <c r="A55" s="40" t="s">
        <v>39</v>
      </c>
      <c r="B55" s="40">
        <v>17.8</v>
      </c>
      <c r="C55" s="44">
        <f t="shared" si="13"/>
        <v>0</v>
      </c>
      <c r="D55" s="44">
        <v>1</v>
      </c>
      <c r="E55" s="44">
        <v>0.01</v>
      </c>
      <c r="F55" s="94">
        <v>29.1358122</v>
      </c>
      <c r="G55" s="23">
        <v>2.4300000000000002</v>
      </c>
      <c r="H55" s="35">
        <v>9.2499999999999999E-2</v>
      </c>
      <c r="I55" s="45">
        <v>7.0000000000000007E-2</v>
      </c>
      <c r="J55" s="38">
        <f t="shared" si="28"/>
        <v>192.69389360762963</v>
      </c>
      <c r="K55" s="38">
        <f t="shared" si="28"/>
        <v>182.11467566084391</v>
      </c>
      <c r="L55" s="38">
        <f t="shared" si="28"/>
        <v>166.33172038441532</v>
      </c>
      <c r="M55" s="38">
        <f t="shared" si="28"/>
        <v>173.98661039912369</v>
      </c>
      <c r="N55" s="38">
        <f t="shared" si="28"/>
        <v>73.662612921397539</v>
      </c>
      <c r="O55" s="38">
        <f t="shared" si="28"/>
        <v>73.662612921397539</v>
      </c>
      <c r="P55" s="38">
        <f t="shared" si="28"/>
        <v>73.662612921397539</v>
      </c>
      <c r="Q55" s="38">
        <f t="shared" si="28"/>
        <v>73.662612921397539</v>
      </c>
      <c r="R55" s="38">
        <f t="shared" si="28"/>
        <v>73.662612921397539</v>
      </c>
      <c r="S55" s="38">
        <f t="shared" si="28"/>
        <v>73.662612921397539</v>
      </c>
      <c r="T55" s="38">
        <f t="shared" si="28"/>
        <v>73.662612921397539</v>
      </c>
      <c r="U55" s="38">
        <f t="shared" si="28"/>
        <v>73.662612921397539</v>
      </c>
      <c r="V55" s="38">
        <f t="shared" si="15"/>
        <v>228.31706342916516</v>
      </c>
      <c r="W55" s="38">
        <f t="shared" si="16"/>
        <v>215.78207371171413</v>
      </c>
      <c r="X55" s="38">
        <f t="shared" si="17"/>
        <v>197.08133580309291</v>
      </c>
      <c r="Y55" s="38">
        <f t="shared" si="18"/>
        <v>206.15137936446425</v>
      </c>
      <c r="Z55" s="38">
        <f t="shared" si="19"/>
        <v>87.280562719745902</v>
      </c>
      <c r="AA55" s="38">
        <f t="shared" si="20"/>
        <v>87.280562719745902</v>
      </c>
      <c r="AB55" s="38">
        <f t="shared" si="21"/>
        <v>87.280562719745902</v>
      </c>
      <c r="AC55" s="38">
        <f t="shared" si="22"/>
        <v>87.280562719745902</v>
      </c>
      <c r="AD55" s="38">
        <f t="shared" si="23"/>
        <v>87.280562719745902</v>
      </c>
      <c r="AE55" s="38">
        <f t="shared" si="24"/>
        <v>87.280562719745902</v>
      </c>
      <c r="AF55" s="38">
        <f t="shared" si="25"/>
        <v>87.280562719745902</v>
      </c>
      <c r="AG55" s="38">
        <f t="shared" si="26"/>
        <v>87.280562719745902</v>
      </c>
    </row>
    <row r="56" spans="1:33" ht="13" customHeight="1" x14ac:dyDescent="0.25">
      <c r="A56" s="40" t="s">
        <v>39</v>
      </c>
      <c r="B56" s="40">
        <v>17.8</v>
      </c>
      <c r="C56" s="44">
        <f t="shared" si="13"/>
        <v>0</v>
      </c>
      <c r="D56" s="44">
        <v>1</v>
      </c>
      <c r="E56" s="44">
        <v>0.01</v>
      </c>
      <c r="F56" s="94">
        <v>29.1358122</v>
      </c>
      <c r="G56" s="23">
        <v>2.4300000000000002</v>
      </c>
      <c r="H56" s="35">
        <v>9.2499999999999999E-2</v>
      </c>
      <c r="I56" s="45">
        <v>7.0000000000000007E-2</v>
      </c>
      <c r="J56" s="38">
        <f t="shared" si="28"/>
        <v>192.69389360762963</v>
      </c>
      <c r="K56" s="38">
        <f t="shared" si="28"/>
        <v>182.11467566084391</v>
      </c>
      <c r="L56" s="38">
        <f t="shared" si="28"/>
        <v>166.33172038441532</v>
      </c>
      <c r="M56" s="38">
        <f t="shared" si="28"/>
        <v>173.98661039912369</v>
      </c>
      <c r="N56" s="38">
        <f t="shared" si="28"/>
        <v>73.662612921397539</v>
      </c>
      <c r="O56" s="38">
        <f t="shared" si="28"/>
        <v>73.662612921397539</v>
      </c>
      <c r="P56" s="38">
        <f t="shared" si="28"/>
        <v>73.662612921397539</v>
      </c>
      <c r="Q56" s="38">
        <f t="shared" si="28"/>
        <v>73.662612921397539</v>
      </c>
      <c r="R56" s="38">
        <f t="shared" si="28"/>
        <v>73.662612921397539</v>
      </c>
      <c r="S56" s="38">
        <f t="shared" si="28"/>
        <v>73.662612921397539</v>
      </c>
      <c r="T56" s="38">
        <f t="shared" si="28"/>
        <v>73.662612921397539</v>
      </c>
      <c r="U56" s="38">
        <f t="shared" si="28"/>
        <v>73.662612921397539</v>
      </c>
      <c r="V56" s="38">
        <f t="shared" si="15"/>
        <v>228.31706342916516</v>
      </c>
      <c r="W56" s="38">
        <f t="shared" si="16"/>
        <v>215.78207371171413</v>
      </c>
      <c r="X56" s="38">
        <f t="shared" si="17"/>
        <v>197.08133580309291</v>
      </c>
      <c r="Y56" s="38">
        <f t="shared" si="18"/>
        <v>206.15137936446425</v>
      </c>
      <c r="Z56" s="38">
        <f t="shared" si="19"/>
        <v>87.280562719745902</v>
      </c>
      <c r="AA56" s="38">
        <f t="shared" si="20"/>
        <v>87.280562719745902</v>
      </c>
      <c r="AB56" s="38">
        <f t="shared" si="21"/>
        <v>87.280562719745902</v>
      </c>
      <c r="AC56" s="38">
        <f t="shared" si="22"/>
        <v>87.280562719745902</v>
      </c>
      <c r="AD56" s="38">
        <f t="shared" si="23"/>
        <v>87.280562719745902</v>
      </c>
      <c r="AE56" s="38">
        <f t="shared" si="24"/>
        <v>87.280562719745902</v>
      </c>
      <c r="AF56" s="38">
        <f t="shared" si="25"/>
        <v>87.280562719745902</v>
      </c>
      <c r="AG56" s="38">
        <f t="shared" si="26"/>
        <v>87.280562719745902</v>
      </c>
    </row>
    <row r="57" spans="1:33" ht="13" customHeight="1" x14ac:dyDescent="0.25">
      <c r="A57" s="40" t="s">
        <v>39</v>
      </c>
      <c r="B57" s="40">
        <v>17.8</v>
      </c>
      <c r="C57" s="44">
        <f t="shared" si="13"/>
        <v>0.4</v>
      </c>
      <c r="D57" s="44">
        <v>0.6</v>
      </c>
      <c r="E57" s="44">
        <v>0.01</v>
      </c>
      <c r="F57" s="94">
        <v>29.1358122</v>
      </c>
      <c r="G57" s="23">
        <v>2.4300000000000002</v>
      </c>
      <c r="H57" s="35">
        <v>9.2499999999999999E-2</v>
      </c>
      <c r="I57" s="45">
        <v>7.0000000000000007E-2</v>
      </c>
      <c r="J57" s="38">
        <f t="shared" si="28"/>
        <v>180.04933008839643</v>
      </c>
      <c r="K57" s="38">
        <f t="shared" si="28"/>
        <v>173.24530628571478</v>
      </c>
      <c r="L57" s="38">
        <f t="shared" si="28"/>
        <v>162.69958918010434</v>
      </c>
      <c r="M57" s="38">
        <f t="shared" si="28"/>
        <v>182.32071969314484</v>
      </c>
      <c r="N57" s="38">
        <f t="shared" si="28"/>
        <v>55.851892632838528</v>
      </c>
      <c r="O57" s="38">
        <f t="shared" si="28"/>
        <v>55.851892632838528</v>
      </c>
      <c r="P57" s="38">
        <f t="shared" si="28"/>
        <v>55.851892632838528</v>
      </c>
      <c r="Q57" s="38">
        <f t="shared" si="28"/>
        <v>55.851892632838528</v>
      </c>
      <c r="R57" s="38">
        <f t="shared" si="28"/>
        <v>55.851892632838528</v>
      </c>
      <c r="S57" s="38">
        <f t="shared" si="28"/>
        <v>55.851892632838528</v>
      </c>
      <c r="T57" s="38">
        <f t="shared" si="28"/>
        <v>55.851892632838528</v>
      </c>
      <c r="U57" s="38">
        <f t="shared" si="28"/>
        <v>55.851892632838528</v>
      </c>
      <c r="V57" s="38">
        <f t="shared" si="15"/>
        <v>213.33490931413425</v>
      </c>
      <c r="W57" s="38">
        <f t="shared" si="16"/>
        <v>205.27303093778227</v>
      </c>
      <c r="X57" s="38">
        <f t="shared" si="17"/>
        <v>192.77773533588598</v>
      </c>
      <c r="Y57" s="38">
        <f t="shared" si="18"/>
        <v>216.02620894356451</v>
      </c>
      <c r="Z57" s="38">
        <f t="shared" si="19"/>
        <v>66.177188462737092</v>
      </c>
      <c r="AA57" s="38">
        <f t="shared" si="20"/>
        <v>66.177188462737092</v>
      </c>
      <c r="AB57" s="38">
        <f t="shared" si="21"/>
        <v>66.177188462737092</v>
      </c>
      <c r="AC57" s="38">
        <f t="shared" si="22"/>
        <v>66.177188462737092</v>
      </c>
      <c r="AD57" s="38">
        <f t="shared" si="23"/>
        <v>66.177188462737092</v>
      </c>
      <c r="AE57" s="38">
        <f t="shared" si="24"/>
        <v>66.177188462737092</v>
      </c>
      <c r="AF57" s="38">
        <f t="shared" si="25"/>
        <v>66.177188462737092</v>
      </c>
      <c r="AG57" s="38">
        <f t="shared" si="26"/>
        <v>66.177188462737092</v>
      </c>
    </row>
    <row r="58" spans="1:33" ht="13" customHeight="1" x14ac:dyDescent="0.25">
      <c r="A58" s="40" t="s">
        <v>39</v>
      </c>
      <c r="B58" s="40">
        <v>17.8</v>
      </c>
      <c r="C58" s="44">
        <f t="shared" si="13"/>
        <v>0.4</v>
      </c>
      <c r="D58" s="44">
        <v>0.6</v>
      </c>
      <c r="E58" s="44">
        <v>0.01</v>
      </c>
      <c r="F58" s="94">
        <v>29.1358122</v>
      </c>
      <c r="G58" s="23">
        <v>2.4300000000000002</v>
      </c>
      <c r="H58" s="35">
        <v>9.2499999999999999E-2</v>
      </c>
      <c r="I58" s="45">
        <v>7.0000000000000007E-2</v>
      </c>
      <c r="J58" s="38">
        <f t="shared" si="28"/>
        <v>180.04933008839643</v>
      </c>
      <c r="K58" s="38">
        <f t="shared" si="28"/>
        <v>173.24530628571478</v>
      </c>
      <c r="L58" s="38">
        <f t="shared" si="28"/>
        <v>162.69958918010434</v>
      </c>
      <c r="M58" s="38">
        <f t="shared" si="28"/>
        <v>182.32071969314484</v>
      </c>
      <c r="N58" s="38">
        <f t="shared" si="28"/>
        <v>55.851892632838528</v>
      </c>
      <c r="O58" s="38">
        <f t="shared" si="28"/>
        <v>55.851892632838528</v>
      </c>
      <c r="P58" s="38">
        <f t="shared" si="28"/>
        <v>55.851892632838528</v>
      </c>
      <c r="Q58" s="38">
        <f t="shared" si="28"/>
        <v>55.851892632838528</v>
      </c>
      <c r="R58" s="38">
        <f t="shared" si="28"/>
        <v>55.851892632838528</v>
      </c>
      <c r="S58" s="38">
        <f t="shared" si="28"/>
        <v>55.851892632838528</v>
      </c>
      <c r="T58" s="38">
        <f t="shared" si="28"/>
        <v>55.851892632838528</v>
      </c>
      <c r="U58" s="38">
        <f t="shared" si="28"/>
        <v>55.851892632838528</v>
      </c>
      <c r="V58" s="38">
        <f t="shared" si="15"/>
        <v>213.33490931413425</v>
      </c>
      <c r="W58" s="38">
        <f t="shared" si="16"/>
        <v>205.27303093778227</v>
      </c>
      <c r="X58" s="38">
        <f t="shared" si="17"/>
        <v>192.77773533588598</v>
      </c>
      <c r="Y58" s="38">
        <f t="shared" si="18"/>
        <v>216.02620894356451</v>
      </c>
      <c r="Z58" s="38">
        <f t="shared" si="19"/>
        <v>66.177188462737092</v>
      </c>
      <c r="AA58" s="38">
        <f t="shared" si="20"/>
        <v>66.177188462737092</v>
      </c>
      <c r="AB58" s="38">
        <f t="shared" si="21"/>
        <v>66.177188462737092</v>
      </c>
      <c r="AC58" s="38">
        <f t="shared" si="22"/>
        <v>66.177188462737092</v>
      </c>
      <c r="AD58" s="38">
        <f t="shared" si="23"/>
        <v>66.177188462737092</v>
      </c>
      <c r="AE58" s="38">
        <f t="shared" si="24"/>
        <v>66.177188462737092</v>
      </c>
      <c r="AF58" s="38">
        <f t="shared" si="25"/>
        <v>66.177188462737092</v>
      </c>
      <c r="AG58" s="38">
        <f t="shared" si="26"/>
        <v>66.177188462737092</v>
      </c>
    </row>
    <row r="59" spans="1:33" ht="13" customHeight="1" x14ac:dyDescent="0.25">
      <c r="A59" s="40" t="s">
        <v>39</v>
      </c>
      <c r="B59" s="40">
        <v>17.8</v>
      </c>
      <c r="C59" s="44">
        <f t="shared" si="13"/>
        <v>0.6</v>
      </c>
      <c r="D59" s="44">
        <v>0.4</v>
      </c>
      <c r="E59" s="44">
        <v>0.01</v>
      </c>
      <c r="F59" s="94">
        <v>29.1358122</v>
      </c>
      <c r="G59" s="23">
        <v>2.4300000000000002</v>
      </c>
      <c r="H59" s="35">
        <v>9.2499999999999999E-2</v>
      </c>
      <c r="I59" s="45">
        <v>7.0000000000000007E-2</v>
      </c>
      <c r="J59" s="38">
        <f t="shared" si="28"/>
        <v>173.72704832877986</v>
      </c>
      <c r="K59" s="38">
        <f t="shared" si="28"/>
        <v>168.81062159815022</v>
      </c>
      <c r="L59" s="38">
        <f t="shared" si="28"/>
        <v>160.88352357794889</v>
      </c>
      <c r="M59" s="38">
        <f t="shared" si="28"/>
        <v>186.4877743401554</v>
      </c>
      <c r="N59" s="38">
        <f t="shared" si="28"/>
        <v>46.946532488559015</v>
      </c>
      <c r="O59" s="38">
        <f t="shared" si="28"/>
        <v>46.946532488559015</v>
      </c>
      <c r="P59" s="38">
        <f t="shared" si="28"/>
        <v>46.946532488559015</v>
      </c>
      <c r="Q59" s="38">
        <f t="shared" si="28"/>
        <v>46.946532488559015</v>
      </c>
      <c r="R59" s="38">
        <f t="shared" si="28"/>
        <v>46.946532488559015</v>
      </c>
      <c r="S59" s="38">
        <f t="shared" si="28"/>
        <v>46.946532488559015</v>
      </c>
      <c r="T59" s="38">
        <f t="shared" si="28"/>
        <v>46.946532488559015</v>
      </c>
      <c r="U59" s="38">
        <f t="shared" si="28"/>
        <v>46.946532488559015</v>
      </c>
      <c r="V59" s="38">
        <f t="shared" si="15"/>
        <v>205.84383225661881</v>
      </c>
      <c r="W59" s="38">
        <f t="shared" si="16"/>
        <v>200.01850955081636</v>
      </c>
      <c r="X59" s="38">
        <f t="shared" si="17"/>
        <v>190.62593510228254</v>
      </c>
      <c r="Y59" s="38">
        <f t="shared" si="18"/>
        <v>220.96362373311464</v>
      </c>
      <c r="Z59" s="38">
        <f t="shared" si="19"/>
        <v>55.625501334232673</v>
      </c>
      <c r="AA59" s="38">
        <f t="shared" si="20"/>
        <v>55.625501334232673</v>
      </c>
      <c r="AB59" s="38">
        <f t="shared" si="21"/>
        <v>55.625501334232673</v>
      </c>
      <c r="AC59" s="38">
        <f t="shared" si="22"/>
        <v>55.625501334232673</v>
      </c>
      <c r="AD59" s="38">
        <f t="shared" si="23"/>
        <v>55.625501334232673</v>
      </c>
      <c r="AE59" s="38">
        <f t="shared" si="24"/>
        <v>55.625501334232673</v>
      </c>
      <c r="AF59" s="38">
        <f t="shared" si="25"/>
        <v>55.625501334232673</v>
      </c>
      <c r="AG59" s="38">
        <f t="shared" si="26"/>
        <v>55.625501334232673</v>
      </c>
    </row>
    <row r="60" spans="1:33" ht="13" customHeight="1" x14ac:dyDescent="0.25">
      <c r="A60" s="40" t="s">
        <v>39</v>
      </c>
      <c r="B60" s="40">
        <v>17.8</v>
      </c>
      <c r="C60" s="44">
        <f t="shared" si="13"/>
        <v>0.6</v>
      </c>
      <c r="D60" s="44">
        <v>0.4</v>
      </c>
      <c r="E60" s="44">
        <v>0.01</v>
      </c>
      <c r="F60" s="94">
        <v>29.1358122</v>
      </c>
      <c r="G60" s="23">
        <v>2.4300000000000002</v>
      </c>
      <c r="H60" s="35">
        <v>9.2499999999999999E-2</v>
      </c>
      <c r="I60" s="45">
        <v>7.0000000000000007E-2</v>
      </c>
      <c r="J60" s="38">
        <f t="shared" si="28"/>
        <v>173.72704832877986</v>
      </c>
      <c r="K60" s="38">
        <f t="shared" si="28"/>
        <v>168.81062159815022</v>
      </c>
      <c r="L60" s="38">
        <f t="shared" si="28"/>
        <v>160.88352357794889</v>
      </c>
      <c r="M60" s="38">
        <f t="shared" si="28"/>
        <v>186.4877743401554</v>
      </c>
      <c r="N60" s="38">
        <f t="shared" si="28"/>
        <v>46.946532488559015</v>
      </c>
      <c r="O60" s="38">
        <f t="shared" si="28"/>
        <v>46.946532488559015</v>
      </c>
      <c r="P60" s="38">
        <f t="shared" si="28"/>
        <v>46.946532488559015</v>
      </c>
      <c r="Q60" s="38">
        <f t="shared" si="28"/>
        <v>46.946532488559015</v>
      </c>
      <c r="R60" s="38">
        <f t="shared" si="28"/>
        <v>46.946532488559015</v>
      </c>
      <c r="S60" s="38">
        <f t="shared" si="28"/>
        <v>46.946532488559015</v>
      </c>
      <c r="T60" s="38">
        <f t="shared" si="28"/>
        <v>46.946532488559015</v>
      </c>
      <c r="U60" s="38">
        <f t="shared" si="28"/>
        <v>46.946532488559015</v>
      </c>
      <c r="V60" s="38">
        <f t="shared" si="15"/>
        <v>205.84383225661881</v>
      </c>
      <c r="W60" s="38">
        <f t="shared" si="16"/>
        <v>200.01850955081636</v>
      </c>
      <c r="X60" s="38">
        <f t="shared" si="17"/>
        <v>190.62593510228254</v>
      </c>
      <c r="Y60" s="38">
        <f t="shared" si="18"/>
        <v>220.96362373311464</v>
      </c>
      <c r="Z60" s="38">
        <f t="shared" si="19"/>
        <v>55.625501334232673</v>
      </c>
      <c r="AA60" s="38">
        <f t="shared" si="20"/>
        <v>55.625501334232673</v>
      </c>
      <c r="AB60" s="38">
        <f t="shared" si="21"/>
        <v>55.625501334232673</v>
      </c>
      <c r="AC60" s="38">
        <f t="shared" si="22"/>
        <v>55.625501334232673</v>
      </c>
      <c r="AD60" s="38">
        <f t="shared" si="23"/>
        <v>55.625501334232673</v>
      </c>
      <c r="AE60" s="38">
        <f t="shared" si="24"/>
        <v>55.625501334232673</v>
      </c>
      <c r="AF60" s="38">
        <f t="shared" si="25"/>
        <v>55.625501334232673</v>
      </c>
      <c r="AG60" s="38">
        <f t="shared" si="26"/>
        <v>55.625501334232673</v>
      </c>
    </row>
    <row r="61" spans="1:33" ht="13" customHeight="1" x14ac:dyDescent="0.25">
      <c r="A61" s="40" t="s">
        <v>39</v>
      </c>
      <c r="B61" s="40">
        <v>17.8</v>
      </c>
      <c r="C61" s="44">
        <f t="shared" si="13"/>
        <v>1</v>
      </c>
      <c r="D61" s="44">
        <v>0</v>
      </c>
      <c r="E61" s="44">
        <v>0.01</v>
      </c>
      <c r="F61" s="94">
        <v>29.1358122</v>
      </c>
      <c r="G61" s="23">
        <v>2.4300000000000002</v>
      </c>
      <c r="H61" s="35">
        <v>9.2499999999999999E-2</v>
      </c>
      <c r="I61" s="45">
        <v>7.0000000000000007E-2</v>
      </c>
      <c r="J61" s="38">
        <f t="shared" ref="J61:U70" si="29">(((((J$22*$C61)+(J$23*$D61))*(1+$E61))*($B61/1000))+$F61+($G61*J$5))*(1+J$27)</f>
        <v>161.08248480954666</v>
      </c>
      <c r="K61" s="38">
        <f t="shared" si="29"/>
        <v>159.94125222302111</v>
      </c>
      <c r="L61" s="38">
        <f t="shared" si="29"/>
        <v>157.25139237363794</v>
      </c>
      <c r="M61" s="38">
        <f t="shared" si="29"/>
        <v>194.82188363417652</v>
      </c>
      <c r="N61" s="38">
        <f t="shared" si="29"/>
        <v>29.1358122</v>
      </c>
      <c r="O61" s="38">
        <f t="shared" si="29"/>
        <v>29.1358122</v>
      </c>
      <c r="P61" s="38">
        <f t="shared" si="29"/>
        <v>29.1358122</v>
      </c>
      <c r="Q61" s="38">
        <f t="shared" si="29"/>
        <v>29.1358122</v>
      </c>
      <c r="R61" s="38">
        <f t="shared" si="29"/>
        <v>29.1358122</v>
      </c>
      <c r="S61" s="38">
        <f t="shared" si="29"/>
        <v>29.1358122</v>
      </c>
      <c r="T61" s="38">
        <f t="shared" si="29"/>
        <v>29.1358122</v>
      </c>
      <c r="U61" s="38">
        <f t="shared" si="29"/>
        <v>29.1358122</v>
      </c>
      <c r="V61" s="38">
        <f t="shared" si="15"/>
        <v>190.86167814158793</v>
      </c>
      <c r="W61" s="38">
        <f t="shared" si="16"/>
        <v>189.50946677688452</v>
      </c>
      <c r="X61" s="38">
        <f t="shared" si="17"/>
        <v>186.32233463507563</v>
      </c>
      <c r="Y61" s="38">
        <f t="shared" si="18"/>
        <v>230.83845331221485</v>
      </c>
      <c r="Z61" s="38">
        <f t="shared" si="19"/>
        <v>34.52212707722385</v>
      </c>
      <c r="AA61" s="38">
        <f t="shared" si="20"/>
        <v>34.52212707722385</v>
      </c>
      <c r="AB61" s="38">
        <f t="shared" si="21"/>
        <v>34.52212707722385</v>
      </c>
      <c r="AC61" s="38">
        <f t="shared" si="22"/>
        <v>34.52212707722385</v>
      </c>
      <c r="AD61" s="38">
        <f t="shared" si="23"/>
        <v>34.52212707722385</v>
      </c>
      <c r="AE61" s="38">
        <f t="shared" si="24"/>
        <v>34.52212707722385</v>
      </c>
      <c r="AF61" s="38">
        <f t="shared" si="25"/>
        <v>34.52212707722385</v>
      </c>
      <c r="AG61" s="38">
        <f t="shared" si="26"/>
        <v>34.52212707722385</v>
      </c>
    </row>
    <row r="62" spans="1:33" ht="13" customHeight="1" x14ac:dyDescent="0.25">
      <c r="A62" s="40" t="s">
        <v>39</v>
      </c>
      <c r="B62" s="40">
        <v>17.8</v>
      </c>
      <c r="C62" s="44">
        <f t="shared" si="13"/>
        <v>1</v>
      </c>
      <c r="D62" s="44">
        <v>0</v>
      </c>
      <c r="E62" s="44">
        <v>0.01</v>
      </c>
      <c r="F62" s="94">
        <v>29.1358122</v>
      </c>
      <c r="G62" s="23">
        <v>2.4300000000000002</v>
      </c>
      <c r="H62" s="35">
        <v>9.2499999999999999E-2</v>
      </c>
      <c r="I62" s="45">
        <v>7.0000000000000007E-2</v>
      </c>
      <c r="J62" s="38">
        <f t="shared" si="29"/>
        <v>161.08248480954666</v>
      </c>
      <c r="K62" s="38">
        <f t="shared" si="29"/>
        <v>159.94125222302111</v>
      </c>
      <c r="L62" s="38">
        <f t="shared" si="29"/>
        <v>157.25139237363794</v>
      </c>
      <c r="M62" s="38">
        <f t="shared" si="29"/>
        <v>194.82188363417652</v>
      </c>
      <c r="N62" s="38">
        <f t="shared" si="29"/>
        <v>29.1358122</v>
      </c>
      <c r="O62" s="38">
        <f t="shared" si="29"/>
        <v>29.1358122</v>
      </c>
      <c r="P62" s="38">
        <f t="shared" si="29"/>
        <v>29.1358122</v>
      </c>
      <c r="Q62" s="38">
        <f t="shared" si="29"/>
        <v>29.1358122</v>
      </c>
      <c r="R62" s="38">
        <f t="shared" si="29"/>
        <v>29.1358122</v>
      </c>
      <c r="S62" s="38">
        <f t="shared" si="29"/>
        <v>29.1358122</v>
      </c>
      <c r="T62" s="38">
        <f t="shared" si="29"/>
        <v>29.1358122</v>
      </c>
      <c r="U62" s="38">
        <f t="shared" si="29"/>
        <v>29.1358122</v>
      </c>
      <c r="V62" s="38">
        <f t="shared" si="15"/>
        <v>190.86167814158793</v>
      </c>
      <c r="W62" s="38">
        <f t="shared" si="16"/>
        <v>189.50946677688452</v>
      </c>
      <c r="X62" s="38">
        <f t="shared" si="17"/>
        <v>186.32233463507563</v>
      </c>
      <c r="Y62" s="38">
        <f t="shared" si="18"/>
        <v>230.83845331221485</v>
      </c>
      <c r="Z62" s="38">
        <f t="shared" si="19"/>
        <v>34.52212707722385</v>
      </c>
      <c r="AA62" s="38">
        <f t="shared" si="20"/>
        <v>34.52212707722385</v>
      </c>
      <c r="AB62" s="38">
        <f t="shared" si="21"/>
        <v>34.52212707722385</v>
      </c>
      <c r="AC62" s="38">
        <f t="shared" si="22"/>
        <v>34.52212707722385</v>
      </c>
      <c r="AD62" s="38">
        <f t="shared" si="23"/>
        <v>34.52212707722385</v>
      </c>
      <c r="AE62" s="38">
        <f t="shared" si="24"/>
        <v>34.52212707722385</v>
      </c>
      <c r="AF62" s="38">
        <f t="shared" si="25"/>
        <v>34.52212707722385</v>
      </c>
      <c r="AG62" s="38">
        <f t="shared" si="26"/>
        <v>34.52212707722385</v>
      </c>
    </row>
    <row r="63" spans="1:33" ht="13" customHeight="1" x14ac:dyDescent="0.25">
      <c r="A63" s="40" t="s">
        <v>39</v>
      </c>
      <c r="B63" s="40">
        <v>38</v>
      </c>
      <c r="C63" s="44">
        <f t="shared" ref="C63:C94" si="30">100%-D63</f>
        <v>0</v>
      </c>
      <c r="D63" s="44">
        <v>1</v>
      </c>
      <c r="E63" s="44">
        <v>0.01</v>
      </c>
      <c r="F63" s="38">
        <v>47.956524571999999</v>
      </c>
      <c r="G63" s="40">
        <v>0</v>
      </c>
      <c r="H63" s="35">
        <v>9.2499999999999999E-2</v>
      </c>
      <c r="I63" s="45">
        <v>0.18</v>
      </c>
      <c r="J63" s="38">
        <f t="shared" si="29"/>
        <v>368.73040965848196</v>
      </c>
      <c r="K63" s="38">
        <f t="shared" si="29"/>
        <v>346.74415251562482</v>
      </c>
      <c r="L63" s="38">
        <f t="shared" si="29"/>
        <v>313.76476680133908</v>
      </c>
      <c r="M63" s="38">
        <f t="shared" si="29"/>
        <v>329.97993392310497</v>
      </c>
      <c r="N63" s="38">
        <f t="shared" si="29"/>
        <v>143.01373959520822</v>
      </c>
      <c r="O63" s="38">
        <f t="shared" si="29"/>
        <v>143.01373959520822</v>
      </c>
      <c r="P63" s="38">
        <f t="shared" si="29"/>
        <v>143.01373959520822</v>
      </c>
      <c r="Q63" s="38">
        <f t="shared" si="29"/>
        <v>143.01373959520822</v>
      </c>
      <c r="R63" s="38">
        <f t="shared" si="29"/>
        <v>143.01373959520822</v>
      </c>
      <c r="S63" s="38">
        <f t="shared" si="29"/>
        <v>143.01373959520822</v>
      </c>
      <c r="T63" s="38">
        <f t="shared" si="29"/>
        <v>143.01373959520822</v>
      </c>
      <c r="U63" s="38">
        <f t="shared" si="29"/>
        <v>143.01373959520822</v>
      </c>
      <c r="V63" s="38">
        <f t="shared" ref="V63:V94" si="31">(J63/(1-$H63))/(1-$I63)</f>
        <v>495.50548902570984</v>
      </c>
      <c r="W63" s="38">
        <f t="shared" ref="W63:W94" si="32">(K63/(1-$H63))/(1-$I63)</f>
        <v>465.96002488157609</v>
      </c>
      <c r="X63" s="38">
        <f t="shared" ref="X63:X94" si="33">(L63/(1-$H63))/(1-$I63)</f>
        <v>421.64182866537533</v>
      </c>
      <c r="Y63" s="38">
        <f t="shared" ref="Y63:Y94" si="34">(M63/(1-$H63))/(1-$I63)</f>
        <v>443.43201494739628</v>
      </c>
      <c r="Z63" s="38">
        <f t="shared" ref="Z63:Z94" si="35">(N63/(1-$H63))/(1-$I63)</f>
        <v>192.18402149460218</v>
      </c>
      <c r="AA63" s="38">
        <f t="shared" ref="AA63:AA94" si="36">(O63/(1-$H63))/(1-$I63)</f>
        <v>192.18402149460218</v>
      </c>
      <c r="AB63" s="38">
        <f t="shared" ref="AB63:AB94" si="37">(P63/(1-$H63))/(1-$I63)</f>
        <v>192.18402149460218</v>
      </c>
      <c r="AC63" s="38">
        <f t="shared" ref="AC63:AC94" si="38">(Q63/(1-$H63))/(1-$I63)</f>
        <v>192.18402149460218</v>
      </c>
      <c r="AD63" s="38">
        <f t="shared" ref="AD63:AD94" si="39">(R63/(1-$H63))/(1-$I63)</f>
        <v>192.18402149460218</v>
      </c>
      <c r="AE63" s="38">
        <f t="shared" ref="AE63:AE94" si="40">(S63/(1-$H63))/(1-$I63)</f>
        <v>192.18402149460218</v>
      </c>
      <c r="AF63" s="38">
        <f t="shared" ref="AF63:AF94" si="41">(T63/(1-$H63))/(1-$I63)</f>
        <v>192.18402149460218</v>
      </c>
      <c r="AG63" s="38">
        <f t="shared" ref="AG63:AG94" si="42">(U63/(1-$H63))/(1-$I63)</f>
        <v>192.18402149460218</v>
      </c>
    </row>
    <row r="64" spans="1:33" ht="13" customHeight="1" x14ac:dyDescent="0.25">
      <c r="A64" s="40" t="s">
        <v>39</v>
      </c>
      <c r="B64" s="40">
        <v>38</v>
      </c>
      <c r="C64" s="44">
        <f t="shared" si="30"/>
        <v>0.4</v>
      </c>
      <c r="D64" s="44">
        <v>0.6</v>
      </c>
      <c r="E64" s="44">
        <v>0.01</v>
      </c>
      <c r="F64" s="38">
        <v>47.956524571999999</v>
      </c>
      <c r="G64" s="40">
        <v>0</v>
      </c>
      <c r="H64" s="35">
        <v>9.2499999999999999E-2</v>
      </c>
      <c r="I64" s="45">
        <v>0.18</v>
      </c>
      <c r="J64" s="38">
        <f t="shared" si="29"/>
        <v>341.73639765113018</v>
      </c>
      <c r="K64" s="38">
        <f t="shared" si="29"/>
        <v>327.80954373725928</v>
      </c>
      <c r="L64" s="38">
        <f t="shared" si="29"/>
        <v>306.01077883707973</v>
      </c>
      <c r="M64" s="38">
        <f t="shared" si="29"/>
        <v>347.77185264067828</v>
      </c>
      <c r="N64" s="38">
        <f t="shared" si="29"/>
        <v>104.99085358592494</v>
      </c>
      <c r="O64" s="38">
        <f t="shared" si="29"/>
        <v>104.99085358592494</v>
      </c>
      <c r="P64" s="38">
        <f t="shared" si="29"/>
        <v>104.99085358592494</v>
      </c>
      <c r="Q64" s="38">
        <f t="shared" si="29"/>
        <v>104.99085358592494</v>
      </c>
      <c r="R64" s="38">
        <f t="shared" si="29"/>
        <v>104.99085358592494</v>
      </c>
      <c r="S64" s="38">
        <f t="shared" si="29"/>
        <v>104.99085358592494</v>
      </c>
      <c r="T64" s="38">
        <f t="shared" si="29"/>
        <v>104.99085358592494</v>
      </c>
      <c r="U64" s="38">
        <f t="shared" si="29"/>
        <v>104.99085358592494</v>
      </c>
      <c r="V64" s="38">
        <f t="shared" si="31"/>
        <v>459.23052832242178</v>
      </c>
      <c r="W64" s="38">
        <f t="shared" si="32"/>
        <v>440.51541186220419</v>
      </c>
      <c r="X64" s="38">
        <f t="shared" si="33"/>
        <v>411.2219026232342</v>
      </c>
      <c r="Y64" s="38">
        <f t="shared" si="34"/>
        <v>467.34106381869009</v>
      </c>
      <c r="Z64" s="38">
        <f t="shared" si="35"/>
        <v>141.08829347030161</v>
      </c>
      <c r="AA64" s="38">
        <f t="shared" si="36"/>
        <v>141.08829347030161</v>
      </c>
      <c r="AB64" s="38">
        <f t="shared" si="37"/>
        <v>141.08829347030161</v>
      </c>
      <c r="AC64" s="38">
        <f t="shared" si="38"/>
        <v>141.08829347030161</v>
      </c>
      <c r="AD64" s="38">
        <f t="shared" si="39"/>
        <v>141.08829347030161</v>
      </c>
      <c r="AE64" s="38">
        <f t="shared" si="40"/>
        <v>141.08829347030161</v>
      </c>
      <c r="AF64" s="38">
        <f t="shared" si="41"/>
        <v>141.08829347030161</v>
      </c>
      <c r="AG64" s="38">
        <f t="shared" si="42"/>
        <v>141.08829347030161</v>
      </c>
    </row>
    <row r="65" spans="1:33" ht="13" customHeight="1" x14ac:dyDescent="0.25">
      <c r="A65" s="40" t="s">
        <v>39</v>
      </c>
      <c r="B65" s="40">
        <v>38</v>
      </c>
      <c r="C65" s="44">
        <f t="shared" si="30"/>
        <v>0.6</v>
      </c>
      <c r="D65" s="44">
        <v>0.4</v>
      </c>
      <c r="E65" s="44">
        <v>0.01</v>
      </c>
      <c r="F65" s="38">
        <v>47.956524571999999</v>
      </c>
      <c r="G65" s="40">
        <v>0</v>
      </c>
      <c r="H65" s="35">
        <v>9.2499999999999999E-2</v>
      </c>
      <c r="I65" s="45">
        <v>0.18</v>
      </c>
      <c r="J65" s="38">
        <f t="shared" si="29"/>
        <v>328.2393916474544</v>
      </c>
      <c r="K65" s="38">
        <f t="shared" si="29"/>
        <v>318.34223934807648</v>
      </c>
      <c r="L65" s="38">
        <f t="shared" si="29"/>
        <v>302.13378485495014</v>
      </c>
      <c r="M65" s="38">
        <f t="shared" si="29"/>
        <v>356.66781199946485</v>
      </c>
      <c r="N65" s="38">
        <f t="shared" si="29"/>
        <v>85.979410581283304</v>
      </c>
      <c r="O65" s="38">
        <f t="shared" si="29"/>
        <v>85.979410581283304</v>
      </c>
      <c r="P65" s="38">
        <f t="shared" si="29"/>
        <v>85.979410581283304</v>
      </c>
      <c r="Q65" s="38">
        <f t="shared" si="29"/>
        <v>85.979410581283304</v>
      </c>
      <c r="R65" s="38">
        <f t="shared" si="29"/>
        <v>85.979410581283304</v>
      </c>
      <c r="S65" s="38">
        <f t="shared" si="29"/>
        <v>85.979410581283304</v>
      </c>
      <c r="T65" s="38">
        <f t="shared" si="29"/>
        <v>85.979410581283304</v>
      </c>
      <c r="U65" s="38">
        <f t="shared" si="29"/>
        <v>85.979410581283304</v>
      </c>
      <c r="V65" s="38">
        <f t="shared" si="31"/>
        <v>441.09304797077789</v>
      </c>
      <c r="W65" s="38">
        <f t="shared" si="32"/>
        <v>427.7931053525183</v>
      </c>
      <c r="X65" s="38">
        <f t="shared" si="33"/>
        <v>406.01193960216375</v>
      </c>
      <c r="Y65" s="38">
        <f t="shared" si="34"/>
        <v>479.29558825433691</v>
      </c>
      <c r="Z65" s="38">
        <f t="shared" si="35"/>
        <v>115.54042945815132</v>
      </c>
      <c r="AA65" s="38">
        <f t="shared" si="36"/>
        <v>115.54042945815132</v>
      </c>
      <c r="AB65" s="38">
        <f t="shared" si="37"/>
        <v>115.54042945815132</v>
      </c>
      <c r="AC65" s="38">
        <f t="shared" si="38"/>
        <v>115.54042945815132</v>
      </c>
      <c r="AD65" s="38">
        <f t="shared" si="39"/>
        <v>115.54042945815132</v>
      </c>
      <c r="AE65" s="38">
        <f t="shared" si="40"/>
        <v>115.54042945815132</v>
      </c>
      <c r="AF65" s="38">
        <f t="shared" si="41"/>
        <v>115.54042945815132</v>
      </c>
      <c r="AG65" s="38">
        <f t="shared" si="42"/>
        <v>115.54042945815132</v>
      </c>
    </row>
    <row r="66" spans="1:33" ht="13" customHeight="1" x14ac:dyDescent="0.25">
      <c r="A66" s="40" t="s">
        <v>39</v>
      </c>
      <c r="B66" s="40">
        <v>38</v>
      </c>
      <c r="C66" s="44">
        <f t="shared" si="30"/>
        <v>1</v>
      </c>
      <c r="D66" s="44">
        <v>0</v>
      </c>
      <c r="E66" s="44">
        <v>0.01</v>
      </c>
      <c r="F66" s="38">
        <v>47.956524571999999</v>
      </c>
      <c r="G66" s="40">
        <v>0</v>
      </c>
      <c r="H66" s="35">
        <v>9.2499999999999999E-2</v>
      </c>
      <c r="I66" s="45">
        <v>0.18</v>
      </c>
      <c r="J66" s="38">
        <f t="shared" si="29"/>
        <v>301.24537964010267</v>
      </c>
      <c r="K66" s="38">
        <f t="shared" si="29"/>
        <v>299.40763056971099</v>
      </c>
      <c r="L66" s="38">
        <f t="shared" si="29"/>
        <v>294.37979689069073</v>
      </c>
      <c r="M66" s="38">
        <f t="shared" si="29"/>
        <v>374.45973071703804</v>
      </c>
      <c r="N66" s="38">
        <f t="shared" si="29"/>
        <v>47.956524571999999</v>
      </c>
      <c r="O66" s="38">
        <f t="shared" si="29"/>
        <v>47.956524571999999</v>
      </c>
      <c r="P66" s="38">
        <f t="shared" si="29"/>
        <v>47.956524571999999</v>
      </c>
      <c r="Q66" s="38">
        <f t="shared" si="29"/>
        <v>47.956524571999999</v>
      </c>
      <c r="R66" s="38">
        <f t="shared" si="29"/>
        <v>47.956524571999999</v>
      </c>
      <c r="S66" s="38">
        <f t="shared" si="29"/>
        <v>47.956524571999999</v>
      </c>
      <c r="T66" s="38">
        <f t="shared" si="29"/>
        <v>47.956524571999999</v>
      </c>
      <c r="U66" s="38">
        <f t="shared" si="29"/>
        <v>47.956524571999999</v>
      </c>
      <c r="V66" s="38">
        <f t="shared" si="31"/>
        <v>404.81808726748994</v>
      </c>
      <c r="W66" s="38">
        <f t="shared" si="32"/>
        <v>402.34849233314651</v>
      </c>
      <c r="X66" s="38">
        <f t="shared" si="33"/>
        <v>395.59201356002245</v>
      </c>
      <c r="Y66" s="38">
        <f t="shared" si="34"/>
        <v>503.2046371256306</v>
      </c>
      <c r="Z66" s="38">
        <f t="shared" si="35"/>
        <v>64.444701433850696</v>
      </c>
      <c r="AA66" s="38">
        <f t="shared" si="36"/>
        <v>64.444701433850696</v>
      </c>
      <c r="AB66" s="38">
        <f t="shared" si="37"/>
        <v>64.444701433850696</v>
      </c>
      <c r="AC66" s="38">
        <f t="shared" si="38"/>
        <v>64.444701433850696</v>
      </c>
      <c r="AD66" s="38">
        <f t="shared" si="39"/>
        <v>64.444701433850696</v>
      </c>
      <c r="AE66" s="38">
        <f t="shared" si="40"/>
        <v>64.444701433850696</v>
      </c>
      <c r="AF66" s="38">
        <f t="shared" si="41"/>
        <v>64.444701433850696</v>
      </c>
      <c r="AG66" s="38">
        <f t="shared" si="42"/>
        <v>64.444701433850696</v>
      </c>
    </row>
    <row r="67" spans="1:33" ht="13" customHeight="1" x14ac:dyDescent="0.25">
      <c r="A67" s="40" t="s">
        <v>39</v>
      </c>
      <c r="B67" s="40">
        <v>38</v>
      </c>
      <c r="C67" s="44">
        <f t="shared" si="30"/>
        <v>0</v>
      </c>
      <c r="D67" s="44">
        <v>1</v>
      </c>
      <c r="E67" s="44">
        <v>0.01</v>
      </c>
      <c r="F67" s="193">
        <v>47.956524571999999</v>
      </c>
      <c r="G67" s="40">
        <v>0</v>
      </c>
      <c r="H67" s="35">
        <v>9.2499999999999999E-2</v>
      </c>
      <c r="I67" s="45">
        <v>0.12</v>
      </c>
      <c r="J67" s="38">
        <f t="shared" si="29"/>
        <v>368.73040965848196</v>
      </c>
      <c r="K67" s="38">
        <f t="shared" si="29"/>
        <v>346.74415251562482</v>
      </c>
      <c r="L67" s="38">
        <f t="shared" si="29"/>
        <v>313.76476680133908</v>
      </c>
      <c r="M67" s="38">
        <f t="shared" si="29"/>
        <v>329.97993392310497</v>
      </c>
      <c r="N67" s="38">
        <f t="shared" si="29"/>
        <v>143.01373959520822</v>
      </c>
      <c r="O67" s="38">
        <f t="shared" si="29"/>
        <v>143.01373959520822</v>
      </c>
      <c r="P67" s="38">
        <f t="shared" si="29"/>
        <v>143.01373959520822</v>
      </c>
      <c r="Q67" s="38">
        <f t="shared" si="29"/>
        <v>143.01373959520822</v>
      </c>
      <c r="R67" s="38">
        <f t="shared" si="29"/>
        <v>143.01373959520822</v>
      </c>
      <c r="S67" s="38">
        <f t="shared" si="29"/>
        <v>143.01373959520822</v>
      </c>
      <c r="T67" s="38">
        <f t="shared" si="29"/>
        <v>143.01373959520822</v>
      </c>
      <c r="U67" s="38">
        <f t="shared" si="29"/>
        <v>143.01373959520822</v>
      </c>
      <c r="V67" s="38">
        <f t="shared" si="31"/>
        <v>461.72102386486597</v>
      </c>
      <c r="W67" s="38">
        <f t="shared" si="32"/>
        <v>434.19002318510502</v>
      </c>
      <c r="X67" s="38">
        <f t="shared" si="33"/>
        <v>392.89352216546342</v>
      </c>
      <c r="Y67" s="38">
        <f t="shared" si="34"/>
        <v>413.19801392825565</v>
      </c>
      <c r="Z67" s="38">
        <f t="shared" si="35"/>
        <v>179.08056548360659</v>
      </c>
      <c r="AA67" s="38">
        <f t="shared" si="36"/>
        <v>179.08056548360659</v>
      </c>
      <c r="AB67" s="38">
        <f t="shared" si="37"/>
        <v>179.08056548360659</v>
      </c>
      <c r="AC67" s="38">
        <f t="shared" si="38"/>
        <v>179.08056548360659</v>
      </c>
      <c r="AD67" s="38">
        <f t="shared" si="39"/>
        <v>179.08056548360659</v>
      </c>
      <c r="AE67" s="38">
        <f t="shared" si="40"/>
        <v>179.08056548360659</v>
      </c>
      <c r="AF67" s="38">
        <f t="shared" si="41"/>
        <v>179.08056548360659</v>
      </c>
      <c r="AG67" s="38">
        <f t="shared" si="42"/>
        <v>179.08056548360659</v>
      </c>
    </row>
    <row r="68" spans="1:33" ht="13" customHeight="1" x14ac:dyDescent="0.25">
      <c r="A68" s="40" t="s">
        <v>39</v>
      </c>
      <c r="B68" s="40">
        <v>38</v>
      </c>
      <c r="C68" s="44">
        <f t="shared" si="30"/>
        <v>0.4</v>
      </c>
      <c r="D68" s="44">
        <v>0.6</v>
      </c>
      <c r="E68" s="44">
        <v>0.01</v>
      </c>
      <c r="F68" s="193">
        <v>47.956524571999999</v>
      </c>
      <c r="G68" s="40">
        <v>0</v>
      </c>
      <c r="H68" s="35">
        <v>9.2499999999999999E-2</v>
      </c>
      <c r="I68" s="45">
        <v>0.12</v>
      </c>
      <c r="J68" s="38">
        <f t="shared" si="29"/>
        <v>341.73639765113018</v>
      </c>
      <c r="K68" s="38">
        <f t="shared" si="29"/>
        <v>327.80954373725928</v>
      </c>
      <c r="L68" s="38">
        <f t="shared" si="29"/>
        <v>306.01077883707973</v>
      </c>
      <c r="M68" s="38">
        <f t="shared" si="29"/>
        <v>347.77185264067828</v>
      </c>
      <c r="N68" s="38">
        <f t="shared" si="29"/>
        <v>104.99085358592494</v>
      </c>
      <c r="O68" s="38">
        <f t="shared" si="29"/>
        <v>104.99085358592494</v>
      </c>
      <c r="P68" s="38">
        <f t="shared" si="29"/>
        <v>104.99085358592494</v>
      </c>
      <c r="Q68" s="38">
        <f t="shared" si="29"/>
        <v>104.99085358592494</v>
      </c>
      <c r="R68" s="38">
        <f t="shared" si="29"/>
        <v>104.99085358592494</v>
      </c>
      <c r="S68" s="38">
        <f t="shared" si="29"/>
        <v>104.99085358592494</v>
      </c>
      <c r="T68" s="38">
        <f t="shared" si="29"/>
        <v>104.99085358592494</v>
      </c>
      <c r="U68" s="38">
        <f t="shared" si="29"/>
        <v>104.99085358592494</v>
      </c>
      <c r="V68" s="38">
        <f t="shared" si="31"/>
        <v>427.91935593680211</v>
      </c>
      <c r="W68" s="38">
        <f t="shared" si="32"/>
        <v>410.48027014432665</v>
      </c>
      <c r="X68" s="38">
        <f t="shared" si="33"/>
        <v>383.18404562619548</v>
      </c>
      <c r="Y68" s="38">
        <f t="shared" si="34"/>
        <v>435.47690037650671</v>
      </c>
      <c r="Z68" s="38">
        <f t="shared" si="35"/>
        <v>131.46863709732651</v>
      </c>
      <c r="AA68" s="38">
        <f t="shared" si="36"/>
        <v>131.46863709732651</v>
      </c>
      <c r="AB68" s="38">
        <f t="shared" si="37"/>
        <v>131.46863709732651</v>
      </c>
      <c r="AC68" s="38">
        <f t="shared" si="38"/>
        <v>131.46863709732651</v>
      </c>
      <c r="AD68" s="38">
        <f t="shared" si="39"/>
        <v>131.46863709732651</v>
      </c>
      <c r="AE68" s="38">
        <f t="shared" si="40"/>
        <v>131.46863709732651</v>
      </c>
      <c r="AF68" s="38">
        <f t="shared" si="41"/>
        <v>131.46863709732651</v>
      </c>
      <c r="AG68" s="38">
        <f t="shared" si="42"/>
        <v>131.46863709732651</v>
      </c>
    </row>
    <row r="69" spans="1:33" ht="13" customHeight="1" x14ac:dyDescent="0.25">
      <c r="A69" s="40" t="s">
        <v>39</v>
      </c>
      <c r="B69" s="40">
        <v>38</v>
      </c>
      <c r="C69" s="44">
        <f t="shared" si="30"/>
        <v>0.6</v>
      </c>
      <c r="D69" s="44">
        <v>0.4</v>
      </c>
      <c r="E69" s="44">
        <v>0.01</v>
      </c>
      <c r="F69" s="193">
        <v>47.956524571999999</v>
      </c>
      <c r="G69" s="40">
        <v>0</v>
      </c>
      <c r="H69" s="35">
        <v>9.2499999999999999E-2</v>
      </c>
      <c r="I69" s="45">
        <v>0.12</v>
      </c>
      <c r="J69" s="38">
        <f t="shared" si="29"/>
        <v>328.2393916474544</v>
      </c>
      <c r="K69" s="38">
        <f t="shared" si="29"/>
        <v>318.34223934807648</v>
      </c>
      <c r="L69" s="38">
        <f t="shared" si="29"/>
        <v>302.13378485495014</v>
      </c>
      <c r="M69" s="38">
        <f t="shared" si="29"/>
        <v>356.66781199946485</v>
      </c>
      <c r="N69" s="38">
        <f t="shared" si="29"/>
        <v>85.979410581283304</v>
      </c>
      <c r="O69" s="38">
        <f t="shared" si="29"/>
        <v>85.979410581283304</v>
      </c>
      <c r="P69" s="38">
        <f t="shared" si="29"/>
        <v>85.979410581283304</v>
      </c>
      <c r="Q69" s="38">
        <f t="shared" si="29"/>
        <v>85.979410581283304</v>
      </c>
      <c r="R69" s="38">
        <f t="shared" si="29"/>
        <v>85.979410581283304</v>
      </c>
      <c r="S69" s="38">
        <f t="shared" si="29"/>
        <v>85.979410581283304</v>
      </c>
      <c r="T69" s="38">
        <f t="shared" si="29"/>
        <v>85.979410581283304</v>
      </c>
      <c r="U69" s="38">
        <f t="shared" si="29"/>
        <v>85.979410581283304</v>
      </c>
      <c r="V69" s="38">
        <f t="shared" si="31"/>
        <v>411.01852197277032</v>
      </c>
      <c r="W69" s="38">
        <f t="shared" si="32"/>
        <v>398.6253936239375</v>
      </c>
      <c r="X69" s="38">
        <f t="shared" si="33"/>
        <v>378.32930735656169</v>
      </c>
      <c r="Y69" s="38">
        <f t="shared" si="34"/>
        <v>446.61634360063215</v>
      </c>
      <c r="Z69" s="38">
        <f t="shared" si="35"/>
        <v>107.66267290418646</v>
      </c>
      <c r="AA69" s="38">
        <f t="shared" si="36"/>
        <v>107.66267290418646</v>
      </c>
      <c r="AB69" s="38">
        <f t="shared" si="37"/>
        <v>107.66267290418646</v>
      </c>
      <c r="AC69" s="38">
        <f t="shared" si="38"/>
        <v>107.66267290418646</v>
      </c>
      <c r="AD69" s="38">
        <f t="shared" si="39"/>
        <v>107.66267290418646</v>
      </c>
      <c r="AE69" s="38">
        <f t="shared" si="40"/>
        <v>107.66267290418646</v>
      </c>
      <c r="AF69" s="38">
        <f t="shared" si="41"/>
        <v>107.66267290418646</v>
      </c>
      <c r="AG69" s="38">
        <f t="shared" si="42"/>
        <v>107.66267290418646</v>
      </c>
    </row>
    <row r="70" spans="1:33" ht="13" customHeight="1" x14ac:dyDescent="0.25">
      <c r="A70" s="40" t="s">
        <v>39</v>
      </c>
      <c r="B70" s="40">
        <v>38</v>
      </c>
      <c r="C70" s="44">
        <f t="shared" si="30"/>
        <v>1</v>
      </c>
      <c r="D70" s="44">
        <v>0</v>
      </c>
      <c r="E70" s="44">
        <v>0.01</v>
      </c>
      <c r="F70" s="193">
        <v>47.956524571999999</v>
      </c>
      <c r="G70" s="40">
        <v>0</v>
      </c>
      <c r="H70" s="35">
        <v>9.2499999999999999E-2</v>
      </c>
      <c r="I70" s="45">
        <v>0.12</v>
      </c>
      <c r="J70" s="38">
        <f t="shared" si="29"/>
        <v>301.24537964010267</v>
      </c>
      <c r="K70" s="38">
        <f t="shared" si="29"/>
        <v>299.40763056971099</v>
      </c>
      <c r="L70" s="38">
        <f t="shared" si="29"/>
        <v>294.37979689069073</v>
      </c>
      <c r="M70" s="38">
        <f t="shared" si="29"/>
        <v>374.45973071703804</v>
      </c>
      <c r="N70" s="38">
        <f t="shared" si="29"/>
        <v>47.956524571999999</v>
      </c>
      <c r="O70" s="38">
        <f t="shared" si="29"/>
        <v>47.956524571999999</v>
      </c>
      <c r="P70" s="38">
        <f t="shared" si="29"/>
        <v>47.956524571999999</v>
      </c>
      <c r="Q70" s="38">
        <f t="shared" si="29"/>
        <v>47.956524571999999</v>
      </c>
      <c r="R70" s="38">
        <f t="shared" si="29"/>
        <v>47.956524571999999</v>
      </c>
      <c r="S70" s="38">
        <f t="shared" si="29"/>
        <v>47.956524571999999</v>
      </c>
      <c r="T70" s="38">
        <f t="shared" si="29"/>
        <v>47.956524571999999</v>
      </c>
      <c r="U70" s="38">
        <f t="shared" si="29"/>
        <v>47.956524571999999</v>
      </c>
      <c r="V70" s="38">
        <f t="shared" si="31"/>
        <v>377.21685404470657</v>
      </c>
      <c r="W70" s="38">
        <f t="shared" si="32"/>
        <v>374.9156405831593</v>
      </c>
      <c r="X70" s="38">
        <f t="shared" si="33"/>
        <v>368.61983081729369</v>
      </c>
      <c r="Y70" s="38">
        <f t="shared" si="34"/>
        <v>468.89523004888309</v>
      </c>
      <c r="Z70" s="38">
        <f t="shared" si="35"/>
        <v>60.050744517906331</v>
      </c>
      <c r="AA70" s="38">
        <f t="shared" si="36"/>
        <v>60.050744517906331</v>
      </c>
      <c r="AB70" s="38">
        <f t="shared" si="37"/>
        <v>60.050744517906331</v>
      </c>
      <c r="AC70" s="38">
        <f t="shared" si="38"/>
        <v>60.050744517906331</v>
      </c>
      <c r="AD70" s="38">
        <f t="shared" si="39"/>
        <v>60.050744517906331</v>
      </c>
      <c r="AE70" s="38">
        <f t="shared" si="40"/>
        <v>60.050744517906331</v>
      </c>
      <c r="AF70" s="38">
        <f t="shared" si="41"/>
        <v>60.050744517906331</v>
      </c>
      <c r="AG70" s="38">
        <f t="shared" si="42"/>
        <v>60.050744517906331</v>
      </c>
    </row>
    <row r="71" spans="1:33" ht="13" customHeight="1" x14ac:dyDescent="0.25">
      <c r="A71" s="40" t="s">
        <v>39</v>
      </c>
      <c r="B71" s="40">
        <v>38</v>
      </c>
      <c r="C71" s="44">
        <f t="shared" si="30"/>
        <v>0</v>
      </c>
      <c r="D71" s="44">
        <v>1</v>
      </c>
      <c r="E71" s="44">
        <v>0.01</v>
      </c>
      <c r="F71" s="193">
        <v>47.956524571999999</v>
      </c>
      <c r="G71" s="40">
        <v>0</v>
      </c>
      <c r="H71" s="35">
        <v>9.2499999999999999E-2</v>
      </c>
      <c r="I71" s="45">
        <v>7.0000000000000007E-2</v>
      </c>
      <c r="J71" s="38">
        <f t="shared" ref="J71:U80" si="43">(((((J$22*$C71)+(J$23*$D71))*(1+$E71))*($B71/1000))+$F71+($G71*J$5))*(1+J$27)</f>
        <v>368.73040965848196</v>
      </c>
      <c r="K71" s="38">
        <f t="shared" si="43"/>
        <v>346.74415251562482</v>
      </c>
      <c r="L71" s="38">
        <f t="shared" si="43"/>
        <v>313.76476680133908</v>
      </c>
      <c r="M71" s="38">
        <f t="shared" si="43"/>
        <v>329.97993392310497</v>
      </c>
      <c r="N71" s="38">
        <f t="shared" si="43"/>
        <v>143.01373959520822</v>
      </c>
      <c r="O71" s="38">
        <f t="shared" si="43"/>
        <v>143.01373959520822</v>
      </c>
      <c r="P71" s="38">
        <f t="shared" si="43"/>
        <v>143.01373959520822</v>
      </c>
      <c r="Q71" s="38">
        <f t="shared" si="43"/>
        <v>143.01373959520822</v>
      </c>
      <c r="R71" s="38">
        <f t="shared" si="43"/>
        <v>143.01373959520822</v>
      </c>
      <c r="S71" s="38">
        <f t="shared" si="43"/>
        <v>143.01373959520822</v>
      </c>
      <c r="T71" s="38">
        <f t="shared" si="43"/>
        <v>143.01373959520822</v>
      </c>
      <c r="U71" s="38">
        <f t="shared" si="43"/>
        <v>143.01373959520822</v>
      </c>
      <c r="V71" s="38">
        <f t="shared" si="31"/>
        <v>436.89731290438937</v>
      </c>
      <c r="W71" s="38">
        <f t="shared" si="32"/>
        <v>410.84647355149724</v>
      </c>
      <c r="X71" s="38">
        <f t="shared" si="33"/>
        <v>371.77021452215894</v>
      </c>
      <c r="Y71" s="38">
        <f t="shared" si="34"/>
        <v>390.98306694286561</v>
      </c>
      <c r="Z71" s="38">
        <f t="shared" si="35"/>
        <v>169.45257809201485</v>
      </c>
      <c r="AA71" s="38">
        <f t="shared" si="36"/>
        <v>169.45257809201485</v>
      </c>
      <c r="AB71" s="38">
        <f t="shared" si="37"/>
        <v>169.45257809201485</v>
      </c>
      <c r="AC71" s="38">
        <f t="shared" si="38"/>
        <v>169.45257809201485</v>
      </c>
      <c r="AD71" s="38">
        <f t="shared" si="39"/>
        <v>169.45257809201485</v>
      </c>
      <c r="AE71" s="38">
        <f t="shared" si="40"/>
        <v>169.45257809201485</v>
      </c>
      <c r="AF71" s="38">
        <f t="shared" si="41"/>
        <v>169.45257809201485</v>
      </c>
      <c r="AG71" s="38">
        <f t="shared" si="42"/>
        <v>169.45257809201485</v>
      </c>
    </row>
    <row r="72" spans="1:33" ht="13" customHeight="1" x14ac:dyDescent="0.25">
      <c r="A72" s="40" t="s">
        <v>39</v>
      </c>
      <c r="B72" s="40">
        <v>38</v>
      </c>
      <c r="C72" s="44">
        <f t="shared" si="30"/>
        <v>0</v>
      </c>
      <c r="D72" s="44">
        <v>1</v>
      </c>
      <c r="E72" s="44">
        <v>0.01</v>
      </c>
      <c r="F72" s="193">
        <v>47.956524571999999</v>
      </c>
      <c r="G72" s="40">
        <v>0</v>
      </c>
      <c r="H72" s="35">
        <v>9.2499999999999999E-2</v>
      </c>
      <c r="I72" s="45">
        <v>7.0000000000000007E-2</v>
      </c>
      <c r="J72" s="38">
        <f t="shared" si="43"/>
        <v>368.73040965848196</v>
      </c>
      <c r="K72" s="38">
        <f t="shared" si="43"/>
        <v>346.74415251562482</v>
      </c>
      <c r="L72" s="38">
        <f t="shared" si="43"/>
        <v>313.76476680133908</v>
      </c>
      <c r="M72" s="38">
        <f t="shared" si="43"/>
        <v>329.97993392310497</v>
      </c>
      <c r="N72" s="38">
        <f t="shared" si="43"/>
        <v>143.01373959520822</v>
      </c>
      <c r="O72" s="38">
        <f t="shared" si="43"/>
        <v>143.01373959520822</v>
      </c>
      <c r="P72" s="38">
        <f t="shared" si="43"/>
        <v>143.01373959520822</v>
      </c>
      <c r="Q72" s="38">
        <f t="shared" si="43"/>
        <v>143.01373959520822</v>
      </c>
      <c r="R72" s="38">
        <f t="shared" si="43"/>
        <v>143.01373959520822</v>
      </c>
      <c r="S72" s="38">
        <f t="shared" si="43"/>
        <v>143.01373959520822</v>
      </c>
      <c r="T72" s="38">
        <f t="shared" si="43"/>
        <v>143.01373959520822</v>
      </c>
      <c r="U72" s="38">
        <f t="shared" si="43"/>
        <v>143.01373959520822</v>
      </c>
      <c r="V72" s="38">
        <f t="shared" si="31"/>
        <v>436.89731290438937</v>
      </c>
      <c r="W72" s="38">
        <f t="shared" si="32"/>
        <v>410.84647355149724</v>
      </c>
      <c r="X72" s="38">
        <f t="shared" si="33"/>
        <v>371.77021452215894</v>
      </c>
      <c r="Y72" s="38">
        <f t="shared" si="34"/>
        <v>390.98306694286561</v>
      </c>
      <c r="Z72" s="38">
        <f t="shared" si="35"/>
        <v>169.45257809201485</v>
      </c>
      <c r="AA72" s="38">
        <f t="shared" si="36"/>
        <v>169.45257809201485</v>
      </c>
      <c r="AB72" s="38">
        <f t="shared" si="37"/>
        <v>169.45257809201485</v>
      </c>
      <c r="AC72" s="38">
        <f t="shared" si="38"/>
        <v>169.45257809201485</v>
      </c>
      <c r="AD72" s="38">
        <f t="shared" si="39"/>
        <v>169.45257809201485</v>
      </c>
      <c r="AE72" s="38">
        <f t="shared" si="40"/>
        <v>169.45257809201485</v>
      </c>
      <c r="AF72" s="38">
        <f t="shared" si="41"/>
        <v>169.45257809201485</v>
      </c>
      <c r="AG72" s="38">
        <f t="shared" si="42"/>
        <v>169.45257809201485</v>
      </c>
    </row>
    <row r="73" spans="1:33" ht="13" customHeight="1" x14ac:dyDescent="0.25">
      <c r="A73" s="40" t="s">
        <v>39</v>
      </c>
      <c r="B73" s="40">
        <v>38</v>
      </c>
      <c r="C73" s="44">
        <f t="shared" si="30"/>
        <v>0.4</v>
      </c>
      <c r="D73" s="44">
        <v>0.6</v>
      </c>
      <c r="E73" s="44">
        <v>0.01</v>
      </c>
      <c r="F73" s="193">
        <v>47.956524571999999</v>
      </c>
      <c r="G73" s="40">
        <v>0</v>
      </c>
      <c r="H73" s="35">
        <v>9.2499999999999999E-2</v>
      </c>
      <c r="I73" s="45">
        <v>7.0000000000000007E-2</v>
      </c>
      <c r="J73" s="38">
        <f t="shared" si="43"/>
        <v>341.73639765113018</v>
      </c>
      <c r="K73" s="38">
        <f t="shared" si="43"/>
        <v>327.80954373725928</v>
      </c>
      <c r="L73" s="38">
        <f t="shared" si="43"/>
        <v>306.01077883707973</v>
      </c>
      <c r="M73" s="38">
        <f t="shared" si="43"/>
        <v>347.77185264067828</v>
      </c>
      <c r="N73" s="38">
        <f t="shared" si="43"/>
        <v>104.99085358592494</v>
      </c>
      <c r="O73" s="38">
        <f t="shared" si="43"/>
        <v>104.99085358592494</v>
      </c>
      <c r="P73" s="38">
        <f t="shared" si="43"/>
        <v>104.99085358592494</v>
      </c>
      <c r="Q73" s="38">
        <f t="shared" si="43"/>
        <v>104.99085358592494</v>
      </c>
      <c r="R73" s="38">
        <f t="shared" si="43"/>
        <v>104.99085358592494</v>
      </c>
      <c r="S73" s="38">
        <f t="shared" si="43"/>
        <v>104.99085358592494</v>
      </c>
      <c r="T73" s="38">
        <f t="shared" si="43"/>
        <v>104.99085358592494</v>
      </c>
      <c r="U73" s="38">
        <f t="shared" si="43"/>
        <v>104.99085358592494</v>
      </c>
      <c r="V73" s="38">
        <f t="shared" si="31"/>
        <v>404.91293895095259</v>
      </c>
      <c r="W73" s="38">
        <f t="shared" si="32"/>
        <v>388.41143841613706</v>
      </c>
      <c r="X73" s="38">
        <f t="shared" si="33"/>
        <v>362.58275285059364</v>
      </c>
      <c r="Y73" s="38">
        <f t="shared" si="34"/>
        <v>412.06416379712465</v>
      </c>
      <c r="Z73" s="38">
        <f t="shared" si="35"/>
        <v>124.40043080177132</v>
      </c>
      <c r="AA73" s="38">
        <f t="shared" si="36"/>
        <v>124.40043080177132</v>
      </c>
      <c r="AB73" s="38">
        <f t="shared" si="37"/>
        <v>124.40043080177132</v>
      </c>
      <c r="AC73" s="38">
        <f t="shared" si="38"/>
        <v>124.40043080177132</v>
      </c>
      <c r="AD73" s="38">
        <f t="shared" si="39"/>
        <v>124.40043080177132</v>
      </c>
      <c r="AE73" s="38">
        <f t="shared" si="40"/>
        <v>124.40043080177132</v>
      </c>
      <c r="AF73" s="38">
        <f t="shared" si="41"/>
        <v>124.40043080177132</v>
      </c>
      <c r="AG73" s="38">
        <f t="shared" si="42"/>
        <v>124.40043080177132</v>
      </c>
    </row>
    <row r="74" spans="1:33" ht="13" customHeight="1" x14ac:dyDescent="0.25">
      <c r="A74" s="40" t="s">
        <v>39</v>
      </c>
      <c r="B74" s="40">
        <v>38</v>
      </c>
      <c r="C74" s="44">
        <f t="shared" si="30"/>
        <v>0.4</v>
      </c>
      <c r="D74" s="44">
        <v>0.6</v>
      </c>
      <c r="E74" s="44">
        <v>0.01</v>
      </c>
      <c r="F74" s="193">
        <v>47.956524571999999</v>
      </c>
      <c r="G74" s="40">
        <v>0</v>
      </c>
      <c r="H74" s="35">
        <v>9.2499999999999999E-2</v>
      </c>
      <c r="I74" s="45">
        <v>7.0000000000000007E-2</v>
      </c>
      <c r="J74" s="38">
        <f t="shared" si="43"/>
        <v>341.73639765113018</v>
      </c>
      <c r="K74" s="38">
        <f t="shared" si="43"/>
        <v>327.80954373725928</v>
      </c>
      <c r="L74" s="38">
        <f t="shared" si="43"/>
        <v>306.01077883707973</v>
      </c>
      <c r="M74" s="38">
        <f t="shared" si="43"/>
        <v>347.77185264067828</v>
      </c>
      <c r="N74" s="38">
        <f t="shared" si="43"/>
        <v>104.99085358592494</v>
      </c>
      <c r="O74" s="38">
        <f t="shared" si="43"/>
        <v>104.99085358592494</v>
      </c>
      <c r="P74" s="38">
        <f t="shared" si="43"/>
        <v>104.99085358592494</v>
      </c>
      <c r="Q74" s="38">
        <f t="shared" si="43"/>
        <v>104.99085358592494</v>
      </c>
      <c r="R74" s="38">
        <f t="shared" si="43"/>
        <v>104.99085358592494</v>
      </c>
      <c r="S74" s="38">
        <f t="shared" si="43"/>
        <v>104.99085358592494</v>
      </c>
      <c r="T74" s="38">
        <f t="shared" si="43"/>
        <v>104.99085358592494</v>
      </c>
      <c r="U74" s="38">
        <f t="shared" si="43"/>
        <v>104.99085358592494</v>
      </c>
      <c r="V74" s="38">
        <f t="shared" si="31"/>
        <v>404.91293895095259</v>
      </c>
      <c r="W74" s="38">
        <f t="shared" si="32"/>
        <v>388.41143841613706</v>
      </c>
      <c r="X74" s="38">
        <f t="shared" si="33"/>
        <v>362.58275285059364</v>
      </c>
      <c r="Y74" s="38">
        <f t="shared" si="34"/>
        <v>412.06416379712465</v>
      </c>
      <c r="Z74" s="38">
        <f t="shared" si="35"/>
        <v>124.40043080177132</v>
      </c>
      <c r="AA74" s="38">
        <f t="shared" si="36"/>
        <v>124.40043080177132</v>
      </c>
      <c r="AB74" s="38">
        <f t="shared" si="37"/>
        <v>124.40043080177132</v>
      </c>
      <c r="AC74" s="38">
        <f t="shared" si="38"/>
        <v>124.40043080177132</v>
      </c>
      <c r="AD74" s="38">
        <f t="shared" si="39"/>
        <v>124.40043080177132</v>
      </c>
      <c r="AE74" s="38">
        <f t="shared" si="40"/>
        <v>124.40043080177132</v>
      </c>
      <c r="AF74" s="38">
        <f t="shared" si="41"/>
        <v>124.40043080177132</v>
      </c>
      <c r="AG74" s="38">
        <f t="shared" si="42"/>
        <v>124.40043080177132</v>
      </c>
    </row>
    <row r="75" spans="1:33" ht="13" customHeight="1" x14ac:dyDescent="0.25">
      <c r="A75" s="40" t="s">
        <v>39</v>
      </c>
      <c r="B75" s="40">
        <v>38</v>
      </c>
      <c r="C75" s="44">
        <f t="shared" si="30"/>
        <v>0.6</v>
      </c>
      <c r="D75" s="44">
        <v>0.4</v>
      </c>
      <c r="E75" s="44">
        <v>0.01</v>
      </c>
      <c r="F75" s="193">
        <v>47.956524571999999</v>
      </c>
      <c r="G75" s="40">
        <v>0</v>
      </c>
      <c r="H75" s="35">
        <v>9.2499999999999999E-2</v>
      </c>
      <c r="I75" s="45">
        <v>7.0000000000000007E-2</v>
      </c>
      <c r="J75" s="38">
        <f t="shared" si="43"/>
        <v>328.2393916474544</v>
      </c>
      <c r="K75" s="38">
        <f t="shared" si="43"/>
        <v>318.34223934807648</v>
      </c>
      <c r="L75" s="38">
        <f t="shared" si="43"/>
        <v>302.13378485495014</v>
      </c>
      <c r="M75" s="38">
        <f t="shared" si="43"/>
        <v>356.66781199946485</v>
      </c>
      <c r="N75" s="38">
        <f t="shared" si="43"/>
        <v>85.979410581283304</v>
      </c>
      <c r="O75" s="38">
        <f t="shared" si="43"/>
        <v>85.979410581283304</v>
      </c>
      <c r="P75" s="38">
        <f t="shared" si="43"/>
        <v>85.979410581283304</v>
      </c>
      <c r="Q75" s="38">
        <f t="shared" si="43"/>
        <v>85.979410581283304</v>
      </c>
      <c r="R75" s="38">
        <f t="shared" si="43"/>
        <v>85.979410581283304</v>
      </c>
      <c r="S75" s="38">
        <f t="shared" si="43"/>
        <v>85.979410581283304</v>
      </c>
      <c r="T75" s="38">
        <f t="shared" si="43"/>
        <v>85.979410581283304</v>
      </c>
      <c r="U75" s="38">
        <f t="shared" si="43"/>
        <v>85.979410581283304</v>
      </c>
      <c r="V75" s="38">
        <f t="shared" si="31"/>
        <v>388.92075197423435</v>
      </c>
      <c r="W75" s="38">
        <f t="shared" si="32"/>
        <v>377.19392084845703</v>
      </c>
      <c r="X75" s="38">
        <f t="shared" si="33"/>
        <v>357.9890220148111</v>
      </c>
      <c r="Y75" s="38">
        <f t="shared" si="34"/>
        <v>422.60471222425411</v>
      </c>
      <c r="Z75" s="38">
        <f t="shared" si="35"/>
        <v>101.87435715664957</v>
      </c>
      <c r="AA75" s="38">
        <f t="shared" si="36"/>
        <v>101.87435715664957</v>
      </c>
      <c r="AB75" s="38">
        <f t="shared" si="37"/>
        <v>101.87435715664957</v>
      </c>
      <c r="AC75" s="38">
        <f t="shared" si="38"/>
        <v>101.87435715664957</v>
      </c>
      <c r="AD75" s="38">
        <f t="shared" si="39"/>
        <v>101.87435715664957</v>
      </c>
      <c r="AE75" s="38">
        <f t="shared" si="40"/>
        <v>101.87435715664957</v>
      </c>
      <c r="AF75" s="38">
        <f t="shared" si="41"/>
        <v>101.87435715664957</v>
      </c>
      <c r="AG75" s="38">
        <f t="shared" si="42"/>
        <v>101.87435715664957</v>
      </c>
    </row>
    <row r="76" spans="1:33" ht="13" customHeight="1" x14ac:dyDescent="0.25">
      <c r="A76" s="40" t="s">
        <v>39</v>
      </c>
      <c r="B76" s="40">
        <v>38</v>
      </c>
      <c r="C76" s="44">
        <f t="shared" si="30"/>
        <v>0.6</v>
      </c>
      <c r="D76" s="44">
        <v>0.4</v>
      </c>
      <c r="E76" s="44">
        <v>0.01</v>
      </c>
      <c r="F76" s="193">
        <v>47.956524571999999</v>
      </c>
      <c r="G76" s="40">
        <v>0</v>
      </c>
      <c r="H76" s="35">
        <v>9.2499999999999999E-2</v>
      </c>
      <c r="I76" s="45">
        <v>7.0000000000000007E-2</v>
      </c>
      <c r="J76" s="38">
        <f t="shared" si="43"/>
        <v>328.2393916474544</v>
      </c>
      <c r="K76" s="38">
        <f t="shared" si="43"/>
        <v>318.34223934807648</v>
      </c>
      <c r="L76" s="38">
        <f t="shared" si="43"/>
        <v>302.13378485495014</v>
      </c>
      <c r="M76" s="38">
        <f t="shared" si="43"/>
        <v>356.66781199946485</v>
      </c>
      <c r="N76" s="38">
        <f t="shared" si="43"/>
        <v>85.979410581283304</v>
      </c>
      <c r="O76" s="38">
        <f t="shared" si="43"/>
        <v>85.979410581283304</v>
      </c>
      <c r="P76" s="38">
        <f t="shared" si="43"/>
        <v>85.979410581283304</v>
      </c>
      <c r="Q76" s="38">
        <f t="shared" si="43"/>
        <v>85.979410581283304</v>
      </c>
      <c r="R76" s="38">
        <f t="shared" si="43"/>
        <v>85.979410581283304</v>
      </c>
      <c r="S76" s="38">
        <f t="shared" si="43"/>
        <v>85.979410581283304</v>
      </c>
      <c r="T76" s="38">
        <f t="shared" si="43"/>
        <v>85.979410581283304</v>
      </c>
      <c r="U76" s="38">
        <f t="shared" si="43"/>
        <v>85.979410581283304</v>
      </c>
      <c r="V76" s="38">
        <f t="shared" si="31"/>
        <v>388.92075197423435</v>
      </c>
      <c r="W76" s="38">
        <f t="shared" si="32"/>
        <v>377.19392084845703</v>
      </c>
      <c r="X76" s="38">
        <f t="shared" si="33"/>
        <v>357.9890220148111</v>
      </c>
      <c r="Y76" s="38">
        <f t="shared" si="34"/>
        <v>422.60471222425411</v>
      </c>
      <c r="Z76" s="38">
        <f t="shared" si="35"/>
        <v>101.87435715664957</v>
      </c>
      <c r="AA76" s="38">
        <f t="shared" si="36"/>
        <v>101.87435715664957</v>
      </c>
      <c r="AB76" s="38">
        <f t="shared" si="37"/>
        <v>101.87435715664957</v>
      </c>
      <c r="AC76" s="38">
        <f t="shared" si="38"/>
        <v>101.87435715664957</v>
      </c>
      <c r="AD76" s="38">
        <f t="shared" si="39"/>
        <v>101.87435715664957</v>
      </c>
      <c r="AE76" s="38">
        <f t="shared" si="40"/>
        <v>101.87435715664957</v>
      </c>
      <c r="AF76" s="38">
        <f t="shared" si="41"/>
        <v>101.87435715664957</v>
      </c>
      <c r="AG76" s="38">
        <f t="shared" si="42"/>
        <v>101.87435715664957</v>
      </c>
    </row>
    <row r="77" spans="1:33" ht="13" customHeight="1" x14ac:dyDescent="0.25">
      <c r="A77" s="40" t="s">
        <v>39</v>
      </c>
      <c r="B77" s="40">
        <v>38</v>
      </c>
      <c r="C77" s="44">
        <f t="shared" si="30"/>
        <v>1</v>
      </c>
      <c r="D77" s="44">
        <v>0</v>
      </c>
      <c r="E77" s="44">
        <v>0.01</v>
      </c>
      <c r="F77" s="193">
        <v>47.956524571999999</v>
      </c>
      <c r="G77" s="40">
        <v>0</v>
      </c>
      <c r="H77" s="35">
        <v>9.2499999999999999E-2</v>
      </c>
      <c r="I77" s="45">
        <v>7.0000000000000007E-2</v>
      </c>
      <c r="J77" s="38">
        <f t="shared" si="43"/>
        <v>301.24537964010267</v>
      </c>
      <c r="K77" s="38">
        <f t="shared" si="43"/>
        <v>299.40763056971099</v>
      </c>
      <c r="L77" s="38">
        <f t="shared" si="43"/>
        <v>294.37979689069073</v>
      </c>
      <c r="M77" s="38">
        <f t="shared" si="43"/>
        <v>374.45973071703804</v>
      </c>
      <c r="N77" s="38">
        <f t="shared" si="43"/>
        <v>47.956524571999999</v>
      </c>
      <c r="O77" s="38">
        <f t="shared" si="43"/>
        <v>47.956524571999999</v>
      </c>
      <c r="P77" s="38">
        <f t="shared" si="43"/>
        <v>47.956524571999999</v>
      </c>
      <c r="Q77" s="38">
        <f t="shared" si="43"/>
        <v>47.956524571999999</v>
      </c>
      <c r="R77" s="38">
        <f t="shared" si="43"/>
        <v>47.956524571999999</v>
      </c>
      <c r="S77" s="38">
        <f t="shared" si="43"/>
        <v>47.956524571999999</v>
      </c>
      <c r="T77" s="38">
        <f t="shared" si="43"/>
        <v>47.956524571999999</v>
      </c>
      <c r="U77" s="38">
        <f t="shared" si="43"/>
        <v>47.956524571999999</v>
      </c>
      <c r="V77" s="38">
        <f t="shared" si="31"/>
        <v>356.93637802079763</v>
      </c>
      <c r="W77" s="38">
        <f t="shared" si="32"/>
        <v>354.75888571309696</v>
      </c>
      <c r="X77" s="38">
        <f t="shared" si="33"/>
        <v>348.80156034324563</v>
      </c>
      <c r="Y77" s="38">
        <f t="shared" si="34"/>
        <v>443.68580907851305</v>
      </c>
      <c r="Z77" s="38">
        <f t="shared" si="35"/>
        <v>56.822209866405998</v>
      </c>
      <c r="AA77" s="38">
        <f t="shared" si="36"/>
        <v>56.822209866405998</v>
      </c>
      <c r="AB77" s="38">
        <f t="shared" si="37"/>
        <v>56.822209866405998</v>
      </c>
      <c r="AC77" s="38">
        <f t="shared" si="38"/>
        <v>56.822209866405998</v>
      </c>
      <c r="AD77" s="38">
        <f t="shared" si="39"/>
        <v>56.822209866405998</v>
      </c>
      <c r="AE77" s="38">
        <f t="shared" si="40"/>
        <v>56.822209866405998</v>
      </c>
      <c r="AF77" s="38">
        <f t="shared" si="41"/>
        <v>56.822209866405998</v>
      </c>
      <c r="AG77" s="38">
        <f t="shared" si="42"/>
        <v>56.822209866405998</v>
      </c>
    </row>
    <row r="78" spans="1:33" ht="13" customHeight="1" x14ac:dyDescent="0.25">
      <c r="A78" s="40" t="s">
        <v>39</v>
      </c>
      <c r="B78" s="40">
        <v>38</v>
      </c>
      <c r="C78" s="44">
        <f t="shared" si="30"/>
        <v>1</v>
      </c>
      <c r="D78" s="44">
        <v>0</v>
      </c>
      <c r="E78" s="44">
        <v>0.01</v>
      </c>
      <c r="F78" s="193">
        <v>47.956524571999999</v>
      </c>
      <c r="G78" s="40">
        <v>0</v>
      </c>
      <c r="H78" s="35">
        <v>9.2499999999999999E-2</v>
      </c>
      <c r="I78" s="45">
        <v>7.0000000000000007E-2</v>
      </c>
      <c r="J78" s="38">
        <f t="shared" si="43"/>
        <v>301.24537964010267</v>
      </c>
      <c r="K78" s="38">
        <f t="shared" si="43"/>
        <v>299.40763056971099</v>
      </c>
      <c r="L78" s="38">
        <f t="shared" si="43"/>
        <v>294.37979689069073</v>
      </c>
      <c r="M78" s="38">
        <f t="shared" si="43"/>
        <v>374.45973071703804</v>
      </c>
      <c r="N78" s="38">
        <f t="shared" si="43"/>
        <v>47.956524571999999</v>
      </c>
      <c r="O78" s="38">
        <f t="shared" si="43"/>
        <v>47.956524571999999</v>
      </c>
      <c r="P78" s="38">
        <f t="shared" si="43"/>
        <v>47.956524571999999</v>
      </c>
      <c r="Q78" s="38">
        <f t="shared" si="43"/>
        <v>47.956524571999999</v>
      </c>
      <c r="R78" s="38">
        <f t="shared" si="43"/>
        <v>47.956524571999999</v>
      </c>
      <c r="S78" s="38">
        <f t="shared" si="43"/>
        <v>47.956524571999999</v>
      </c>
      <c r="T78" s="38">
        <f t="shared" si="43"/>
        <v>47.956524571999999</v>
      </c>
      <c r="U78" s="38">
        <f t="shared" si="43"/>
        <v>47.956524571999999</v>
      </c>
      <c r="V78" s="38">
        <f t="shared" si="31"/>
        <v>356.93637802079763</v>
      </c>
      <c r="W78" s="38">
        <f t="shared" si="32"/>
        <v>354.75888571309696</v>
      </c>
      <c r="X78" s="38">
        <f t="shared" si="33"/>
        <v>348.80156034324563</v>
      </c>
      <c r="Y78" s="38">
        <f t="shared" si="34"/>
        <v>443.68580907851305</v>
      </c>
      <c r="Z78" s="38">
        <f t="shared" si="35"/>
        <v>56.822209866405998</v>
      </c>
      <c r="AA78" s="38">
        <f t="shared" si="36"/>
        <v>56.822209866405998</v>
      </c>
      <c r="AB78" s="38">
        <f t="shared" si="37"/>
        <v>56.822209866405998</v>
      </c>
      <c r="AC78" s="38">
        <f t="shared" si="38"/>
        <v>56.822209866405998</v>
      </c>
      <c r="AD78" s="38">
        <f t="shared" si="39"/>
        <v>56.822209866405998</v>
      </c>
      <c r="AE78" s="38">
        <f t="shared" si="40"/>
        <v>56.822209866405998</v>
      </c>
      <c r="AF78" s="38">
        <f t="shared" si="41"/>
        <v>56.822209866405998</v>
      </c>
      <c r="AG78" s="38">
        <f t="shared" si="42"/>
        <v>56.822209866405998</v>
      </c>
    </row>
    <row r="79" spans="1:33" ht="13" customHeight="1" x14ac:dyDescent="0.25">
      <c r="A79" s="40" t="s">
        <v>39</v>
      </c>
      <c r="B79" s="40">
        <v>40</v>
      </c>
      <c r="C79" s="44">
        <f t="shared" si="30"/>
        <v>0</v>
      </c>
      <c r="D79" s="44">
        <v>1</v>
      </c>
      <c r="E79" s="44">
        <v>0.01</v>
      </c>
      <c r="F79" s="193">
        <v>47.956524571999999</v>
      </c>
      <c r="G79" s="40">
        <v>0</v>
      </c>
      <c r="H79" s="35">
        <v>9.2499999999999999E-2</v>
      </c>
      <c r="I79" s="45">
        <v>0.18</v>
      </c>
      <c r="J79" s="38">
        <f t="shared" si="43"/>
        <v>385.60693564664263</v>
      </c>
      <c r="K79" s="38">
        <f t="shared" si="43"/>
        <v>362.46350707521401</v>
      </c>
      <c r="L79" s="38">
        <f t="shared" si="43"/>
        <v>327.74836421807117</v>
      </c>
      <c r="M79" s="38">
        <f t="shared" si="43"/>
        <v>344.81906454469191</v>
      </c>
      <c r="N79" s="38">
        <f t="shared" si="43"/>
        <v>148.01675091221921</v>
      </c>
      <c r="O79" s="38">
        <f t="shared" si="43"/>
        <v>148.01675091221921</v>
      </c>
      <c r="P79" s="38">
        <f t="shared" si="43"/>
        <v>148.01675091221921</v>
      </c>
      <c r="Q79" s="38">
        <f t="shared" si="43"/>
        <v>148.01675091221921</v>
      </c>
      <c r="R79" s="38">
        <f t="shared" si="43"/>
        <v>148.01675091221921</v>
      </c>
      <c r="S79" s="38">
        <f t="shared" si="43"/>
        <v>148.01675091221921</v>
      </c>
      <c r="T79" s="38">
        <f t="shared" si="43"/>
        <v>148.01675091221921</v>
      </c>
      <c r="U79" s="38">
        <f t="shared" si="43"/>
        <v>148.01675091221921</v>
      </c>
      <c r="V79" s="38">
        <f t="shared" si="31"/>
        <v>518.18441933298743</v>
      </c>
      <c r="W79" s="38">
        <f t="shared" si="32"/>
        <v>487.08393076021497</v>
      </c>
      <c r="X79" s="38">
        <f t="shared" si="33"/>
        <v>440.43319790105642</v>
      </c>
      <c r="Y79" s="38">
        <f t="shared" si="34"/>
        <v>463.37306261465011</v>
      </c>
      <c r="Z79" s="38">
        <f t="shared" si="35"/>
        <v>198.90714360306282</v>
      </c>
      <c r="AA79" s="38">
        <f t="shared" si="36"/>
        <v>198.90714360306282</v>
      </c>
      <c r="AB79" s="38">
        <f t="shared" si="37"/>
        <v>198.90714360306282</v>
      </c>
      <c r="AC79" s="38">
        <f t="shared" si="38"/>
        <v>198.90714360306282</v>
      </c>
      <c r="AD79" s="38">
        <f t="shared" si="39"/>
        <v>198.90714360306282</v>
      </c>
      <c r="AE79" s="38">
        <f t="shared" si="40"/>
        <v>198.90714360306282</v>
      </c>
      <c r="AF79" s="38">
        <f t="shared" si="41"/>
        <v>198.90714360306282</v>
      </c>
      <c r="AG79" s="38">
        <f t="shared" si="42"/>
        <v>198.90714360306282</v>
      </c>
    </row>
    <row r="80" spans="1:33" ht="13" customHeight="1" x14ac:dyDescent="0.25">
      <c r="A80" s="40" t="s">
        <v>39</v>
      </c>
      <c r="B80" s="40">
        <v>40</v>
      </c>
      <c r="C80" s="44">
        <f t="shared" si="30"/>
        <v>0.4</v>
      </c>
      <c r="D80" s="44">
        <v>0.6</v>
      </c>
      <c r="E80" s="44">
        <v>0.01</v>
      </c>
      <c r="F80" s="193">
        <v>47.956524571999999</v>
      </c>
      <c r="G80" s="40">
        <v>0</v>
      </c>
      <c r="H80" s="35">
        <v>9.2499999999999999E-2</v>
      </c>
      <c r="I80" s="45">
        <v>0.18</v>
      </c>
      <c r="J80" s="38">
        <f t="shared" si="43"/>
        <v>357.19218616521971</v>
      </c>
      <c r="K80" s="38">
        <f t="shared" si="43"/>
        <v>342.53233994009241</v>
      </c>
      <c r="L80" s="38">
        <f t="shared" si="43"/>
        <v>319.58627162411398</v>
      </c>
      <c r="M80" s="38">
        <f t="shared" si="43"/>
        <v>363.54740003687431</v>
      </c>
      <c r="N80" s="38">
        <f t="shared" si="43"/>
        <v>107.99266037613151</v>
      </c>
      <c r="O80" s="38">
        <f t="shared" si="43"/>
        <v>107.99266037613151</v>
      </c>
      <c r="P80" s="38">
        <f t="shared" si="43"/>
        <v>107.99266037613151</v>
      </c>
      <c r="Q80" s="38">
        <f t="shared" si="43"/>
        <v>107.99266037613151</v>
      </c>
      <c r="R80" s="38">
        <f t="shared" si="43"/>
        <v>107.99266037613151</v>
      </c>
      <c r="S80" s="38">
        <f t="shared" si="43"/>
        <v>107.99266037613151</v>
      </c>
      <c r="T80" s="38">
        <f t="shared" si="43"/>
        <v>107.99266037613151</v>
      </c>
      <c r="U80" s="38">
        <f t="shared" si="43"/>
        <v>107.99266037613151</v>
      </c>
      <c r="V80" s="38">
        <f t="shared" si="31"/>
        <v>480.00025017163159</v>
      </c>
      <c r="W80" s="38">
        <f t="shared" si="32"/>
        <v>460.3001275819289</v>
      </c>
      <c r="X80" s="38">
        <f t="shared" si="33"/>
        <v>429.46485469880258</v>
      </c>
      <c r="Y80" s="38">
        <f t="shared" si="34"/>
        <v>488.54048247916995</v>
      </c>
      <c r="Z80" s="38">
        <f t="shared" si="35"/>
        <v>145.12216673537796</v>
      </c>
      <c r="AA80" s="38">
        <f t="shared" si="36"/>
        <v>145.12216673537796</v>
      </c>
      <c r="AB80" s="38">
        <f t="shared" si="37"/>
        <v>145.12216673537796</v>
      </c>
      <c r="AC80" s="38">
        <f t="shared" si="38"/>
        <v>145.12216673537796</v>
      </c>
      <c r="AD80" s="38">
        <f t="shared" si="39"/>
        <v>145.12216673537796</v>
      </c>
      <c r="AE80" s="38">
        <f t="shared" si="40"/>
        <v>145.12216673537796</v>
      </c>
      <c r="AF80" s="38">
        <f t="shared" si="41"/>
        <v>145.12216673537796</v>
      </c>
      <c r="AG80" s="38">
        <f t="shared" si="42"/>
        <v>145.12216673537796</v>
      </c>
    </row>
    <row r="81" spans="1:33" ht="13" customHeight="1" x14ac:dyDescent="0.25">
      <c r="A81" s="40" t="s">
        <v>39</v>
      </c>
      <c r="B81" s="40">
        <v>40</v>
      </c>
      <c r="C81" s="44">
        <f t="shared" si="30"/>
        <v>0.6</v>
      </c>
      <c r="D81" s="44">
        <v>0.4</v>
      </c>
      <c r="E81" s="44">
        <v>0.01</v>
      </c>
      <c r="F81" s="193">
        <v>47.956524571999999</v>
      </c>
      <c r="G81" s="40">
        <v>0</v>
      </c>
      <c r="H81" s="35">
        <v>9.2499999999999999E-2</v>
      </c>
      <c r="I81" s="45">
        <v>0.18</v>
      </c>
      <c r="J81" s="38">
        <f t="shared" ref="J81:U94" si="44">(((((J$22*$C81)+(J$23*$D81))*(1+$E81))*($B81/1000))+$F81+($G81*J$5))*(1+J$27)</f>
        <v>342.98481142450828</v>
      </c>
      <c r="K81" s="38">
        <f t="shared" si="44"/>
        <v>332.56675637253164</v>
      </c>
      <c r="L81" s="38">
        <f t="shared" si="44"/>
        <v>315.50522532713535</v>
      </c>
      <c r="M81" s="38">
        <f t="shared" si="44"/>
        <v>372.91156778296545</v>
      </c>
      <c r="N81" s="38">
        <f t="shared" si="44"/>
        <v>87.980615108087676</v>
      </c>
      <c r="O81" s="38">
        <f t="shared" si="44"/>
        <v>87.980615108087676</v>
      </c>
      <c r="P81" s="38">
        <f t="shared" si="44"/>
        <v>87.980615108087676</v>
      </c>
      <c r="Q81" s="38">
        <f t="shared" si="44"/>
        <v>87.980615108087676</v>
      </c>
      <c r="R81" s="38">
        <f t="shared" si="44"/>
        <v>87.980615108087676</v>
      </c>
      <c r="S81" s="38">
        <f t="shared" si="44"/>
        <v>87.980615108087676</v>
      </c>
      <c r="T81" s="38">
        <f t="shared" si="44"/>
        <v>87.980615108087676</v>
      </c>
      <c r="U81" s="38">
        <f t="shared" si="44"/>
        <v>87.980615108087676</v>
      </c>
      <c r="V81" s="38">
        <f t="shared" si="31"/>
        <v>460.90816559095384</v>
      </c>
      <c r="W81" s="38">
        <f t="shared" si="32"/>
        <v>446.90822599278584</v>
      </c>
      <c r="X81" s="38">
        <f t="shared" si="33"/>
        <v>423.98068309767564</v>
      </c>
      <c r="Y81" s="38">
        <f t="shared" si="34"/>
        <v>501.1241924114297</v>
      </c>
      <c r="Z81" s="38">
        <f t="shared" si="35"/>
        <v>118.22967830153553</v>
      </c>
      <c r="AA81" s="38">
        <f t="shared" si="36"/>
        <v>118.22967830153553</v>
      </c>
      <c r="AB81" s="38">
        <f t="shared" si="37"/>
        <v>118.22967830153553</v>
      </c>
      <c r="AC81" s="38">
        <f t="shared" si="38"/>
        <v>118.22967830153553</v>
      </c>
      <c r="AD81" s="38">
        <f t="shared" si="39"/>
        <v>118.22967830153553</v>
      </c>
      <c r="AE81" s="38">
        <f t="shared" si="40"/>
        <v>118.22967830153553</v>
      </c>
      <c r="AF81" s="38">
        <f t="shared" si="41"/>
        <v>118.22967830153553</v>
      </c>
      <c r="AG81" s="38">
        <f t="shared" si="42"/>
        <v>118.22967830153553</v>
      </c>
    </row>
    <row r="82" spans="1:33" ht="13" customHeight="1" x14ac:dyDescent="0.25">
      <c r="A82" s="40" t="s">
        <v>39</v>
      </c>
      <c r="B82" s="40">
        <v>40</v>
      </c>
      <c r="C82" s="44">
        <f t="shared" si="30"/>
        <v>1</v>
      </c>
      <c r="D82" s="44">
        <v>0</v>
      </c>
      <c r="E82" s="44">
        <v>0.01</v>
      </c>
      <c r="F82" s="193">
        <v>47.956524571999999</v>
      </c>
      <c r="G82" s="40">
        <v>0</v>
      </c>
      <c r="H82" s="35">
        <v>9.2499999999999999E-2</v>
      </c>
      <c r="I82" s="45">
        <v>0.18</v>
      </c>
      <c r="J82" s="38">
        <f t="shared" si="44"/>
        <v>314.57006194308542</v>
      </c>
      <c r="K82" s="38">
        <f t="shared" si="44"/>
        <v>312.63558923740999</v>
      </c>
      <c r="L82" s="38">
        <f t="shared" si="44"/>
        <v>307.34313273317809</v>
      </c>
      <c r="M82" s="38">
        <f t="shared" si="44"/>
        <v>391.63990327514779</v>
      </c>
      <c r="N82" s="38">
        <f t="shared" si="44"/>
        <v>47.956524571999999</v>
      </c>
      <c r="O82" s="38">
        <f t="shared" si="44"/>
        <v>47.956524571999999</v>
      </c>
      <c r="P82" s="38">
        <f t="shared" si="44"/>
        <v>47.956524571999999</v>
      </c>
      <c r="Q82" s="38">
        <f t="shared" si="44"/>
        <v>47.956524571999999</v>
      </c>
      <c r="R82" s="38">
        <f t="shared" si="44"/>
        <v>47.956524571999999</v>
      </c>
      <c r="S82" s="38">
        <f t="shared" si="44"/>
        <v>47.956524571999999</v>
      </c>
      <c r="T82" s="38">
        <f t="shared" si="44"/>
        <v>47.956524571999999</v>
      </c>
      <c r="U82" s="38">
        <f t="shared" si="44"/>
        <v>47.956524571999999</v>
      </c>
      <c r="V82" s="38">
        <f t="shared" si="31"/>
        <v>422.72399642959812</v>
      </c>
      <c r="W82" s="38">
        <f t="shared" si="32"/>
        <v>420.12442281449972</v>
      </c>
      <c r="X82" s="38">
        <f t="shared" si="33"/>
        <v>413.01233989542175</v>
      </c>
      <c r="Y82" s="38">
        <f t="shared" si="34"/>
        <v>526.29161227594943</v>
      </c>
      <c r="Z82" s="38">
        <f t="shared" si="35"/>
        <v>64.444701433850696</v>
      </c>
      <c r="AA82" s="38">
        <f t="shared" si="36"/>
        <v>64.444701433850696</v>
      </c>
      <c r="AB82" s="38">
        <f t="shared" si="37"/>
        <v>64.444701433850696</v>
      </c>
      <c r="AC82" s="38">
        <f t="shared" si="38"/>
        <v>64.444701433850696</v>
      </c>
      <c r="AD82" s="38">
        <f t="shared" si="39"/>
        <v>64.444701433850696</v>
      </c>
      <c r="AE82" s="38">
        <f t="shared" si="40"/>
        <v>64.444701433850696</v>
      </c>
      <c r="AF82" s="38">
        <f t="shared" si="41"/>
        <v>64.444701433850696</v>
      </c>
      <c r="AG82" s="38">
        <f t="shared" si="42"/>
        <v>64.444701433850696</v>
      </c>
    </row>
    <row r="83" spans="1:33" ht="13" customHeight="1" x14ac:dyDescent="0.25">
      <c r="A83" s="40" t="s">
        <v>39</v>
      </c>
      <c r="B83" s="40">
        <v>40</v>
      </c>
      <c r="C83" s="44">
        <f t="shared" si="30"/>
        <v>0</v>
      </c>
      <c r="D83" s="44">
        <v>1</v>
      </c>
      <c r="E83" s="44">
        <v>0.01</v>
      </c>
      <c r="F83" s="193">
        <v>47.956524571999999</v>
      </c>
      <c r="G83" s="40">
        <v>0</v>
      </c>
      <c r="H83" s="35">
        <v>9.2499999999999999E-2</v>
      </c>
      <c r="I83" s="45">
        <v>0.12</v>
      </c>
      <c r="J83" s="38">
        <f t="shared" si="44"/>
        <v>385.60693564664263</v>
      </c>
      <c r="K83" s="38">
        <f t="shared" si="44"/>
        <v>362.46350707521401</v>
      </c>
      <c r="L83" s="38">
        <f t="shared" si="44"/>
        <v>327.74836421807117</v>
      </c>
      <c r="M83" s="38">
        <f t="shared" si="44"/>
        <v>344.81906454469191</v>
      </c>
      <c r="N83" s="38">
        <f t="shared" si="44"/>
        <v>148.01675091221921</v>
      </c>
      <c r="O83" s="38">
        <f t="shared" si="44"/>
        <v>148.01675091221921</v>
      </c>
      <c r="P83" s="38">
        <f t="shared" si="44"/>
        <v>148.01675091221921</v>
      </c>
      <c r="Q83" s="38">
        <f t="shared" si="44"/>
        <v>148.01675091221921</v>
      </c>
      <c r="R83" s="38">
        <f t="shared" si="44"/>
        <v>148.01675091221921</v>
      </c>
      <c r="S83" s="38">
        <f t="shared" si="44"/>
        <v>148.01675091221921</v>
      </c>
      <c r="T83" s="38">
        <f t="shared" si="44"/>
        <v>148.01675091221921</v>
      </c>
      <c r="U83" s="38">
        <f t="shared" si="44"/>
        <v>148.01675091221921</v>
      </c>
      <c r="V83" s="38">
        <f t="shared" si="31"/>
        <v>482.85366346937474</v>
      </c>
      <c r="W83" s="38">
        <f t="shared" si="32"/>
        <v>453.8736627538367</v>
      </c>
      <c r="X83" s="38">
        <f t="shared" si="33"/>
        <v>410.40366168052986</v>
      </c>
      <c r="Y83" s="38">
        <f t="shared" si="34"/>
        <v>431.77944470910586</v>
      </c>
      <c r="Z83" s="38">
        <f t="shared" si="35"/>
        <v>185.345292902854</v>
      </c>
      <c r="AA83" s="38">
        <f t="shared" si="36"/>
        <v>185.345292902854</v>
      </c>
      <c r="AB83" s="38">
        <f t="shared" si="37"/>
        <v>185.345292902854</v>
      </c>
      <c r="AC83" s="38">
        <f t="shared" si="38"/>
        <v>185.345292902854</v>
      </c>
      <c r="AD83" s="38">
        <f t="shared" si="39"/>
        <v>185.345292902854</v>
      </c>
      <c r="AE83" s="38">
        <f t="shared" si="40"/>
        <v>185.345292902854</v>
      </c>
      <c r="AF83" s="38">
        <f t="shared" si="41"/>
        <v>185.345292902854</v>
      </c>
      <c r="AG83" s="38">
        <f t="shared" si="42"/>
        <v>185.345292902854</v>
      </c>
    </row>
    <row r="84" spans="1:33" ht="13" customHeight="1" x14ac:dyDescent="0.25">
      <c r="A84" s="40" t="s">
        <v>39</v>
      </c>
      <c r="B84" s="40">
        <v>40</v>
      </c>
      <c r="C84" s="44">
        <f t="shared" si="30"/>
        <v>0.4</v>
      </c>
      <c r="D84" s="44">
        <v>0.6</v>
      </c>
      <c r="E84" s="44">
        <v>0.01</v>
      </c>
      <c r="F84" s="193">
        <v>47.956524571999999</v>
      </c>
      <c r="G84" s="40">
        <v>0</v>
      </c>
      <c r="H84" s="35">
        <v>9.2499999999999999E-2</v>
      </c>
      <c r="I84" s="45">
        <v>0.12</v>
      </c>
      <c r="J84" s="38">
        <f t="shared" si="44"/>
        <v>357.19218616521971</v>
      </c>
      <c r="K84" s="38">
        <f t="shared" si="44"/>
        <v>342.53233994009241</v>
      </c>
      <c r="L84" s="38">
        <f t="shared" si="44"/>
        <v>319.58627162411398</v>
      </c>
      <c r="M84" s="38">
        <f t="shared" si="44"/>
        <v>363.54740003687431</v>
      </c>
      <c r="N84" s="38">
        <f t="shared" si="44"/>
        <v>107.99266037613151</v>
      </c>
      <c r="O84" s="38">
        <f t="shared" si="44"/>
        <v>107.99266037613151</v>
      </c>
      <c r="P84" s="38">
        <f t="shared" si="44"/>
        <v>107.99266037613151</v>
      </c>
      <c r="Q84" s="38">
        <f t="shared" si="44"/>
        <v>107.99266037613151</v>
      </c>
      <c r="R84" s="38">
        <f t="shared" si="44"/>
        <v>107.99266037613151</v>
      </c>
      <c r="S84" s="38">
        <f t="shared" si="44"/>
        <v>107.99266037613151</v>
      </c>
      <c r="T84" s="38">
        <f t="shared" si="44"/>
        <v>107.99266037613151</v>
      </c>
      <c r="U84" s="38">
        <f t="shared" si="44"/>
        <v>107.99266037613151</v>
      </c>
      <c r="V84" s="38">
        <f t="shared" si="31"/>
        <v>447.2729603872022</v>
      </c>
      <c r="W84" s="38">
        <f t="shared" si="32"/>
        <v>428.91602797407018</v>
      </c>
      <c r="X84" s="38">
        <f t="shared" si="33"/>
        <v>400.18316006024787</v>
      </c>
      <c r="Y84" s="38">
        <f t="shared" si="34"/>
        <v>455.23090412831749</v>
      </c>
      <c r="Z84" s="38">
        <f t="shared" si="35"/>
        <v>135.22747354887491</v>
      </c>
      <c r="AA84" s="38">
        <f t="shared" si="36"/>
        <v>135.22747354887491</v>
      </c>
      <c r="AB84" s="38">
        <f t="shared" si="37"/>
        <v>135.22747354887491</v>
      </c>
      <c r="AC84" s="38">
        <f t="shared" si="38"/>
        <v>135.22747354887491</v>
      </c>
      <c r="AD84" s="38">
        <f t="shared" si="39"/>
        <v>135.22747354887491</v>
      </c>
      <c r="AE84" s="38">
        <f t="shared" si="40"/>
        <v>135.22747354887491</v>
      </c>
      <c r="AF84" s="38">
        <f t="shared" si="41"/>
        <v>135.22747354887491</v>
      </c>
      <c r="AG84" s="38">
        <f t="shared" si="42"/>
        <v>135.22747354887491</v>
      </c>
    </row>
    <row r="85" spans="1:33" ht="13" customHeight="1" x14ac:dyDescent="0.25">
      <c r="A85" s="40" t="s">
        <v>39</v>
      </c>
      <c r="B85" s="40">
        <v>40</v>
      </c>
      <c r="C85" s="44">
        <f t="shared" si="30"/>
        <v>0.6</v>
      </c>
      <c r="D85" s="44">
        <v>0.4</v>
      </c>
      <c r="E85" s="44">
        <v>0.01</v>
      </c>
      <c r="F85" s="193">
        <v>47.956524571999999</v>
      </c>
      <c r="G85" s="40">
        <v>0</v>
      </c>
      <c r="H85" s="35">
        <v>9.2499999999999999E-2</v>
      </c>
      <c r="I85" s="45">
        <v>0.12</v>
      </c>
      <c r="J85" s="38">
        <f t="shared" si="44"/>
        <v>342.98481142450828</v>
      </c>
      <c r="K85" s="38">
        <f t="shared" si="44"/>
        <v>332.56675637253164</v>
      </c>
      <c r="L85" s="38">
        <f t="shared" si="44"/>
        <v>315.50522532713535</v>
      </c>
      <c r="M85" s="38">
        <f t="shared" si="44"/>
        <v>372.91156778296545</v>
      </c>
      <c r="N85" s="38">
        <f t="shared" si="44"/>
        <v>87.980615108087676</v>
      </c>
      <c r="O85" s="38">
        <f t="shared" si="44"/>
        <v>87.980615108087676</v>
      </c>
      <c r="P85" s="38">
        <f t="shared" si="44"/>
        <v>87.980615108087676</v>
      </c>
      <c r="Q85" s="38">
        <f t="shared" si="44"/>
        <v>87.980615108087676</v>
      </c>
      <c r="R85" s="38">
        <f t="shared" si="44"/>
        <v>87.980615108087676</v>
      </c>
      <c r="S85" s="38">
        <f t="shared" si="44"/>
        <v>87.980615108087676</v>
      </c>
      <c r="T85" s="38">
        <f t="shared" si="44"/>
        <v>87.980615108087676</v>
      </c>
      <c r="U85" s="38">
        <f t="shared" si="44"/>
        <v>87.980615108087676</v>
      </c>
      <c r="V85" s="38">
        <f t="shared" si="31"/>
        <v>429.48260884611608</v>
      </c>
      <c r="W85" s="38">
        <f t="shared" si="32"/>
        <v>416.43721058418686</v>
      </c>
      <c r="X85" s="38">
        <f t="shared" si="33"/>
        <v>395.07290925010687</v>
      </c>
      <c r="Y85" s="38">
        <f t="shared" si="34"/>
        <v>466.95663383792316</v>
      </c>
      <c r="Z85" s="38">
        <f t="shared" si="35"/>
        <v>110.1685638718854</v>
      </c>
      <c r="AA85" s="38">
        <f t="shared" si="36"/>
        <v>110.1685638718854</v>
      </c>
      <c r="AB85" s="38">
        <f t="shared" si="37"/>
        <v>110.1685638718854</v>
      </c>
      <c r="AC85" s="38">
        <f t="shared" si="38"/>
        <v>110.1685638718854</v>
      </c>
      <c r="AD85" s="38">
        <f t="shared" si="39"/>
        <v>110.1685638718854</v>
      </c>
      <c r="AE85" s="38">
        <f t="shared" si="40"/>
        <v>110.1685638718854</v>
      </c>
      <c r="AF85" s="38">
        <f t="shared" si="41"/>
        <v>110.1685638718854</v>
      </c>
      <c r="AG85" s="38">
        <f t="shared" si="42"/>
        <v>110.1685638718854</v>
      </c>
    </row>
    <row r="86" spans="1:33" ht="13" customHeight="1" x14ac:dyDescent="0.25">
      <c r="A86" s="40" t="s">
        <v>39</v>
      </c>
      <c r="B86" s="40">
        <v>40</v>
      </c>
      <c r="C86" s="44">
        <f t="shared" si="30"/>
        <v>1</v>
      </c>
      <c r="D86" s="44">
        <v>0</v>
      </c>
      <c r="E86" s="44">
        <v>0.01</v>
      </c>
      <c r="F86" s="193">
        <v>47.956524571999999</v>
      </c>
      <c r="G86" s="40">
        <v>0</v>
      </c>
      <c r="H86" s="35">
        <v>9.2499999999999999E-2</v>
      </c>
      <c r="I86" s="45">
        <v>0.12</v>
      </c>
      <c r="J86" s="38">
        <f t="shared" si="44"/>
        <v>314.57006194308542</v>
      </c>
      <c r="K86" s="38">
        <f t="shared" si="44"/>
        <v>312.63558923740999</v>
      </c>
      <c r="L86" s="38">
        <f t="shared" si="44"/>
        <v>307.34313273317809</v>
      </c>
      <c r="M86" s="38">
        <f t="shared" si="44"/>
        <v>391.63990327514779</v>
      </c>
      <c r="N86" s="38">
        <f t="shared" si="44"/>
        <v>47.956524571999999</v>
      </c>
      <c r="O86" s="38">
        <f t="shared" si="44"/>
        <v>47.956524571999999</v>
      </c>
      <c r="P86" s="38">
        <f t="shared" si="44"/>
        <v>47.956524571999999</v>
      </c>
      <c r="Q86" s="38">
        <f t="shared" si="44"/>
        <v>47.956524571999999</v>
      </c>
      <c r="R86" s="38">
        <f t="shared" si="44"/>
        <v>47.956524571999999</v>
      </c>
      <c r="S86" s="38">
        <f t="shared" si="44"/>
        <v>47.956524571999999</v>
      </c>
      <c r="T86" s="38">
        <f t="shared" si="44"/>
        <v>47.956524571999999</v>
      </c>
      <c r="U86" s="38">
        <f t="shared" si="44"/>
        <v>47.956524571999999</v>
      </c>
      <c r="V86" s="38">
        <f t="shared" si="31"/>
        <v>393.90190576394372</v>
      </c>
      <c r="W86" s="38">
        <f t="shared" si="32"/>
        <v>391.47957580442022</v>
      </c>
      <c r="X86" s="38">
        <f t="shared" si="33"/>
        <v>384.85240762982482</v>
      </c>
      <c r="Y86" s="38">
        <f t="shared" si="34"/>
        <v>490.40809325713474</v>
      </c>
      <c r="Z86" s="38">
        <f t="shared" si="35"/>
        <v>60.050744517906331</v>
      </c>
      <c r="AA86" s="38">
        <f t="shared" si="36"/>
        <v>60.050744517906331</v>
      </c>
      <c r="AB86" s="38">
        <f t="shared" si="37"/>
        <v>60.050744517906331</v>
      </c>
      <c r="AC86" s="38">
        <f t="shared" si="38"/>
        <v>60.050744517906331</v>
      </c>
      <c r="AD86" s="38">
        <f t="shared" si="39"/>
        <v>60.050744517906331</v>
      </c>
      <c r="AE86" s="38">
        <f t="shared" si="40"/>
        <v>60.050744517906331</v>
      </c>
      <c r="AF86" s="38">
        <f t="shared" si="41"/>
        <v>60.050744517906331</v>
      </c>
      <c r="AG86" s="38">
        <f t="shared" si="42"/>
        <v>60.050744517906331</v>
      </c>
    </row>
    <row r="87" spans="1:33" ht="13" customHeight="1" x14ac:dyDescent="0.25">
      <c r="A87" s="40" t="s">
        <v>39</v>
      </c>
      <c r="B87" s="40">
        <v>40</v>
      </c>
      <c r="C87" s="44">
        <f t="shared" si="30"/>
        <v>0</v>
      </c>
      <c r="D87" s="44">
        <v>1</v>
      </c>
      <c r="E87" s="44">
        <v>0.01</v>
      </c>
      <c r="F87" s="193">
        <v>47.956524571999999</v>
      </c>
      <c r="G87" s="40">
        <v>0</v>
      </c>
      <c r="H87" s="35">
        <v>9.2499999999999999E-2</v>
      </c>
      <c r="I87" s="45">
        <v>7.0000000000000007E-2</v>
      </c>
      <c r="J87" s="38">
        <f t="shared" si="44"/>
        <v>385.60693564664263</v>
      </c>
      <c r="K87" s="38">
        <f t="shared" si="44"/>
        <v>362.46350707521401</v>
      </c>
      <c r="L87" s="38">
        <f t="shared" si="44"/>
        <v>327.74836421807117</v>
      </c>
      <c r="M87" s="38">
        <f t="shared" si="44"/>
        <v>344.81906454469191</v>
      </c>
      <c r="N87" s="38">
        <f t="shared" si="44"/>
        <v>148.01675091221921</v>
      </c>
      <c r="O87" s="38">
        <f t="shared" si="44"/>
        <v>148.01675091221921</v>
      </c>
      <c r="P87" s="38">
        <f t="shared" si="44"/>
        <v>148.01675091221921</v>
      </c>
      <c r="Q87" s="38">
        <f t="shared" si="44"/>
        <v>148.01675091221921</v>
      </c>
      <c r="R87" s="38">
        <f t="shared" si="44"/>
        <v>148.01675091221921</v>
      </c>
      <c r="S87" s="38">
        <f t="shared" si="44"/>
        <v>148.01675091221921</v>
      </c>
      <c r="T87" s="38">
        <f t="shared" si="44"/>
        <v>148.01675091221921</v>
      </c>
      <c r="U87" s="38">
        <f t="shared" si="44"/>
        <v>148.01675091221921</v>
      </c>
      <c r="V87" s="38">
        <f t="shared" si="31"/>
        <v>456.89378908930087</v>
      </c>
      <c r="W87" s="38">
        <f t="shared" si="32"/>
        <v>429.47185292836167</v>
      </c>
      <c r="X87" s="38">
        <f t="shared" si="33"/>
        <v>388.33894868695302</v>
      </c>
      <c r="Y87" s="38">
        <f t="shared" si="34"/>
        <v>408.56549606883135</v>
      </c>
      <c r="Z87" s="38">
        <f t="shared" si="35"/>
        <v>175.38049220915218</v>
      </c>
      <c r="AA87" s="38">
        <f t="shared" si="36"/>
        <v>175.38049220915218</v>
      </c>
      <c r="AB87" s="38">
        <f t="shared" si="37"/>
        <v>175.38049220915218</v>
      </c>
      <c r="AC87" s="38">
        <f t="shared" si="38"/>
        <v>175.38049220915218</v>
      </c>
      <c r="AD87" s="38">
        <f t="shared" si="39"/>
        <v>175.38049220915218</v>
      </c>
      <c r="AE87" s="38">
        <f t="shared" si="40"/>
        <v>175.38049220915218</v>
      </c>
      <c r="AF87" s="38">
        <f t="shared" si="41"/>
        <v>175.38049220915218</v>
      </c>
      <c r="AG87" s="38">
        <f t="shared" si="42"/>
        <v>175.38049220915218</v>
      </c>
    </row>
    <row r="88" spans="1:33" ht="13" customHeight="1" x14ac:dyDescent="0.25">
      <c r="A88" s="40" t="s">
        <v>39</v>
      </c>
      <c r="B88" s="40">
        <v>40</v>
      </c>
      <c r="C88" s="44">
        <f t="shared" si="30"/>
        <v>0</v>
      </c>
      <c r="D88" s="44">
        <v>1</v>
      </c>
      <c r="E88" s="44">
        <v>0.01</v>
      </c>
      <c r="F88" s="193">
        <v>47.956524571999999</v>
      </c>
      <c r="G88" s="40">
        <v>0</v>
      </c>
      <c r="H88" s="35">
        <v>9.2499999999999999E-2</v>
      </c>
      <c r="I88" s="45">
        <v>7.0000000000000007E-2</v>
      </c>
      <c r="J88" s="38">
        <f t="shared" si="44"/>
        <v>385.60693564664263</v>
      </c>
      <c r="K88" s="38">
        <f t="shared" si="44"/>
        <v>362.46350707521401</v>
      </c>
      <c r="L88" s="38">
        <f t="shared" si="44"/>
        <v>327.74836421807117</v>
      </c>
      <c r="M88" s="38">
        <f t="shared" si="44"/>
        <v>344.81906454469191</v>
      </c>
      <c r="N88" s="38">
        <f t="shared" si="44"/>
        <v>148.01675091221921</v>
      </c>
      <c r="O88" s="38">
        <f t="shared" si="44"/>
        <v>148.01675091221921</v>
      </c>
      <c r="P88" s="38">
        <f t="shared" si="44"/>
        <v>148.01675091221921</v>
      </c>
      <c r="Q88" s="38">
        <f t="shared" si="44"/>
        <v>148.01675091221921</v>
      </c>
      <c r="R88" s="38">
        <f t="shared" si="44"/>
        <v>148.01675091221921</v>
      </c>
      <c r="S88" s="38">
        <f t="shared" si="44"/>
        <v>148.01675091221921</v>
      </c>
      <c r="T88" s="38">
        <f t="shared" si="44"/>
        <v>148.01675091221921</v>
      </c>
      <c r="U88" s="38">
        <f t="shared" si="44"/>
        <v>148.01675091221921</v>
      </c>
      <c r="V88" s="38">
        <f t="shared" si="31"/>
        <v>456.89378908930087</v>
      </c>
      <c r="W88" s="38">
        <f t="shared" si="32"/>
        <v>429.47185292836167</v>
      </c>
      <c r="X88" s="38">
        <f t="shared" si="33"/>
        <v>388.33894868695302</v>
      </c>
      <c r="Y88" s="38">
        <f t="shared" si="34"/>
        <v>408.56549606883135</v>
      </c>
      <c r="Z88" s="38">
        <f t="shared" si="35"/>
        <v>175.38049220915218</v>
      </c>
      <c r="AA88" s="38">
        <f t="shared" si="36"/>
        <v>175.38049220915218</v>
      </c>
      <c r="AB88" s="38">
        <f t="shared" si="37"/>
        <v>175.38049220915218</v>
      </c>
      <c r="AC88" s="38">
        <f t="shared" si="38"/>
        <v>175.38049220915218</v>
      </c>
      <c r="AD88" s="38">
        <f t="shared" si="39"/>
        <v>175.38049220915218</v>
      </c>
      <c r="AE88" s="38">
        <f t="shared" si="40"/>
        <v>175.38049220915218</v>
      </c>
      <c r="AF88" s="38">
        <f t="shared" si="41"/>
        <v>175.38049220915218</v>
      </c>
      <c r="AG88" s="38">
        <f t="shared" si="42"/>
        <v>175.38049220915218</v>
      </c>
    </row>
    <row r="89" spans="1:33" ht="13" customHeight="1" x14ac:dyDescent="0.25">
      <c r="A89" s="40" t="s">
        <v>39</v>
      </c>
      <c r="B89" s="40">
        <v>40</v>
      </c>
      <c r="C89" s="44">
        <f t="shared" si="30"/>
        <v>0.4</v>
      </c>
      <c r="D89" s="44">
        <v>0.6</v>
      </c>
      <c r="E89" s="44">
        <v>0.01</v>
      </c>
      <c r="F89" s="193">
        <v>47.956524571999999</v>
      </c>
      <c r="G89" s="40">
        <v>0</v>
      </c>
      <c r="H89" s="35">
        <v>9.2499999999999999E-2</v>
      </c>
      <c r="I89" s="45">
        <v>7.0000000000000007E-2</v>
      </c>
      <c r="J89" s="38">
        <f t="shared" si="44"/>
        <v>357.19218616521971</v>
      </c>
      <c r="K89" s="38">
        <f t="shared" si="44"/>
        <v>342.53233994009241</v>
      </c>
      <c r="L89" s="38">
        <f t="shared" si="44"/>
        <v>319.58627162411398</v>
      </c>
      <c r="M89" s="38">
        <f t="shared" si="44"/>
        <v>363.54740003687431</v>
      </c>
      <c r="N89" s="38">
        <f t="shared" si="44"/>
        <v>107.99266037613151</v>
      </c>
      <c r="O89" s="38">
        <f t="shared" si="44"/>
        <v>107.99266037613151</v>
      </c>
      <c r="P89" s="38">
        <f t="shared" si="44"/>
        <v>107.99266037613151</v>
      </c>
      <c r="Q89" s="38">
        <f t="shared" si="44"/>
        <v>107.99266037613151</v>
      </c>
      <c r="R89" s="38">
        <f t="shared" si="44"/>
        <v>107.99266037613151</v>
      </c>
      <c r="S89" s="38">
        <f t="shared" si="44"/>
        <v>107.99266037613151</v>
      </c>
      <c r="T89" s="38">
        <f t="shared" si="44"/>
        <v>107.99266037613151</v>
      </c>
      <c r="U89" s="38">
        <f t="shared" si="44"/>
        <v>107.99266037613151</v>
      </c>
      <c r="V89" s="38">
        <f t="shared" si="31"/>
        <v>423.22602703305159</v>
      </c>
      <c r="W89" s="38">
        <f t="shared" si="32"/>
        <v>405.8560264700879</v>
      </c>
      <c r="X89" s="38">
        <f t="shared" si="33"/>
        <v>378.66793640109483</v>
      </c>
      <c r="Y89" s="38">
        <f t="shared" si="34"/>
        <v>430.75612433647245</v>
      </c>
      <c r="Z89" s="38">
        <f t="shared" si="35"/>
        <v>127.95717927205369</v>
      </c>
      <c r="AA89" s="38">
        <f t="shared" si="36"/>
        <v>127.95717927205369</v>
      </c>
      <c r="AB89" s="38">
        <f t="shared" si="37"/>
        <v>127.95717927205369</v>
      </c>
      <c r="AC89" s="38">
        <f t="shared" si="38"/>
        <v>127.95717927205369</v>
      </c>
      <c r="AD89" s="38">
        <f t="shared" si="39"/>
        <v>127.95717927205369</v>
      </c>
      <c r="AE89" s="38">
        <f t="shared" si="40"/>
        <v>127.95717927205369</v>
      </c>
      <c r="AF89" s="38">
        <f t="shared" si="41"/>
        <v>127.95717927205369</v>
      </c>
      <c r="AG89" s="38">
        <f t="shared" si="42"/>
        <v>127.95717927205369</v>
      </c>
    </row>
    <row r="90" spans="1:33" ht="13" customHeight="1" x14ac:dyDescent="0.25">
      <c r="A90" s="40" t="s">
        <v>39</v>
      </c>
      <c r="B90" s="40">
        <v>40</v>
      </c>
      <c r="C90" s="44">
        <f t="shared" si="30"/>
        <v>0.4</v>
      </c>
      <c r="D90" s="44">
        <v>0.6</v>
      </c>
      <c r="E90" s="44">
        <v>0.01</v>
      </c>
      <c r="F90" s="193">
        <v>47.956524571999999</v>
      </c>
      <c r="G90" s="40">
        <v>0</v>
      </c>
      <c r="H90" s="35">
        <v>9.2499999999999999E-2</v>
      </c>
      <c r="I90" s="45">
        <v>7.0000000000000007E-2</v>
      </c>
      <c r="J90" s="38">
        <f t="shared" si="44"/>
        <v>357.19218616521971</v>
      </c>
      <c r="K90" s="38">
        <f t="shared" si="44"/>
        <v>342.53233994009241</v>
      </c>
      <c r="L90" s="38">
        <f t="shared" si="44"/>
        <v>319.58627162411398</v>
      </c>
      <c r="M90" s="38">
        <f t="shared" si="44"/>
        <v>363.54740003687431</v>
      </c>
      <c r="N90" s="38">
        <f t="shared" si="44"/>
        <v>107.99266037613151</v>
      </c>
      <c r="O90" s="38">
        <f t="shared" si="44"/>
        <v>107.99266037613151</v>
      </c>
      <c r="P90" s="38">
        <f t="shared" si="44"/>
        <v>107.99266037613151</v>
      </c>
      <c r="Q90" s="38">
        <f t="shared" si="44"/>
        <v>107.99266037613151</v>
      </c>
      <c r="R90" s="38">
        <f t="shared" si="44"/>
        <v>107.99266037613151</v>
      </c>
      <c r="S90" s="38">
        <f t="shared" si="44"/>
        <v>107.99266037613151</v>
      </c>
      <c r="T90" s="38">
        <f t="shared" si="44"/>
        <v>107.99266037613151</v>
      </c>
      <c r="U90" s="38">
        <f t="shared" si="44"/>
        <v>107.99266037613151</v>
      </c>
      <c r="V90" s="38">
        <f t="shared" si="31"/>
        <v>423.22602703305159</v>
      </c>
      <c r="W90" s="38">
        <f t="shared" si="32"/>
        <v>405.8560264700879</v>
      </c>
      <c r="X90" s="38">
        <f t="shared" si="33"/>
        <v>378.66793640109483</v>
      </c>
      <c r="Y90" s="38">
        <f t="shared" si="34"/>
        <v>430.75612433647245</v>
      </c>
      <c r="Z90" s="38">
        <f t="shared" si="35"/>
        <v>127.95717927205369</v>
      </c>
      <c r="AA90" s="38">
        <f t="shared" si="36"/>
        <v>127.95717927205369</v>
      </c>
      <c r="AB90" s="38">
        <f t="shared" si="37"/>
        <v>127.95717927205369</v>
      </c>
      <c r="AC90" s="38">
        <f t="shared" si="38"/>
        <v>127.95717927205369</v>
      </c>
      <c r="AD90" s="38">
        <f t="shared" si="39"/>
        <v>127.95717927205369</v>
      </c>
      <c r="AE90" s="38">
        <f t="shared" si="40"/>
        <v>127.95717927205369</v>
      </c>
      <c r="AF90" s="38">
        <f t="shared" si="41"/>
        <v>127.95717927205369</v>
      </c>
      <c r="AG90" s="38">
        <f t="shared" si="42"/>
        <v>127.95717927205369</v>
      </c>
    </row>
    <row r="91" spans="1:33" ht="13" customHeight="1" x14ac:dyDescent="0.25">
      <c r="A91" s="40" t="s">
        <v>39</v>
      </c>
      <c r="B91" s="40">
        <v>40</v>
      </c>
      <c r="C91" s="44">
        <f t="shared" si="30"/>
        <v>0.6</v>
      </c>
      <c r="D91" s="44">
        <v>0.4</v>
      </c>
      <c r="E91" s="44">
        <v>0.01</v>
      </c>
      <c r="F91" s="193">
        <v>47.956524571999999</v>
      </c>
      <c r="G91" s="40">
        <v>0</v>
      </c>
      <c r="H91" s="35">
        <v>9.2499999999999999E-2</v>
      </c>
      <c r="I91" s="45">
        <v>7.0000000000000007E-2</v>
      </c>
      <c r="J91" s="38">
        <f t="shared" si="44"/>
        <v>342.98481142450828</v>
      </c>
      <c r="K91" s="38">
        <f t="shared" si="44"/>
        <v>332.56675637253164</v>
      </c>
      <c r="L91" s="38">
        <f t="shared" si="44"/>
        <v>315.50522532713535</v>
      </c>
      <c r="M91" s="38">
        <f t="shared" si="44"/>
        <v>372.91156778296545</v>
      </c>
      <c r="N91" s="38">
        <f t="shared" si="44"/>
        <v>87.980615108087676</v>
      </c>
      <c r="O91" s="38">
        <f t="shared" si="44"/>
        <v>87.980615108087676</v>
      </c>
      <c r="P91" s="38">
        <f t="shared" si="44"/>
        <v>87.980615108087676</v>
      </c>
      <c r="Q91" s="38">
        <f t="shared" si="44"/>
        <v>87.980615108087676</v>
      </c>
      <c r="R91" s="38">
        <f t="shared" si="44"/>
        <v>87.980615108087676</v>
      </c>
      <c r="S91" s="38">
        <f t="shared" si="44"/>
        <v>87.980615108087676</v>
      </c>
      <c r="T91" s="38">
        <f t="shared" si="44"/>
        <v>87.980615108087676</v>
      </c>
      <c r="U91" s="38">
        <f t="shared" si="44"/>
        <v>87.980615108087676</v>
      </c>
      <c r="V91" s="38">
        <f t="shared" si="31"/>
        <v>406.3921460049271</v>
      </c>
      <c r="W91" s="38">
        <f t="shared" si="32"/>
        <v>394.04811324095101</v>
      </c>
      <c r="X91" s="38">
        <f t="shared" si="33"/>
        <v>373.83243025816569</v>
      </c>
      <c r="Y91" s="38">
        <f t="shared" si="34"/>
        <v>441.85143847029292</v>
      </c>
      <c r="Z91" s="38">
        <f t="shared" si="35"/>
        <v>104.24552280350447</v>
      </c>
      <c r="AA91" s="38">
        <f t="shared" si="36"/>
        <v>104.24552280350447</v>
      </c>
      <c r="AB91" s="38">
        <f t="shared" si="37"/>
        <v>104.24552280350447</v>
      </c>
      <c r="AC91" s="38">
        <f t="shared" si="38"/>
        <v>104.24552280350447</v>
      </c>
      <c r="AD91" s="38">
        <f t="shared" si="39"/>
        <v>104.24552280350447</v>
      </c>
      <c r="AE91" s="38">
        <f t="shared" si="40"/>
        <v>104.24552280350447</v>
      </c>
      <c r="AF91" s="38">
        <f t="shared" si="41"/>
        <v>104.24552280350447</v>
      </c>
      <c r="AG91" s="38">
        <f t="shared" si="42"/>
        <v>104.24552280350447</v>
      </c>
    </row>
    <row r="92" spans="1:33" ht="13" customHeight="1" x14ac:dyDescent="0.25">
      <c r="A92" s="40" t="s">
        <v>39</v>
      </c>
      <c r="B92" s="40">
        <v>40</v>
      </c>
      <c r="C92" s="44">
        <f t="shared" si="30"/>
        <v>0.6</v>
      </c>
      <c r="D92" s="44">
        <v>0.4</v>
      </c>
      <c r="E92" s="44">
        <v>0.01</v>
      </c>
      <c r="F92" s="193">
        <v>47.956524571999999</v>
      </c>
      <c r="G92" s="40">
        <v>0</v>
      </c>
      <c r="H92" s="35">
        <v>9.2499999999999999E-2</v>
      </c>
      <c r="I92" s="45">
        <v>7.0000000000000007E-2</v>
      </c>
      <c r="J92" s="38">
        <f t="shared" si="44"/>
        <v>342.98481142450828</v>
      </c>
      <c r="K92" s="38">
        <f t="shared" si="44"/>
        <v>332.56675637253164</v>
      </c>
      <c r="L92" s="38">
        <f t="shared" si="44"/>
        <v>315.50522532713535</v>
      </c>
      <c r="M92" s="38">
        <f t="shared" si="44"/>
        <v>372.91156778296545</v>
      </c>
      <c r="N92" s="38">
        <f t="shared" si="44"/>
        <v>87.980615108087676</v>
      </c>
      <c r="O92" s="38">
        <f t="shared" si="44"/>
        <v>87.980615108087676</v>
      </c>
      <c r="P92" s="38">
        <f t="shared" si="44"/>
        <v>87.980615108087676</v>
      </c>
      <c r="Q92" s="38">
        <f t="shared" si="44"/>
        <v>87.980615108087676</v>
      </c>
      <c r="R92" s="38">
        <f t="shared" si="44"/>
        <v>87.980615108087676</v>
      </c>
      <c r="S92" s="38">
        <f t="shared" si="44"/>
        <v>87.980615108087676</v>
      </c>
      <c r="T92" s="38">
        <f t="shared" si="44"/>
        <v>87.980615108087676</v>
      </c>
      <c r="U92" s="38">
        <f t="shared" si="44"/>
        <v>87.980615108087676</v>
      </c>
      <c r="V92" s="38">
        <f t="shared" si="31"/>
        <v>406.3921460049271</v>
      </c>
      <c r="W92" s="38">
        <f t="shared" si="32"/>
        <v>394.04811324095101</v>
      </c>
      <c r="X92" s="38">
        <f t="shared" si="33"/>
        <v>373.83243025816569</v>
      </c>
      <c r="Y92" s="38">
        <f t="shared" si="34"/>
        <v>441.85143847029292</v>
      </c>
      <c r="Z92" s="38">
        <f t="shared" si="35"/>
        <v>104.24552280350447</v>
      </c>
      <c r="AA92" s="38">
        <f t="shared" si="36"/>
        <v>104.24552280350447</v>
      </c>
      <c r="AB92" s="38">
        <f t="shared" si="37"/>
        <v>104.24552280350447</v>
      </c>
      <c r="AC92" s="38">
        <f t="shared" si="38"/>
        <v>104.24552280350447</v>
      </c>
      <c r="AD92" s="38">
        <f t="shared" si="39"/>
        <v>104.24552280350447</v>
      </c>
      <c r="AE92" s="38">
        <f t="shared" si="40"/>
        <v>104.24552280350447</v>
      </c>
      <c r="AF92" s="38">
        <f t="shared" si="41"/>
        <v>104.24552280350447</v>
      </c>
      <c r="AG92" s="38">
        <f t="shared" si="42"/>
        <v>104.24552280350447</v>
      </c>
    </row>
    <row r="93" spans="1:33" ht="13" customHeight="1" x14ac:dyDescent="0.25">
      <c r="A93" s="40" t="s">
        <v>39</v>
      </c>
      <c r="B93" s="40">
        <v>40</v>
      </c>
      <c r="C93" s="44">
        <f t="shared" si="30"/>
        <v>1</v>
      </c>
      <c r="D93" s="44">
        <v>0</v>
      </c>
      <c r="E93" s="44">
        <v>0.01</v>
      </c>
      <c r="F93" s="193">
        <v>47.956524571999999</v>
      </c>
      <c r="G93" s="40">
        <v>0</v>
      </c>
      <c r="H93" s="35">
        <v>9.2499999999999999E-2</v>
      </c>
      <c r="I93" s="45">
        <v>7.0000000000000007E-2</v>
      </c>
      <c r="J93" s="38">
        <f t="shared" si="44"/>
        <v>314.57006194308542</v>
      </c>
      <c r="K93" s="38">
        <f t="shared" si="44"/>
        <v>312.63558923740999</v>
      </c>
      <c r="L93" s="38">
        <f t="shared" si="44"/>
        <v>307.34313273317809</v>
      </c>
      <c r="M93" s="38">
        <f t="shared" si="44"/>
        <v>391.63990327514779</v>
      </c>
      <c r="N93" s="38">
        <f t="shared" si="44"/>
        <v>47.956524571999999</v>
      </c>
      <c r="O93" s="38">
        <f t="shared" si="44"/>
        <v>47.956524571999999</v>
      </c>
      <c r="P93" s="38">
        <f t="shared" si="44"/>
        <v>47.956524571999999</v>
      </c>
      <c r="Q93" s="38">
        <f t="shared" si="44"/>
        <v>47.956524571999999</v>
      </c>
      <c r="R93" s="38">
        <f t="shared" si="44"/>
        <v>47.956524571999999</v>
      </c>
      <c r="S93" s="38">
        <f t="shared" si="44"/>
        <v>47.956524571999999</v>
      </c>
      <c r="T93" s="38">
        <f t="shared" si="44"/>
        <v>47.956524571999999</v>
      </c>
      <c r="U93" s="38">
        <f t="shared" si="44"/>
        <v>47.956524571999999</v>
      </c>
      <c r="V93" s="38">
        <f t="shared" si="31"/>
        <v>372.72438394867794</v>
      </c>
      <c r="W93" s="38">
        <f t="shared" si="32"/>
        <v>370.43228678267724</v>
      </c>
      <c r="X93" s="38">
        <f t="shared" si="33"/>
        <v>364.16141797230739</v>
      </c>
      <c r="Y93" s="38">
        <f t="shared" si="34"/>
        <v>464.04206673793396</v>
      </c>
      <c r="Z93" s="38">
        <f t="shared" si="35"/>
        <v>56.822209866405998</v>
      </c>
      <c r="AA93" s="38">
        <f t="shared" si="36"/>
        <v>56.822209866405998</v>
      </c>
      <c r="AB93" s="38">
        <f t="shared" si="37"/>
        <v>56.822209866405998</v>
      </c>
      <c r="AC93" s="38">
        <f t="shared" si="38"/>
        <v>56.822209866405998</v>
      </c>
      <c r="AD93" s="38">
        <f t="shared" si="39"/>
        <v>56.822209866405998</v>
      </c>
      <c r="AE93" s="38">
        <f t="shared" si="40"/>
        <v>56.822209866405998</v>
      </c>
      <c r="AF93" s="38">
        <f t="shared" si="41"/>
        <v>56.822209866405998</v>
      </c>
      <c r="AG93" s="38">
        <f t="shared" si="42"/>
        <v>56.822209866405998</v>
      </c>
    </row>
    <row r="94" spans="1:33" ht="13" customHeight="1" x14ac:dyDescent="0.25">
      <c r="A94" s="40" t="s">
        <v>39</v>
      </c>
      <c r="B94" s="40">
        <v>40</v>
      </c>
      <c r="C94" s="44">
        <f t="shared" si="30"/>
        <v>1</v>
      </c>
      <c r="D94" s="44">
        <v>0</v>
      </c>
      <c r="E94" s="44">
        <v>0.01</v>
      </c>
      <c r="F94" s="193">
        <v>47.956524571999999</v>
      </c>
      <c r="G94" s="40">
        <v>0</v>
      </c>
      <c r="H94" s="35">
        <v>9.2499999999999999E-2</v>
      </c>
      <c r="I94" s="45">
        <v>7.0000000000000007E-2</v>
      </c>
      <c r="J94" s="38">
        <f t="shared" si="44"/>
        <v>314.57006194308542</v>
      </c>
      <c r="K94" s="38">
        <f t="shared" si="44"/>
        <v>312.63558923740999</v>
      </c>
      <c r="L94" s="38">
        <f t="shared" si="44"/>
        <v>307.34313273317809</v>
      </c>
      <c r="M94" s="38">
        <f t="shared" si="44"/>
        <v>391.63990327514779</v>
      </c>
      <c r="N94" s="38">
        <f t="shared" si="44"/>
        <v>47.956524571999999</v>
      </c>
      <c r="O94" s="38">
        <f t="shared" si="44"/>
        <v>47.956524571999999</v>
      </c>
      <c r="P94" s="38">
        <f t="shared" si="44"/>
        <v>47.956524571999999</v>
      </c>
      <c r="Q94" s="38">
        <f t="shared" si="44"/>
        <v>47.956524571999999</v>
      </c>
      <c r="R94" s="38">
        <f t="shared" si="44"/>
        <v>47.956524571999999</v>
      </c>
      <c r="S94" s="38">
        <f t="shared" si="44"/>
        <v>47.956524571999999</v>
      </c>
      <c r="T94" s="38">
        <f t="shared" si="44"/>
        <v>47.956524571999999</v>
      </c>
      <c r="U94" s="38">
        <f t="shared" si="44"/>
        <v>47.956524571999999</v>
      </c>
      <c r="V94" s="38">
        <f t="shared" si="31"/>
        <v>372.72438394867794</v>
      </c>
      <c r="W94" s="38">
        <f t="shared" si="32"/>
        <v>370.43228678267724</v>
      </c>
      <c r="X94" s="38">
        <f t="shared" si="33"/>
        <v>364.16141797230739</v>
      </c>
      <c r="Y94" s="38">
        <f t="shared" si="34"/>
        <v>464.04206673793396</v>
      </c>
      <c r="Z94" s="38">
        <f t="shared" si="35"/>
        <v>56.822209866405998</v>
      </c>
      <c r="AA94" s="38">
        <f t="shared" si="36"/>
        <v>56.822209866405998</v>
      </c>
      <c r="AB94" s="38">
        <f t="shared" si="37"/>
        <v>56.822209866405998</v>
      </c>
      <c r="AC94" s="38">
        <f t="shared" si="38"/>
        <v>56.822209866405998</v>
      </c>
      <c r="AD94" s="38">
        <f t="shared" si="39"/>
        <v>56.822209866405998</v>
      </c>
      <c r="AE94" s="38">
        <f t="shared" si="40"/>
        <v>56.822209866405998</v>
      </c>
      <c r="AF94" s="38">
        <f t="shared" si="41"/>
        <v>56.822209866405998</v>
      </c>
      <c r="AG94" s="38">
        <f t="shared" si="42"/>
        <v>56.822209866405998</v>
      </c>
    </row>
    <row r="95" spans="1:33" ht="13" customHeight="1" x14ac:dyDescent="0.25">
      <c r="A95" s="40" t="s">
        <v>38</v>
      </c>
      <c r="B95" s="40">
        <v>13.6</v>
      </c>
      <c r="C95" s="44">
        <f t="shared" ref="C95:C126" si="45">100%-D95</f>
        <v>0.6</v>
      </c>
      <c r="D95" s="44">
        <v>0.4</v>
      </c>
      <c r="E95" s="44">
        <v>0.01</v>
      </c>
      <c r="F95" s="193">
        <v>24.0242662</v>
      </c>
      <c r="G95" s="40">
        <v>0</v>
      </c>
      <c r="H95" s="35">
        <v>9.2499999999999999E-2</v>
      </c>
      <c r="I95" s="44">
        <v>0.12</v>
      </c>
      <c r="J95" s="38">
        <f t="shared" ref="J95:U104" si="46">(((((J$20*$C95)+(J$21*$D95))*(1+$E95))*($B95/1000))+$F95+($G95*J$5))*(1+J$27)</f>
        <v>126.10863651988011</v>
      </c>
      <c r="K95" s="38">
        <f t="shared" si="46"/>
        <v>121.75462223377248</v>
      </c>
      <c r="L95" s="38">
        <f t="shared" si="46"/>
        <v>117.14775248664529</v>
      </c>
      <c r="M95" s="38">
        <f t="shared" si="46"/>
        <v>135.37866581450893</v>
      </c>
      <c r="N95" s="38">
        <f t="shared" si="46"/>
        <v>37.632456982269815</v>
      </c>
      <c r="O95" s="38">
        <f t="shared" si="46"/>
        <v>37.632456982269815</v>
      </c>
      <c r="P95" s="38">
        <f t="shared" si="46"/>
        <v>37.632456982269815</v>
      </c>
      <c r="Q95" s="38">
        <f t="shared" si="46"/>
        <v>37.632456982269815</v>
      </c>
      <c r="R95" s="38">
        <f t="shared" si="46"/>
        <v>37.632456982269815</v>
      </c>
      <c r="S95" s="38">
        <f t="shared" si="46"/>
        <v>37.632456982269815</v>
      </c>
      <c r="T95" s="38">
        <f t="shared" si="46"/>
        <v>37.632456982269815</v>
      </c>
      <c r="U95" s="38">
        <f t="shared" si="46"/>
        <v>37.632456982269815</v>
      </c>
      <c r="V95" s="38">
        <f t="shared" ref="V95:V126" si="47">(J95/(1-$H95))/(1-$I95)</f>
        <v>157.91214189817194</v>
      </c>
      <c r="W95" s="38">
        <f t="shared" ref="W95:W126" si="48">(K95/(1-$H95))/(1-$I95)</f>
        <v>152.46008293735596</v>
      </c>
      <c r="X95" s="38">
        <f t="shared" ref="X95:X126" si="49">(L95/(1-$H95))/(1-$I95)</f>
        <v>146.69140055928534</v>
      </c>
      <c r="Y95" s="38">
        <f t="shared" ref="Y95:Y126" si="50">(M95/(1-$H95))/(1-$I95)</f>
        <v>169.51999225458167</v>
      </c>
      <c r="Z95" s="38">
        <f t="shared" ref="Z95:Z126" si="51">(N95/(1-$H95))/(1-$I95)</f>
        <v>47.123036541785396</v>
      </c>
      <c r="AA95" s="38">
        <f t="shared" ref="AA95:AA126" si="52">(O95/(1-$H95))/(1-$I95)</f>
        <v>47.123036541785396</v>
      </c>
      <c r="AB95" s="38">
        <f t="shared" ref="AB95:AB126" si="53">(P95/(1-$H95))/(1-$I95)</f>
        <v>47.123036541785396</v>
      </c>
      <c r="AC95" s="38">
        <f t="shared" ref="AC95:AC126" si="54">(Q95/(1-$H95))/(1-$I95)</f>
        <v>47.123036541785396</v>
      </c>
      <c r="AD95" s="38">
        <f t="shared" ref="AD95:AD126" si="55">(R95/(1-$H95))/(1-$I95)</f>
        <v>47.123036541785396</v>
      </c>
      <c r="AE95" s="38">
        <f t="shared" ref="AE95:AE126" si="56">(S95/(1-$H95))/(1-$I95)</f>
        <v>47.123036541785396</v>
      </c>
      <c r="AF95" s="38">
        <f t="shared" ref="AF95:AF126" si="57">(T95/(1-$H95))/(1-$I95)</f>
        <v>47.123036541785396</v>
      </c>
      <c r="AG95" s="38">
        <f t="shared" ref="AG95:AG126" si="58">(U95/(1-$H95))/(1-$I95)</f>
        <v>47.123036541785396</v>
      </c>
    </row>
    <row r="96" spans="1:33" ht="13" customHeight="1" x14ac:dyDescent="0.25">
      <c r="A96" s="40" t="s">
        <v>38</v>
      </c>
      <c r="B96" s="40">
        <v>13.700000000000001</v>
      </c>
      <c r="C96" s="44">
        <f t="shared" si="45"/>
        <v>0</v>
      </c>
      <c r="D96" s="44">
        <v>1</v>
      </c>
      <c r="E96" s="44">
        <v>0.01</v>
      </c>
      <c r="F96" s="193">
        <v>24.0242662</v>
      </c>
      <c r="G96" s="40">
        <v>0</v>
      </c>
      <c r="H96" s="35">
        <v>9.2499999999999999E-2</v>
      </c>
      <c r="I96" s="46">
        <v>0.20499999999999999</v>
      </c>
      <c r="J96" s="38">
        <f t="shared" si="46"/>
        <v>147.61515417011458</v>
      </c>
      <c r="K96" s="38">
        <f t="shared" si="46"/>
        <v>137.70687381297171</v>
      </c>
      <c r="L96" s="38">
        <f t="shared" si="46"/>
        <v>128.78942149154318</v>
      </c>
      <c r="M96" s="38">
        <f t="shared" si="46"/>
        <v>132.6423822348705</v>
      </c>
      <c r="N96" s="38">
        <f t="shared" si="46"/>
        <v>58.294893721525078</v>
      </c>
      <c r="O96" s="38">
        <f t="shared" si="46"/>
        <v>58.294893721525078</v>
      </c>
      <c r="P96" s="38">
        <f t="shared" si="46"/>
        <v>58.294893721525078</v>
      </c>
      <c r="Q96" s="38">
        <f t="shared" si="46"/>
        <v>58.294893721525078</v>
      </c>
      <c r="R96" s="38">
        <f t="shared" si="46"/>
        <v>58.294893721525078</v>
      </c>
      <c r="S96" s="38">
        <f t="shared" si="46"/>
        <v>58.294893721525078</v>
      </c>
      <c r="T96" s="38">
        <f t="shared" si="46"/>
        <v>58.294893721525078</v>
      </c>
      <c r="U96" s="38">
        <f t="shared" si="46"/>
        <v>58.294893721525078</v>
      </c>
      <c r="V96" s="38">
        <f t="shared" si="47"/>
        <v>204.60544265310335</v>
      </c>
      <c r="W96" s="38">
        <f t="shared" si="48"/>
        <v>190.87183854042544</v>
      </c>
      <c r="X96" s="38">
        <f t="shared" si="49"/>
        <v>178.51159483901546</v>
      </c>
      <c r="Y96" s="38">
        <f t="shared" si="50"/>
        <v>183.85208134153959</v>
      </c>
      <c r="Z96" s="38">
        <f t="shared" si="51"/>
        <v>80.801003131174625</v>
      </c>
      <c r="AA96" s="38">
        <f t="shared" si="52"/>
        <v>80.801003131174625</v>
      </c>
      <c r="AB96" s="38">
        <f t="shared" si="53"/>
        <v>80.801003131174625</v>
      </c>
      <c r="AC96" s="38">
        <f t="shared" si="54"/>
        <v>80.801003131174625</v>
      </c>
      <c r="AD96" s="38">
        <f t="shared" si="55"/>
        <v>80.801003131174625</v>
      </c>
      <c r="AE96" s="38">
        <f t="shared" si="56"/>
        <v>80.801003131174625</v>
      </c>
      <c r="AF96" s="38">
        <f t="shared" si="57"/>
        <v>80.801003131174625</v>
      </c>
      <c r="AG96" s="38">
        <f t="shared" si="58"/>
        <v>80.801003131174625</v>
      </c>
    </row>
    <row r="97" spans="1:33" ht="13" customHeight="1" x14ac:dyDescent="0.25">
      <c r="A97" s="40" t="s">
        <v>38</v>
      </c>
      <c r="B97" s="40">
        <v>13.700000000000001</v>
      </c>
      <c r="C97" s="44">
        <f t="shared" si="45"/>
        <v>0.4</v>
      </c>
      <c r="D97" s="44">
        <v>0.6</v>
      </c>
      <c r="E97" s="44">
        <v>0.01</v>
      </c>
      <c r="F97" s="193">
        <v>24.0242662</v>
      </c>
      <c r="G97" s="40">
        <v>0</v>
      </c>
      <c r="H97" s="35">
        <v>9.2499999999999999E-2</v>
      </c>
      <c r="I97" s="46">
        <v>0.20499999999999999</v>
      </c>
      <c r="J97" s="38">
        <f t="shared" si="46"/>
        <v>133.77759490159738</v>
      </c>
      <c r="K97" s="38">
        <f t="shared" si="46"/>
        <v>127.55081538452652</v>
      </c>
      <c r="L97" s="38">
        <f t="shared" si="46"/>
        <v>121.48450208446002</v>
      </c>
      <c r="M97" s="38">
        <f t="shared" si="46"/>
        <v>135.01222991134924</v>
      </c>
      <c r="N97" s="38">
        <f t="shared" si="46"/>
        <v>44.586642712915044</v>
      </c>
      <c r="O97" s="38">
        <f t="shared" si="46"/>
        <v>44.586642712915044</v>
      </c>
      <c r="P97" s="38">
        <f t="shared" si="46"/>
        <v>44.586642712915044</v>
      </c>
      <c r="Q97" s="38">
        <f t="shared" si="46"/>
        <v>44.586642712915044</v>
      </c>
      <c r="R97" s="38">
        <f t="shared" si="46"/>
        <v>44.586642712915044</v>
      </c>
      <c r="S97" s="38">
        <f t="shared" si="46"/>
        <v>44.586642712915044</v>
      </c>
      <c r="T97" s="38">
        <f t="shared" si="46"/>
        <v>44.586642712915044</v>
      </c>
      <c r="U97" s="38">
        <f t="shared" si="46"/>
        <v>44.586642712915044</v>
      </c>
      <c r="V97" s="38">
        <f t="shared" si="47"/>
        <v>185.42556945315573</v>
      </c>
      <c r="W97" s="38">
        <f t="shared" si="48"/>
        <v>176.7947958272627</v>
      </c>
      <c r="X97" s="38">
        <f t="shared" si="49"/>
        <v>168.38644016072911</v>
      </c>
      <c r="Y97" s="38">
        <f t="shared" si="50"/>
        <v>187.13686423251278</v>
      </c>
      <c r="Z97" s="38">
        <f t="shared" si="51"/>
        <v>61.800360674206971</v>
      </c>
      <c r="AA97" s="38">
        <f t="shared" si="52"/>
        <v>61.800360674206971</v>
      </c>
      <c r="AB97" s="38">
        <f t="shared" si="53"/>
        <v>61.800360674206971</v>
      </c>
      <c r="AC97" s="38">
        <f t="shared" si="54"/>
        <v>61.800360674206971</v>
      </c>
      <c r="AD97" s="38">
        <f t="shared" si="55"/>
        <v>61.800360674206971</v>
      </c>
      <c r="AE97" s="38">
        <f t="shared" si="56"/>
        <v>61.800360674206971</v>
      </c>
      <c r="AF97" s="38">
        <f t="shared" si="57"/>
        <v>61.800360674206971</v>
      </c>
      <c r="AG97" s="38">
        <f t="shared" si="58"/>
        <v>61.800360674206971</v>
      </c>
    </row>
    <row r="98" spans="1:33" ht="13" customHeight="1" x14ac:dyDescent="0.25">
      <c r="A98" s="40" t="s">
        <v>38</v>
      </c>
      <c r="B98" s="40">
        <v>13.700000000000001</v>
      </c>
      <c r="C98" s="44">
        <f t="shared" si="45"/>
        <v>0.6</v>
      </c>
      <c r="D98" s="44">
        <v>0.4</v>
      </c>
      <c r="E98" s="44">
        <v>0.01</v>
      </c>
      <c r="F98" s="193">
        <v>24.0242662</v>
      </c>
      <c r="G98" s="40">
        <v>0</v>
      </c>
      <c r="H98" s="35">
        <v>9.2499999999999999E-2</v>
      </c>
      <c r="I98" s="46">
        <v>0.20499999999999999</v>
      </c>
      <c r="J98" s="38">
        <f t="shared" si="46"/>
        <v>126.8588152673388</v>
      </c>
      <c r="K98" s="38">
        <f t="shared" si="46"/>
        <v>122.47278617030389</v>
      </c>
      <c r="L98" s="38">
        <f t="shared" si="46"/>
        <v>117.83204238091842</v>
      </c>
      <c r="M98" s="38">
        <f t="shared" si="46"/>
        <v>136.19715374958864</v>
      </c>
      <c r="N98" s="38">
        <f t="shared" si="46"/>
        <v>37.732517208610034</v>
      </c>
      <c r="O98" s="38">
        <f t="shared" si="46"/>
        <v>37.732517208610034</v>
      </c>
      <c r="P98" s="38">
        <f t="shared" si="46"/>
        <v>37.732517208610034</v>
      </c>
      <c r="Q98" s="38">
        <f t="shared" si="46"/>
        <v>37.732517208610034</v>
      </c>
      <c r="R98" s="38">
        <f t="shared" si="46"/>
        <v>37.732517208610034</v>
      </c>
      <c r="S98" s="38">
        <f t="shared" si="46"/>
        <v>37.732517208610034</v>
      </c>
      <c r="T98" s="38">
        <f t="shared" si="46"/>
        <v>37.732517208610034</v>
      </c>
      <c r="U98" s="38">
        <f t="shared" si="46"/>
        <v>37.732517208610034</v>
      </c>
      <c r="V98" s="38">
        <f t="shared" si="47"/>
        <v>175.83563285318198</v>
      </c>
      <c r="W98" s="38">
        <f t="shared" si="48"/>
        <v>169.75627447068126</v>
      </c>
      <c r="X98" s="38">
        <f t="shared" si="49"/>
        <v>163.32386282158592</v>
      </c>
      <c r="Y98" s="38">
        <f t="shared" si="50"/>
        <v>188.77925567799937</v>
      </c>
      <c r="Z98" s="38">
        <f t="shared" si="51"/>
        <v>52.300039445723144</v>
      </c>
      <c r="AA98" s="38">
        <f t="shared" si="52"/>
        <v>52.300039445723144</v>
      </c>
      <c r="AB98" s="38">
        <f t="shared" si="53"/>
        <v>52.300039445723144</v>
      </c>
      <c r="AC98" s="38">
        <f t="shared" si="54"/>
        <v>52.300039445723144</v>
      </c>
      <c r="AD98" s="38">
        <f t="shared" si="55"/>
        <v>52.300039445723144</v>
      </c>
      <c r="AE98" s="38">
        <f t="shared" si="56"/>
        <v>52.300039445723144</v>
      </c>
      <c r="AF98" s="38">
        <f t="shared" si="57"/>
        <v>52.300039445723144</v>
      </c>
      <c r="AG98" s="38">
        <f t="shared" si="58"/>
        <v>52.300039445723144</v>
      </c>
    </row>
    <row r="99" spans="1:33" ht="13" customHeight="1" x14ac:dyDescent="0.25">
      <c r="A99" s="40" t="s">
        <v>38</v>
      </c>
      <c r="B99" s="40">
        <v>13.700000000000001</v>
      </c>
      <c r="C99" s="44">
        <f t="shared" si="45"/>
        <v>1</v>
      </c>
      <c r="D99" s="44">
        <v>0</v>
      </c>
      <c r="E99" s="44">
        <v>0.01</v>
      </c>
      <c r="F99" s="193">
        <v>24.0242662</v>
      </c>
      <c r="G99" s="40">
        <v>0</v>
      </c>
      <c r="H99" s="35">
        <v>9.2499999999999999E-2</v>
      </c>
      <c r="I99" s="46">
        <v>0.20499999999999999</v>
      </c>
      <c r="J99" s="38">
        <f t="shared" si="46"/>
        <v>113.02125599882162</v>
      </c>
      <c r="K99" s="38">
        <f t="shared" si="46"/>
        <v>112.31672774185868</v>
      </c>
      <c r="L99" s="38">
        <f t="shared" si="46"/>
        <v>110.52712297383526</v>
      </c>
      <c r="M99" s="38">
        <f t="shared" si="46"/>
        <v>138.56700142606741</v>
      </c>
      <c r="N99" s="38">
        <f t="shared" si="46"/>
        <v>24.0242662</v>
      </c>
      <c r="O99" s="38">
        <f t="shared" si="46"/>
        <v>24.0242662</v>
      </c>
      <c r="P99" s="38">
        <f t="shared" si="46"/>
        <v>24.0242662</v>
      </c>
      <c r="Q99" s="38">
        <f t="shared" si="46"/>
        <v>24.0242662</v>
      </c>
      <c r="R99" s="38">
        <f t="shared" si="46"/>
        <v>24.0242662</v>
      </c>
      <c r="S99" s="38">
        <f t="shared" si="46"/>
        <v>24.0242662</v>
      </c>
      <c r="T99" s="38">
        <f t="shared" si="46"/>
        <v>24.0242662</v>
      </c>
      <c r="U99" s="38">
        <f t="shared" si="46"/>
        <v>24.0242662</v>
      </c>
      <c r="V99" s="38">
        <f t="shared" si="47"/>
        <v>156.65575965323438</v>
      </c>
      <c r="W99" s="38">
        <f t="shared" si="48"/>
        <v>155.67923175751849</v>
      </c>
      <c r="X99" s="38">
        <f t="shared" si="49"/>
        <v>153.19870814329957</v>
      </c>
      <c r="Y99" s="38">
        <f t="shared" si="50"/>
        <v>192.06403856897262</v>
      </c>
      <c r="Z99" s="38">
        <f t="shared" si="51"/>
        <v>33.299396988755483</v>
      </c>
      <c r="AA99" s="38">
        <f t="shared" si="52"/>
        <v>33.299396988755483</v>
      </c>
      <c r="AB99" s="38">
        <f t="shared" si="53"/>
        <v>33.299396988755483</v>
      </c>
      <c r="AC99" s="38">
        <f t="shared" si="54"/>
        <v>33.299396988755483</v>
      </c>
      <c r="AD99" s="38">
        <f t="shared" si="55"/>
        <v>33.299396988755483</v>
      </c>
      <c r="AE99" s="38">
        <f t="shared" si="56"/>
        <v>33.299396988755483</v>
      </c>
      <c r="AF99" s="38">
        <f t="shared" si="57"/>
        <v>33.299396988755483</v>
      </c>
      <c r="AG99" s="38">
        <f t="shared" si="58"/>
        <v>33.299396988755483</v>
      </c>
    </row>
    <row r="100" spans="1:33" ht="13" customHeight="1" x14ac:dyDescent="0.25">
      <c r="A100" s="40" t="s">
        <v>38</v>
      </c>
      <c r="B100" s="40">
        <v>13.700000000000001</v>
      </c>
      <c r="C100" s="44">
        <f t="shared" si="45"/>
        <v>0</v>
      </c>
      <c r="D100" s="44">
        <v>1</v>
      </c>
      <c r="E100" s="44">
        <v>0.01</v>
      </c>
      <c r="F100" s="193">
        <v>24.0242662</v>
      </c>
      <c r="G100" s="40">
        <v>0</v>
      </c>
      <c r="H100" s="35">
        <v>9.2499999999999999E-2</v>
      </c>
      <c r="I100" s="45">
        <v>0.12</v>
      </c>
      <c r="J100" s="38">
        <f t="shared" si="46"/>
        <v>147.61515417011458</v>
      </c>
      <c r="K100" s="38">
        <f t="shared" si="46"/>
        <v>137.70687381297171</v>
      </c>
      <c r="L100" s="38">
        <f t="shared" si="46"/>
        <v>128.78942149154318</v>
      </c>
      <c r="M100" s="38">
        <f t="shared" si="46"/>
        <v>132.6423822348705</v>
      </c>
      <c r="N100" s="38">
        <f t="shared" si="46"/>
        <v>58.294893721525078</v>
      </c>
      <c r="O100" s="38">
        <f t="shared" si="46"/>
        <v>58.294893721525078</v>
      </c>
      <c r="P100" s="38">
        <f t="shared" si="46"/>
        <v>58.294893721525078</v>
      </c>
      <c r="Q100" s="38">
        <f t="shared" si="46"/>
        <v>58.294893721525078</v>
      </c>
      <c r="R100" s="38">
        <f t="shared" si="46"/>
        <v>58.294893721525078</v>
      </c>
      <c r="S100" s="38">
        <f t="shared" si="46"/>
        <v>58.294893721525078</v>
      </c>
      <c r="T100" s="38">
        <f t="shared" si="46"/>
        <v>58.294893721525078</v>
      </c>
      <c r="U100" s="38">
        <f t="shared" si="46"/>
        <v>58.294893721525078</v>
      </c>
      <c r="V100" s="38">
        <f t="shared" si="47"/>
        <v>184.84241694229223</v>
      </c>
      <c r="W100" s="38">
        <f t="shared" si="48"/>
        <v>172.43535413595254</v>
      </c>
      <c r="X100" s="38">
        <f t="shared" si="49"/>
        <v>161.26899761024691</v>
      </c>
      <c r="Y100" s="38">
        <f t="shared" si="50"/>
        <v>166.09364166650451</v>
      </c>
      <c r="Z100" s="38">
        <f t="shared" si="51"/>
        <v>72.996360783277083</v>
      </c>
      <c r="AA100" s="38">
        <f t="shared" si="52"/>
        <v>72.996360783277083</v>
      </c>
      <c r="AB100" s="38">
        <f t="shared" si="53"/>
        <v>72.996360783277083</v>
      </c>
      <c r="AC100" s="38">
        <f t="shared" si="54"/>
        <v>72.996360783277083</v>
      </c>
      <c r="AD100" s="38">
        <f t="shared" si="55"/>
        <v>72.996360783277083</v>
      </c>
      <c r="AE100" s="38">
        <f t="shared" si="56"/>
        <v>72.996360783277083</v>
      </c>
      <c r="AF100" s="38">
        <f t="shared" si="57"/>
        <v>72.996360783277083</v>
      </c>
      <c r="AG100" s="38">
        <f t="shared" si="58"/>
        <v>72.996360783277083</v>
      </c>
    </row>
    <row r="101" spans="1:33" ht="13" customHeight="1" x14ac:dyDescent="0.25">
      <c r="A101" s="40" t="s">
        <v>38</v>
      </c>
      <c r="B101" s="40">
        <v>13.700000000000001</v>
      </c>
      <c r="C101" s="44">
        <f t="shared" si="45"/>
        <v>0.4</v>
      </c>
      <c r="D101" s="44">
        <v>0.6</v>
      </c>
      <c r="E101" s="44">
        <v>0.01</v>
      </c>
      <c r="F101" s="193">
        <v>24.0242662</v>
      </c>
      <c r="G101" s="40">
        <v>0</v>
      </c>
      <c r="H101" s="35">
        <v>9.2499999999999999E-2</v>
      </c>
      <c r="I101" s="45">
        <v>0.12</v>
      </c>
      <c r="J101" s="38">
        <f t="shared" si="46"/>
        <v>133.77759490159738</v>
      </c>
      <c r="K101" s="38">
        <f t="shared" si="46"/>
        <v>127.55081538452652</v>
      </c>
      <c r="L101" s="38">
        <f t="shared" si="46"/>
        <v>121.48450208446002</v>
      </c>
      <c r="M101" s="38">
        <f t="shared" si="46"/>
        <v>135.01222991134924</v>
      </c>
      <c r="N101" s="38">
        <f t="shared" si="46"/>
        <v>44.586642712915044</v>
      </c>
      <c r="O101" s="38">
        <f t="shared" si="46"/>
        <v>44.586642712915044</v>
      </c>
      <c r="P101" s="38">
        <f t="shared" si="46"/>
        <v>44.586642712915044</v>
      </c>
      <c r="Q101" s="38">
        <f t="shared" si="46"/>
        <v>44.586642712915044</v>
      </c>
      <c r="R101" s="38">
        <f t="shared" si="46"/>
        <v>44.586642712915044</v>
      </c>
      <c r="S101" s="38">
        <f t="shared" si="46"/>
        <v>44.586642712915044</v>
      </c>
      <c r="T101" s="38">
        <f t="shared" si="46"/>
        <v>44.586642712915044</v>
      </c>
      <c r="U101" s="38">
        <f t="shared" si="46"/>
        <v>44.586642712915044</v>
      </c>
      <c r="V101" s="38">
        <f t="shared" si="47"/>
        <v>167.51514513097592</v>
      </c>
      <c r="W101" s="38">
        <f t="shared" si="48"/>
        <v>159.71802577576574</v>
      </c>
      <c r="X101" s="38">
        <f t="shared" si="49"/>
        <v>152.12184082702231</v>
      </c>
      <c r="Y101" s="38">
        <f t="shared" si="50"/>
        <v>169.06114439187235</v>
      </c>
      <c r="Z101" s="38">
        <f t="shared" si="51"/>
        <v>55.831007654539256</v>
      </c>
      <c r="AA101" s="38">
        <f t="shared" si="52"/>
        <v>55.831007654539256</v>
      </c>
      <c r="AB101" s="38">
        <f t="shared" si="53"/>
        <v>55.831007654539256</v>
      </c>
      <c r="AC101" s="38">
        <f t="shared" si="54"/>
        <v>55.831007654539256</v>
      </c>
      <c r="AD101" s="38">
        <f t="shared" si="55"/>
        <v>55.831007654539256</v>
      </c>
      <c r="AE101" s="38">
        <f t="shared" si="56"/>
        <v>55.831007654539256</v>
      </c>
      <c r="AF101" s="38">
        <f t="shared" si="57"/>
        <v>55.831007654539256</v>
      </c>
      <c r="AG101" s="38">
        <f t="shared" si="58"/>
        <v>55.831007654539256</v>
      </c>
    </row>
    <row r="102" spans="1:33" ht="13" customHeight="1" x14ac:dyDescent="0.25">
      <c r="A102" s="40" t="s">
        <v>38</v>
      </c>
      <c r="B102" s="40">
        <v>13.700000000000001</v>
      </c>
      <c r="C102" s="44">
        <f t="shared" si="45"/>
        <v>0.6</v>
      </c>
      <c r="D102" s="44">
        <v>0.4</v>
      </c>
      <c r="E102" s="44">
        <v>0.01</v>
      </c>
      <c r="F102" s="193">
        <v>24.0242662</v>
      </c>
      <c r="G102" s="40">
        <v>0</v>
      </c>
      <c r="H102" s="35">
        <v>9.2499999999999999E-2</v>
      </c>
      <c r="I102" s="45">
        <v>0.12</v>
      </c>
      <c r="J102" s="38">
        <f t="shared" si="46"/>
        <v>126.8588152673388</v>
      </c>
      <c r="K102" s="38">
        <f t="shared" si="46"/>
        <v>122.47278617030389</v>
      </c>
      <c r="L102" s="38">
        <f t="shared" si="46"/>
        <v>117.83204238091842</v>
      </c>
      <c r="M102" s="38">
        <f t="shared" si="46"/>
        <v>136.19715374958864</v>
      </c>
      <c r="N102" s="38">
        <f t="shared" si="46"/>
        <v>37.732517208610034</v>
      </c>
      <c r="O102" s="38">
        <f t="shared" si="46"/>
        <v>37.732517208610034</v>
      </c>
      <c r="P102" s="38">
        <f t="shared" si="46"/>
        <v>37.732517208610034</v>
      </c>
      <c r="Q102" s="38">
        <f t="shared" si="46"/>
        <v>37.732517208610034</v>
      </c>
      <c r="R102" s="38">
        <f t="shared" si="46"/>
        <v>37.732517208610034</v>
      </c>
      <c r="S102" s="38">
        <f t="shared" si="46"/>
        <v>37.732517208610034</v>
      </c>
      <c r="T102" s="38">
        <f t="shared" si="46"/>
        <v>37.732517208610034</v>
      </c>
      <c r="U102" s="38">
        <f t="shared" si="46"/>
        <v>37.732517208610034</v>
      </c>
      <c r="V102" s="38">
        <f t="shared" si="47"/>
        <v>158.85150922531781</v>
      </c>
      <c r="W102" s="38">
        <f t="shared" si="48"/>
        <v>153.35936159567228</v>
      </c>
      <c r="X102" s="38">
        <f t="shared" si="49"/>
        <v>147.54826243541001</v>
      </c>
      <c r="Y102" s="38">
        <f t="shared" si="50"/>
        <v>170.54489575455628</v>
      </c>
      <c r="Z102" s="38">
        <f t="shared" si="51"/>
        <v>47.248331090170346</v>
      </c>
      <c r="AA102" s="38">
        <f t="shared" si="52"/>
        <v>47.248331090170346</v>
      </c>
      <c r="AB102" s="38">
        <f t="shared" si="53"/>
        <v>47.248331090170346</v>
      </c>
      <c r="AC102" s="38">
        <f t="shared" si="54"/>
        <v>47.248331090170346</v>
      </c>
      <c r="AD102" s="38">
        <f t="shared" si="55"/>
        <v>47.248331090170346</v>
      </c>
      <c r="AE102" s="38">
        <f t="shared" si="56"/>
        <v>47.248331090170346</v>
      </c>
      <c r="AF102" s="38">
        <f t="shared" si="57"/>
        <v>47.248331090170346</v>
      </c>
      <c r="AG102" s="38">
        <f t="shared" si="58"/>
        <v>47.248331090170346</v>
      </c>
    </row>
    <row r="103" spans="1:33" ht="13" customHeight="1" x14ac:dyDescent="0.25">
      <c r="A103" s="40" t="s">
        <v>38</v>
      </c>
      <c r="B103" s="40">
        <v>13.700000000000001</v>
      </c>
      <c r="C103" s="44">
        <f t="shared" si="45"/>
        <v>1</v>
      </c>
      <c r="D103" s="44">
        <v>0</v>
      </c>
      <c r="E103" s="44">
        <v>0.01</v>
      </c>
      <c r="F103" s="193">
        <v>24.0242662</v>
      </c>
      <c r="G103" s="40">
        <v>0</v>
      </c>
      <c r="H103" s="35">
        <v>9.2499999999999999E-2</v>
      </c>
      <c r="I103" s="45">
        <v>0.12</v>
      </c>
      <c r="J103" s="38">
        <f t="shared" si="46"/>
        <v>113.02125599882162</v>
      </c>
      <c r="K103" s="38">
        <f t="shared" si="46"/>
        <v>112.31672774185868</v>
      </c>
      <c r="L103" s="38">
        <f t="shared" si="46"/>
        <v>110.52712297383526</v>
      </c>
      <c r="M103" s="38">
        <f t="shared" si="46"/>
        <v>138.56700142606741</v>
      </c>
      <c r="N103" s="38">
        <f t="shared" si="46"/>
        <v>24.0242662</v>
      </c>
      <c r="O103" s="38">
        <f t="shared" si="46"/>
        <v>24.0242662</v>
      </c>
      <c r="P103" s="38">
        <f t="shared" si="46"/>
        <v>24.0242662</v>
      </c>
      <c r="Q103" s="38">
        <f t="shared" si="46"/>
        <v>24.0242662</v>
      </c>
      <c r="R103" s="38">
        <f t="shared" si="46"/>
        <v>24.0242662</v>
      </c>
      <c r="S103" s="38">
        <f t="shared" si="46"/>
        <v>24.0242662</v>
      </c>
      <c r="T103" s="38">
        <f t="shared" si="46"/>
        <v>24.0242662</v>
      </c>
      <c r="U103" s="38">
        <f t="shared" si="46"/>
        <v>24.0242662</v>
      </c>
      <c r="V103" s="38">
        <f t="shared" si="47"/>
        <v>141.52423741400153</v>
      </c>
      <c r="W103" s="38">
        <f t="shared" si="48"/>
        <v>140.64203323548546</v>
      </c>
      <c r="X103" s="38">
        <f t="shared" si="49"/>
        <v>138.40110565218541</v>
      </c>
      <c r="Y103" s="38">
        <f t="shared" si="50"/>
        <v>173.51239847992414</v>
      </c>
      <c r="Z103" s="38">
        <f t="shared" si="51"/>
        <v>30.082977961432508</v>
      </c>
      <c r="AA103" s="38">
        <f t="shared" si="52"/>
        <v>30.082977961432508</v>
      </c>
      <c r="AB103" s="38">
        <f t="shared" si="53"/>
        <v>30.082977961432508</v>
      </c>
      <c r="AC103" s="38">
        <f t="shared" si="54"/>
        <v>30.082977961432508</v>
      </c>
      <c r="AD103" s="38">
        <f t="shared" si="55"/>
        <v>30.082977961432508</v>
      </c>
      <c r="AE103" s="38">
        <f t="shared" si="56"/>
        <v>30.082977961432508</v>
      </c>
      <c r="AF103" s="38">
        <f t="shared" si="57"/>
        <v>30.082977961432508</v>
      </c>
      <c r="AG103" s="38">
        <f t="shared" si="58"/>
        <v>30.082977961432508</v>
      </c>
    </row>
    <row r="104" spans="1:33" ht="13" customHeight="1" x14ac:dyDescent="0.25">
      <c r="A104" s="40" t="s">
        <v>38</v>
      </c>
      <c r="B104" s="40">
        <v>28.7</v>
      </c>
      <c r="C104" s="44">
        <f t="shared" si="45"/>
        <v>0</v>
      </c>
      <c r="D104" s="44">
        <v>1</v>
      </c>
      <c r="E104" s="44">
        <v>0.01</v>
      </c>
      <c r="F104" s="193">
        <v>36.291976599999998</v>
      </c>
      <c r="G104" s="40">
        <v>0</v>
      </c>
      <c r="H104" s="35">
        <v>9.2499999999999999E-2</v>
      </c>
      <c r="I104" s="46">
        <v>0.20499999999999999</v>
      </c>
      <c r="J104" s="38">
        <f t="shared" si="46"/>
        <v>295.16626447160502</v>
      </c>
      <c r="K104" s="38">
        <f t="shared" si="46"/>
        <v>274.40950197160504</v>
      </c>
      <c r="L104" s="38">
        <f t="shared" si="46"/>
        <v>255.72841572160505</v>
      </c>
      <c r="M104" s="38">
        <f t="shared" si="46"/>
        <v>263.81164348077243</v>
      </c>
      <c r="N104" s="38">
        <f t="shared" si="46"/>
        <v>108.08518899910727</v>
      </c>
      <c r="O104" s="38">
        <f t="shared" si="46"/>
        <v>108.08518899910727</v>
      </c>
      <c r="P104" s="38">
        <f t="shared" si="46"/>
        <v>108.08518899910727</v>
      </c>
      <c r="Q104" s="38">
        <f t="shared" si="46"/>
        <v>108.08518899910727</v>
      </c>
      <c r="R104" s="38">
        <f t="shared" si="46"/>
        <v>108.08518899910727</v>
      </c>
      <c r="S104" s="38">
        <f t="shared" si="46"/>
        <v>108.08518899910727</v>
      </c>
      <c r="T104" s="38">
        <f t="shared" si="46"/>
        <v>108.08518899910727</v>
      </c>
      <c r="U104" s="38">
        <f t="shared" si="46"/>
        <v>108.08518899910727</v>
      </c>
      <c r="V104" s="38">
        <f t="shared" si="47"/>
        <v>409.12211580172919</v>
      </c>
      <c r="W104" s="38">
        <f t="shared" si="48"/>
        <v>380.35171886495141</v>
      </c>
      <c r="X104" s="38">
        <f t="shared" si="49"/>
        <v>354.45836162185145</v>
      </c>
      <c r="Y104" s="38">
        <f t="shared" si="50"/>
        <v>365.66230882516061</v>
      </c>
      <c r="Z104" s="38">
        <f t="shared" si="51"/>
        <v>149.81400834985502</v>
      </c>
      <c r="AA104" s="38">
        <f t="shared" si="52"/>
        <v>149.81400834985502</v>
      </c>
      <c r="AB104" s="38">
        <f t="shared" si="53"/>
        <v>149.81400834985502</v>
      </c>
      <c r="AC104" s="38">
        <f t="shared" si="54"/>
        <v>149.81400834985502</v>
      </c>
      <c r="AD104" s="38">
        <f t="shared" si="55"/>
        <v>149.81400834985502</v>
      </c>
      <c r="AE104" s="38">
        <f t="shared" si="56"/>
        <v>149.81400834985502</v>
      </c>
      <c r="AF104" s="38">
        <f t="shared" si="57"/>
        <v>149.81400834985502</v>
      </c>
      <c r="AG104" s="38">
        <f t="shared" si="58"/>
        <v>149.81400834985502</v>
      </c>
    </row>
    <row r="105" spans="1:33" ht="13" customHeight="1" x14ac:dyDescent="0.25">
      <c r="A105" s="40" t="s">
        <v>38</v>
      </c>
      <c r="B105" s="40">
        <v>28.7</v>
      </c>
      <c r="C105" s="44">
        <f t="shared" si="45"/>
        <v>0.4</v>
      </c>
      <c r="D105" s="44">
        <v>0.6</v>
      </c>
      <c r="E105" s="44">
        <v>0.01</v>
      </c>
      <c r="F105" s="193">
        <v>36.291976599999998</v>
      </c>
      <c r="G105" s="40">
        <v>0</v>
      </c>
      <c r="H105" s="35">
        <v>9.2499999999999999E-2</v>
      </c>
      <c r="I105" s="46">
        <v>0.20499999999999999</v>
      </c>
      <c r="J105" s="38">
        <f t="shared" ref="J105:U111" si="59">(((((J$20*$C105)+(J$21*$D105))*(1+$E105))*($B105/1000))+$F105+($G105*J$5))*(1+J$27)</f>
        <v>266.1780928652953</v>
      </c>
      <c r="K105" s="38">
        <f t="shared" si="59"/>
        <v>253.13367154121249</v>
      </c>
      <c r="L105" s="38">
        <f t="shared" si="59"/>
        <v>240.42540937246002</v>
      </c>
      <c r="M105" s="38">
        <f t="shared" si="59"/>
        <v>268.77621489062216</v>
      </c>
      <c r="N105" s="38">
        <f t="shared" si="59"/>
        <v>79.367904039464364</v>
      </c>
      <c r="O105" s="38">
        <f t="shared" si="59"/>
        <v>79.367904039464364</v>
      </c>
      <c r="P105" s="38">
        <f t="shared" si="59"/>
        <v>79.367904039464364</v>
      </c>
      <c r="Q105" s="38">
        <f t="shared" si="59"/>
        <v>79.367904039464364</v>
      </c>
      <c r="R105" s="38">
        <f t="shared" si="59"/>
        <v>79.367904039464364</v>
      </c>
      <c r="S105" s="38">
        <f t="shared" si="59"/>
        <v>79.367904039464364</v>
      </c>
      <c r="T105" s="38">
        <f t="shared" si="59"/>
        <v>79.367904039464364</v>
      </c>
      <c r="U105" s="38">
        <f t="shared" si="59"/>
        <v>79.367904039464364</v>
      </c>
      <c r="V105" s="38">
        <f t="shared" si="47"/>
        <v>368.94238143395575</v>
      </c>
      <c r="W105" s="38">
        <f t="shared" si="48"/>
        <v>350.86185566292426</v>
      </c>
      <c r="X105" s="38">
        <f t="shared" si="49"/>
        <v>333.24727116441954</v>
      </c>
      <c r="Y105" s="38">
        <f t="shared" si="50"/>
        <v>372.54356933398776</v>
      </c>
      <c r="Z105" s="38">
        <f t="shared" si="51"/>
        <v>110.00974276482056</v>
      </c>
      <c r="AA105" s="38">
        <f t="shared" si="52"/>
        <v>110.00974276482056</v>
      </c>
      <c r="AB105" s="38">
        <f t="shared" si="53"/>
        <v>110.00974276482056</v>
      </c>
      <c r="AC105" s="38">
        <f t="shared" si="54"/>
        <v>110.00974276482056</v>
      </c>
      <c r="AD105" s="38">
        <f t="shared" si="55"/>
        <v>110.00974276482056</v>
      </c>
      <c r="AE105" s="38">
        <f t="shared" si="56"/>
        <v>110.00974276482056</v>
      </c>
      <c r="AF105" s="38">
        <f t="shared" si="57"/>
        <v>110.00974276482056</v>
      </c>
      <c r="AG105" s="38">
        <f t="shared" si="58"/>
        <v>110.00974276482056</v>
      </c>
    </row>
    <row r="106" spans="1:33" ht="13" customHeight="1" x14ac:dyDescent="0.25">
      <c r="A106" s="40" t="s">
        <v>38</v>
      </c>
      <c r="B106" s="40">
        <v>28.7</v>
      </c>
      <c r="C106" s="44">
        <f t="shared" si="45"/>
        <v>0.6</v>
      </c>
      <c r="D106" s="44">
        <v>0.4</v>
      </c>
      <c r="E106" s="44">
        <v>0.01</v>
      </c>
      <c r="F106" s="193">
        <v>36.291976599999998</v>
      </c>
      <c r="G106" s="40">
        <v>0</v>
      </c>
      <c r="H106" s="35">
        <v>9.2499999999999999E-2</v>
      </c>
      <c r="I106" s="46">
        <v>0.20499999999999999</v>
      </c>
      <c r="J106" s="38">
        <f t="shared" si="59"/>
        <v>251.68400706214041</v>
      </c>
      <c r="K106" s="38">
        <f t="shared" si="59"/>
        <v>242.49575632601619</v>
      </c>
      <c r="L106" s="38">
        <f t="shared" si="59"/>
        <v>232.77390619788753</v>
      </c>
      <c r="M106" s="38">
        <f t="shared" si="59"/>
        <v>271.25850059554705</v>
      </c>
      <c r="N106" s="38">
        <f t="shared" si="59"/>
        <v>65.009261559642908</v>
      </c>
      <c r="O106" s="38">
        <f t="shared" si="59"/>
        <v>65.009261559642908</v>
      </c>
      <c r="P106" s="38">
        <f t="shared" si="59"/>
        <v>65.009261559642908</v>
      </c>
      <c r="Q106" s="38">
        <f t="shared" si="59"/>
        <v>65.009261559642908</v>
      </c>
      <c r="R106" s="38">
        <f t="shared" si="59"/>
        <v>65.009261559642908</v>
      </c>
      <c r="S106" s="38">
        <f t="shared" si="59"/>
        <v>65.009261559642908</v>
      </c>
      <c r="T106" s="38">
        <f t="shared" si="59"/>
        <v>65.009261559642908</v>
      </c>
      <c r="U106" s="38">
        <f t="shared" si="59"/>
        <v>65.009261559642908</v>
      </c>
      <c r="V106" s="38">
        <f t="shared" si="47"/>
        <v>348.85251425006902</v>
      </c>
      <c r="W106" s="38">
        <f t="shared" si="48"/>
        <v>336.11692406191059</v>
      </c>
      <c r="X106" s="38">
        <f t="shared" si="49"/>
        <v>322.64172593570356</v>
      </c>
      <c r="Y106" s="38">
        <f t="shared" si="50"/>
        <v>375.9841995884014</v>
      </c>
      <c r="Z106" s="38">
        <f t="shared" si="51"/>
        <v>90.107609972303365</v>
      </c>
      <c r="AA106" s="38">
        <f t="shared" si="52"/>
        <v>90.107609972303365</v>
      </c>
      <c r="AB106" s="38">
        <f t="shared" si="53"/>
        <v>90.107609972303365</v>
      </c>
      <c r="AC106" s="38">
        <f t="shared" si="54"/>
        <v>90.107609972303365</v>
      </c>
      <c r="AD106" s="38">
        <f t="shared" si="55"/>
        <v>90.107609972303365</v>
      </c>
      <c r="AE106" s="38">
        <f t="shared" si="56"/>
        <v>90.107609972303365</v>
      </c>
      <c r="AF106" s="38">
        <f t="shared" si="57"/>
        <v>90.107609972303365</v>
      </c>
      <c r="AG106" s="38">
        <f t="shared" si="58"/>
        <v>90.107609972303365</v>
      </c>
    </row>
    <row r="107" spans="1:33" ht="13" customHeight="1" x14ac:dyDescent="0.25">
      <c r="A107" s="40" t="s">
        <v>38</v>
      </c>
      <c r="B107" s="40">
        <v>28.7</v>
      </c>
      <c r="C107" s="44">
        <f t="shared" si="45"/>
        <v>1</v>
      </c>
      <c r="D107" s="44">
        <v>0</v>
      </c>
      <c r="E107" s="44">
        <v>0.01</v>
      </c>
      <c r="F107" s="193">
        <v>36.291976599999998</v>
      </c>
      <c r="G107" s="40">
        <v>0</v>
      </c>
      <c r="H107" s="35">
        <v>9.2499999999999999E-2</v>
      </c>
      <c r="I107" s="46">
        <v>0.20499999999999999</v>
      </c>
      <c r="J107" s="38">
        <f t="shared" si="59"/>
        <v>222.69583545583066</v>
      </c>
      <c r="K107" s="38">
        <f t="shared" si="59"/>
        <v>221.21992589562367</v>
      </c>
      <c r="L107" s="38">
        <f t="shared" si="59"/>
        <v>217.4708998487425</v>
      </c>
      <c r="M107" s="38">
        <f t="shared" si="59"/>
        <v>276.22307200539672</v>
      </c>
      <c r="N107" s="38">
        <f t="shared" si="59"/>
        <v>36.291976599999998</v>
      </c>
      <c r="O107" s="38">
        <f t="shared" si="59"/>
        <v>36.291976599999998</v>
      </c>
      <c r="P107" s="38">
        <f t="shared" si="59"/>
        <v>36.291976599999998</v>
      </c>
      <c r="Q107" s="38">
        <f t="shared" si="59"/>
        <v>36.291976599999998</v>
      </c>
      <c r="R107" s="38">
        <f t="shared" si="59"/>
        <v>36.291976599999998</v>
      </c>
      <c r="S107" s="38">
        <f t="shared" si="59"/>
        <v>36.291976599999998</v>
      </c>
      <c r="T107" s="38">
        <f t="shared" si="59"/>
        <v>36.291976599999998</v>
      </c>
      <c r="U107" s="38">
        <f t="shared" si="59"/>
        <v>36.291976599999998</v>
      </c>
      <c r="V107" s="38">
        <f t="shared" si="47"/>
        <v>308.67277988229557</v>
      </c>
      <c r="W107" s="38">
        <f t="shared" si="48"/>
        <v>306.62706085988344</v>
      </c>
      <c r="X107" s="38">
        <f t="shared" si="49"/>
        <v>301.43063547827154</v>
      </c>
      <c r="Y107" s="38">
        <f t="shared" si="50"/>
        <v>382.86546009722855</v>
      </c>
      <c r="Z107" s="38">
        <f t="shared" si="51"/>
        <v>50.303344387268915</v>
      </c>
      <c r="AA107" s="38">
        <f t="shared" si="52"/>
        <v>50.303344387268915</v>
      </c>
      <c r="AB107" s="38">
        <f t="shared" si="53"/>
        <v>50.303344387268915</v>
      </c>
      <c r="AC107" s="38">
        <f t="shared" si="54"/>
        <v>50.303344387268915</v>
      </c>
      <c r="AD107" s="38">
        <f t="shared" si="55"/>
        <v>50.303344387268915</v>
      </c>
      <c r="AE107" s="38">
        <f t="shared" si="56"/>
        <v>50.303344387268915</v>
      </c>
      <c r="AF107" s="38">
        <f t="shared" si="57"/>
        <v>50.303344387268915</v>
      </c>
      <c r="AG107" s="38">
        <f t="shared" si="58"/>
        <v>50.303344387268915</v>
      </c>
    </row>
    <row r="108" spans="1:33" ht="13" customHeight="1" x14ac:dyDescent="0.25">
      <c r="A108" s="40" t="s">
        <v>38</v>
      </c>
      <c r="B108" s="40">
        <v>28.7</v>
      </c>
      <c r="C108" s="44">
        <f t="shared" si="45"/>
        <v>0</v>
      </c>
      <c r="D108" s="44">
        <v>1</v>
      </c>
      <c r="E108" s="44">
        <v>0.01</v>
      </c>
      <c r="F108" s="193">
        <v>36.291976599999998</v>
      </c>
      <c r="G108" s="40">
        <v>0</v>
      </c>
      <c r="H108" s="35">
        <v>9.2499999999999999E-2</v>
      </c>
      <c r="I108" s="45">
        <v>0.12</v>
      </c>
      <c r="J108" s="38">
        <f t="shared" si="59"/>
        <v>295.16626447160502</v>
      </c>
      <c r="K108" s="38">
        <f t="shared" si="59"/>
        <v>274.40950197160504</v>
      </c>
      <c r="L108" s="38">
        <f t="shared" si="59"/>
        <v>255.72841572160505</v>
      </c>
      <c r="M108" s="38">
        <f t="shared" si="59"/>
        <v>263.81164348077243</v>
      </c>
      <c r="N108" s="38">
        <f t="shared" si="59"/>
        <v>108.08518899910727</v>
      </c>
      <c r="O108" s="38">
        <f t="shared" si="59"/>
        <v>108.08518899910727</v>
      </c>
      <c r="P108" s="38">
        <f t="shared" si="59"/>
        <v>108.08518899910727</v>
      </c>
      <c r="Q108" s="38">
        <f t="shared" si="59"/>
        <v>108.08518899910727</v>
      </c>
      <c r="R108" s="38">
        <f t="shared" si="59"/>
        <v>108.08518899910727</v>
      </c>
      <c r="S108" s="38">
        <f t="shared" si="59"/>
        <v>108.08518899910727</v>
      </c>
      <c r="T108" s="38">
        <f t="shared" si="59"/>
        <v>108.08518899910727</v>
      </c>
      <c r="U108" s="38">
        <f t="shared" si="59"/>
        <v>108.08518899910727</v>
      </c>
      <c r="V108" s="38">
        <f t="shared" si="47"/>
        <v>369.60463870724396</v>
      </c>
      <c r="W108" s="38">
        <f t="shared" si="48"/>
        <v>343.6132005654959</v>
      </c>
      <c r="X108" s="38">
        <f t="shared" si="49"/>
        <v>320.22090623792263</v>
      </c>
      <c r="Y108" s="38">
        <f t="shared" si="50"/>
        <v>330.34265399545762</v>
      </c>
      <c r="Z108" s="38">
        <f t="shared" si="51"/>
        <v>135.34333708878947</v>
      </c>
      <c r="AA108" s="38">
        <f t="shared" si="52"/>
        <v>135.34333708878947</v>
      </c>
      <c r="AB108" s="38">
        <f t="shared" si="53"/>
        <v>135.34333708878947</v>
      </c>
      <c r="AC108" s="38">
        <f t="shared" si="54"/>
        <v>135.34333708878947</v>
      </c>
      <c r="AD108" s="38">
        <f t="shared" si="55"/>
        <v>135.34333708878947</v>
      </c>
      <c r="AE108" s="38">
        <f t="shared" si="56"/>
        <v>135.34333708878947</v>
      </c>
      <c r="AF108" s="38">
        <f t="shared" si="57"/>
        <v>135.34333708878947</v>
      </c>
      <c r="AG108" s="38">
        <f t="shared" si="58"/>
        <v>135.34333708878947</v>
      </c>
    </row>
    <row r="109" spans="1:33" ht="13" customHeight="1" x14ac:dyDescent="0.25">
      <c r="A109" s="40" t="s">
        <v>38</v>
      </c>
      <c r="B109" s="40">
        <v>28.7</v>
      </c>
      <c r="C109" s="44">
        <f t="shared" si="45"/>
        <v>0.4</v>
      </c>
      <c r="D109" s="44">
        <v>0.6</v>
      </c>
      <c r="E109" s="44">
        <v>0.01</v>
      </c>
      <c r="F109" s="193">
        <v>36.291976599999998</v>
      </c>
      <c r="G109" s="40">
        <v>0</v>
      </c>
      <c r="H109" s="35">
        <v>9.2499999999999999E-2</v>
      </c>
      <c r="I109" s="45">
        <v>0.12</v>
      </c>
      <c r="J109" s="38">
        <f t="shared" si="59"/>
        <v>266.1780928652953</v>
      </c>
      <c r="K109" s="38">
        <f t="shared" si="59"/>
        <v>253.13367154121249</v>
      </c>
      <c r="L109" s="38">
        <f t="shared" si="59"/>
        <v>240.42540937246002</v>
      </c>
      <c r="M109" s="38">
        <f t="shared" si="59"/>
        <v>268.77621489062216</v>
      </c>
      <c r="N109" s="38">
        <f t="shared" si="59"/>
        <v>79.367904039464364</v>
      </c>
      <c r="O109" s="38">
        <f t="shared" si="59"/>
        <v>79.367904039464364</v>
      </c>
      <c r="P109" s="38">
        <f t="shared" si="59"/>
        <v>79.367904039464364</v>
      </c>
      <c r="Q109" s="38">
        <f t="shared" si="59"/>
        <v>79.367904039464364</v>
      </c>
      <c r="R109" s="38">
        <f t="shared" si="59"/>
        <v>79.367904039464364</v>
      </c>
      <c r="S109" s="38">
        <f t="shared" si="59"/>
        <v>79.367904039464364</v>
      </c>
      <c r="T109" s="38">
        <f t="shared" si="59"/>
        <v>79.367904039464364</v>
      </c>
      <c r="U109" s="38">
        <f t="shared" si="59"/>
        <v>79.367904039464364</v>
      </c>
      <c r="V109" s="38">
        <f t="shared" si="47"/>
        <v>333.30590140908504</v>
      </c>
      <c r="W109" s="38">
        <f t="shared" si="48"/>
        <v>316.97179005911909</v>
      </c>
      <c r="X109" s="38">
        <f t="shared" si="49"/>
        <v>301.05861429058359</v>
      </c>
      <c r="Y109" s="38">
        <f t="shared" si="50"/>
        <v>336.55924729604578</v>
      </c>
      <c r="Z109" s="38">
        <f t="shared" si="51"/>
        <v>99.383801702309498</v>
      </c>
      <c r="AA109" s="38">
        <f t="shared" si="52"/>
        <v>99.383801702309498</v>
      </c>
      <c r="AB109" s="38">
        <f t="shared" si="53"/>
        <v>99.383801702309498</v>
      </c>
      <c r="AC109" s="38">
        <f t="shared" si="54"/>
        <v>99.383801702309498</v>
      </c>
      <c r="AD109" s="38">
        <f t="shared" si="55"/>
        <v>99.383801702309498</v>
      </c>
      <c r="AE109" s="38">
        <f t="shared" si="56"/>
        <v>99.383801702309498</v>
      </c>
      <c r="AF109" s="38">
        <f t="shared" si="57"/>
        <v>99.383801702309498</v>
      </c>
      <c r="AG109" s="38">
        <f t="shared" si="58"/>
        <v>99.383801702309498</v>
      </c>
    </row>
    <row r="110" spans="1:33" ht="13" customHeight="1" x14ac:dyDescent="0.25">
      <c r="A110" s="40" t="s">
        <v>38</v>
      </c>
      <c r="B110" s="40">
        <v>28.7</v>
      </c>
      <c r="C110" s="44">
        <f t="shared" si="45"/>
        <v>0.6</v>
      </c>
      <c r="D110" s="44">
        <v>0.4</v>
      </c>
      <c r="E110" s="44">
        <v>0.01</v>
      </c>
      <c r="F110" s="193">
        <v>36.291976599999998</v>
      </c>
      <c r="G110" s="40">
        <v>0</v>
      </c>
      <c r="H110" s="35">
        <v>9.2499999999999999E-2</v>
      </c>
      <c r="I110" s="45">
        <v>0.12</v>
      </c>
      <c r="J110" s="38">
        <f t="shared" si="59"/>
        <v>251.68400706214041</v>
      </c>
      <c r="K110" s="38">
        <f t="shared" si="59"/>
        <v>242.49575632601619</v>
      </c>
      <c r="L110" s="38">
        <f t="shared" si="59"/>
        <v>232.77390619788753</v>
      </c>
      <c r="M110" s="38">
        <f t="shared" si="59"/>
        <v>271.25850059554705</v>
      </c>
      <c r="N110" s="38">
        <f t="shared" si="59"/>
        <v>65.009261559642908</v>
      </c>
      <c r="O110" s="38">
        <f t="shared" si="59"/>
        <v>65.009261559642908</v>
      </c>
      <c r="P110" s="38">
        <f t="shared" si="59"/>
        <v>65.009261559642908</v>
      </c>
      <c r="Q110" s="38">
        <f t="shared" si="59"/>
        <v>65.009261559642908</v>
      </c>
      <c r="R110" s="38">
        <f t="shared" si="59"/>
        <v>65.009261559642908</v>
      </c>
      <c r="S110" s="38">
        <f t="shared" si="59"/>
        <v>65.009261559642908</v>
      </c>
      <c r="T110" s="38">
        <f t="shared" si="59"/>
        <v>65.009261559642908</v>
      </c>
      <c r="U110" s="38">
        <f t="shared" si="59"/>
        <v>65.009261559642908</v>
      </c>
      <c r="V110" s="38">
        <f t="shared" si="47"/>
        <v>315.15653276000552</v>
      </c>
      <c r="W110" s="38">
        <f t="shared" si="48"/>
        <v>303.65108480593062</v>
      </c>
      <c r="X110" s="38">
        <f t="shared" si="49"/>
        <v>291.47746831691404</v>
      </c>
      <c r="Y110" s="38">
        <f t="shared" si="50"/>
        <v>339.66754394633989</v>
      </c>
      <c r="Z110" s="38">
        <f t="shared" si="51"/>
        <v>81.40403400906952</v>
      </c>
      <c r="AA110" s="38">
        <f t="shared" si="52"/>
        <v>81.40403400906952</v>
      </c>
      <c r="AB110" s="38">
        <f t="shared" si="53"/>
        <v>81.40403400906952</v>
      </c>
      <c r="AC110" s="38">
        <f t="shared" si="54"/>
        <v>81.40403400906952</v>
      </c>
      <c r="AD110" s="38">
        <f t="shared" si="55"/>
        <v>81.40403400906952</v>
      </c>
      <c r="AE110" s="38">
        <f t="shared" si="56"/>
        <v>81.40403400906952</v>
      </c>
      <c r="AF110" s="38">
        <f t="shared" si="57"/>
        <v>81.40403400906952</v>
      </c>
      <c r="AG110" s="38">
        <f t="shared" si="58"/>
        <v>81.40403400906952</v>
      </c>
    </row>
    <row r="111" spans="1:33" ht="13" customHeight="1" x14ac:dyDescent="0.25">
      <c r="A111" s="40" t="s">
        <v>38</v>
      </c>
      <c r="B111" s="40">
        <v>28.7</v>
      </c>
      <c r="C111" s="44">
        <f t="shared" si="45"/>
        <v>1</v>
      </c>
      <c r="D111" s="44">
        <v>0</v>
      </c>
      <c r="E111" s="44">
        <v>0.01</v>
      </c>
      <c r="F111" s="193">
        <v>36.291976599999998</v>
      </c>
      <c r="G111" s="40">
        <v>0</v>
      </c>
      <c r="H111" s="35">
        <v>9.2499999999999999E-2</v>
      </c>
      <c r="I111" s="45">
        <v>0.12</v>
      </c>
      <c r="J111" s="38">
        <f t="shared" si="59"/>
        <v>222.69583545583066</v>
      </c>
      <c r="K111" s="38">
        <f t="shared" si="59"/>
        <v>221.21992589562367</v>
      </c>
      <c r="L111" s="38">
        <f t="shared" si="59"/>
        <v>217.4708998487425</v>
      </c>
      <c r="M111" s="38">
        <f t="shared" si="59"/>
        <v>276.22307200539672</v>
      </c>
      <c r="N111" s="38">
        <f t="shared" si="59"/>
        <v>36.291976599999998</v>
      </c>
      <c r="O111" s="38">
        <f t="shared" si="59"/>
        <v>36.291976599999998</v>
      </c>
      <c r="P111" s="38">
        <f t="shared" si="59"/>
        <v>36.291976599999998</v>
      </c>
      <c r="Q111" s="38">
        <f t="shared" si="59"/>
        <v>36.291976599999998</v>
      </c>
      <c r="R111" s="38">
        <f t="shared" si="59"/>
        <v>36.291976599999998</v>
      </c>
      <c r="S111" s="38">
        <f t="shared" si="59"/>
        <v>36.291976599999998</v>
      </c>
      <c r="T111" s="38">
        <f t="shared" si="59"/>
        <v>36.291976599999998</v>
      </c>
      <c r="U111" s="38">
        <f t="shared" si="59"/>
        <v>36.291976599999998</v>
      </c>
      <c r="V111" s="38">
        <f t="shared" si="47"/>
        <v>278.85779546184654</v>
      </c>
      <c r="W111" s="38">
        <f t="shared" si="48"/>
        <v>277.00967429955381</v>
      </c>
      <c r="X111" s="38">
        <f t="shared" si="49"/>
        <v>272.31517636957489</v>
      </c>
      <c r="Y111" s="38">
        <f t="shared" si="50"/>
        <v>345.88413724692805</v>
      </c>
      <c r="Z111" s="38">
        <f t="shared" si="51"/>
        <v>45.444498622589535</v>
      </c>
      <c r="AA111" s="38">
        <f t="shared" si="52"/>
        <v>45.444498622589535</v>
      </c>
      <c r="AB111" s="38">
        <f t="shared" si="53"/>
        <v>45.444498622589535</v>
      </c>
      <c r="AC111" s="38">
        <f t="shared" si="54"/>
        <v>45.444498622589535</v>
      </c>
      <c r="AD111" s="38">
        <f t="shared" si="55"/>
        <v>45.444498622589535</v>
      </c>
      <c r="AE111" s="38">
        <f t="shared" si="56"/>
        <v>45.444498622589535</v>
      </c>
      <c r="AF111" s="38">
        <f t="shared" si="57"/>
        <v>45.444498622589535</v>
      </c>
      <c r="AG111" s="38">
        <f t="shared" si="58"/>
        <v>45.444498622589535</v>
      </c>
    </row>
    <row r="112" spans="1:33" ht="13" customHeight="1" x14ac:dyDescent="0.25">
      <c r="A112" s="40" t="s">
        <v>38</v>
      </c>
      <c r="B112" s="40">
        <v>28.7</v>
      </c>
      <c r="C112" s="44">
        <f t="shared" si="45"/>
        <v>0</v>
      </c>
      <c r="D112" s="44">
        <v>1</v>
      </c>
      <c r="E112" s="44">
        <v>0.01</v>
      </c>
      <c r="F112" s="193">
        <v>36.291976599999998</v>
      </c>
      <c r="G112" s="40">
        <v>0</v>
      </c>
      <c r="H112" s="35">
        <v>0</v>
      </c>
      <c r="I112" s="45">
        <v>0</v>
      </c>
      <c r="J112" s="38">
        <f t="shared" ref="J112:U115" si="60">((((((J$20*$C112)+(J$21*$D112))*(1+$E112))*($B112/1000))+$F112+($G112*J$5))*(1+J$27))*(1+12%)</f>
        <v>330.58621620819764</v>
      </c>
      <c r="K112" s="38">
        <f t="shared" si="60"/>
        <v>307.33864220819765</v>
      </c>
      <c r="L112" s="38">
        <f t="shared" si="60"/>
        <v>286.41582560819768</v>
      </c>
      <c r="M112" s="38">
        <f t="shared" si="60"/>
        <v>295.46904069846516</v>
      </c>
      <c r="N112" s="38">
        <f t="shared" si="60"/>
        <v>121.05541167900016</v>
      </c>
      <c r="O112" s="38">
        <f t="shared" si="60"/>
        <v>121.05541167900016</v>
      </c>
      <c r="P112" s="38">
        <f t="shared" si="60"/>
        <v>121.05541167900016</v>
      </c>
      <c r="Q112" s="38">
        <f t="shared" si="60"/>
        <v>121.05541167900016</v>
      </c>
      <c r="R112" s="38">
        <f t="shared" si="60"/>
        <v>121.05541167900016</v>
      </c>
      <c r="S112" s="38">
        <f t="shared" si="60"/>
        <v>121.05541167900016</v>
      </c>
      <c r="T112" s="38">
        <f t="shared" si="60"/>
        <v>121.05541167900016</v>
      </c>
      <c r="U112" s="38">
        <f t="shared" si="60"/>
        <v>121.05541167900016</v>
      </c>
      <c r="V112" s="38">
        <f t="shared" si="47"/>
        <v>330.58621620819764</v>
      </c>
      <c r="W112" s="38">
        <f t="shared" si="48"/>
        <v>307.33864220819765</v>
      </c>
      <c r="X112" s="38">
        <f t="shared" si="49"/>
        <v>286.41582560819768</v>
      </c>
      <c r="Y112" s="38">
        <f t="shared" si="50"/>
        <v>295.46904069846516</v>
      </c>
      <c r="Z112" s="38">
        <f t="shared" si="51"/>
        <v>121.05541167900016</v>
      </c>
      <c r="AA112" s="38">
        <f t="shared" si="52"/>
        <v>121.05541167900016</v>
      </c>
      <c r="AB112" s="38">
        <f t="shared" si="53"/>
        <v>121.05541167900016</v>
      </c>
      <c r="AC112" s="38">
        <f t="shared" si="54"/>
        <v>121.05541167900016</v>
      </c>
      <c r="AD112" s="38">
        <f t="shared" si="55"/>
        <v>121.05541167900016</v>
      </c>
      <c r="AE112" s="38">
        <f t="shared" si="56"/>
        <v>121.05541167900016</v>
      </c>
      <c r="AF112" s="38">
        <f t="shared" si="57"/>
        <v>121.05541167900016</v>
      </c>
      <c r="AG112" s="38">
        <f t="shared" si="58"/>
        <v>121.05541167900016</v>
      </c>
    </row>
    <row r="113" spans="1:33" ht="13" customHeight="1" x14ac:dyDescent="0.25">
      <c r="A113" s="40" t="s">
        <v>38</v>
      </c>
      <c r="B113" s="40">
        <v>28.7</v>
      </c>
      <c r="C113" s="44">
        <f t="shared" si="45"/>
        <v>0.4</v>
      </c>
      <c r="D113" s="44">
        <v>0.6</v>
      </c>
      <c r="E113" s="44">
        <v>0.01</v>
      </c>
      <c r="F113" s="193">
        <v>36.291976599999998</v>
      </c>
      <c r="G113" s="40">
        <v>0</v>
      </c>
      <c r="H113" s="35">
        <v>0</v>
      </c>
      <c r="I113" s="45">
        <v>0</v>
      </c>
      <c r="J113" s="38">
        <f t="shared" si="60"/>
        <v>298.11946400913075</v>
      </c>
      <c r="K113" s="38">
        <f t="shared" si="60"/>
        <v>283.50971212615804</v>
      </c>
      <c r="L113" s="38">
        <f t="shared" si="60"/>
        <v>269.27645849715526</v>
      </c>
      <c r="M113" s="38">
        <f t="shared" si="60"/>
        <v>301.02936067749687</v>
      </c>
      <c r="N113" s="38">
        <f t="shared" si="60"/>
        <v>88.892052524200096</v>
      </c>
      <c r="O113" s="38">
        <f t="shared" si="60"/>
        <v>88.892052524200096</v>
      </c>
      <c r="P113" s="38">
        <f t="shared" si="60"/>
        <v>88.892052524200096</v>
      </c>
      <c r="Q113" s="38">
        <f t="shared" si="60"/>
        <v>88.892052524200096</v>
      </c>
      <c r="R113" s="38">
        <f t="shared" si="60"/>
        <v>88.892052524200096</v>
      </c>
      <c r="S113" s="38">
        <f t="shared" si="60"/>
        <v>88.892052524200096</v>
      </c>
      <c r="T113" s="38">
        <f t="shared" si="60"/>
        <v>88.892052524200096</v>
      </c>
      <c r="U113" s="38">
        <f t="shared" si="60"/>
        <v>88.892052524200096</v>
      </c>
      <c r="V113" s="38">
        <f t="shared" si="47"/>
        <v>298.11946400913075</v>
      </c>
      <c r="W113" s="38">
        <f t="shared" si="48"/>
        <v>283.50971212615804</v>
      </c>
      <c r="X113" s="38">
        <f t="shared" si="49"/>
        <v>269.27645849715526</v>
      </c>
      <c r="Y113" s="38">
        <f t="shared" si="50"/>
        <v>301.02936067749687</v>
      </c>
      <c r="Z113" s="38">
        <f t="shared" si="51"/>
        <v>88.892052524200096</v>
      </c>
      <c r="AA113" s="38">
        <f t="shared" si="52"/>
        <v>88.892052524200096</v>
      </c>
      <c r="AB113" s="38">
        <f t="shared" si="53"/>
        <v>88.892052524200096</v>
      </c>
      <c r="AC113" s="38">
        <f t="shared" si="54"/>
        <v>88.892052524200096</v>
      </c>
      <c r="AD113" s="38">
        <f t="shared" si="55"/>
        <v>88.892052524200096</v>
      </c>
      <c r="AE113" s="38">
        <f t="shared" si="56"/>
        <v>88.892052524200096</v>
      </c>
      <c r="AF113" s="38">
        <f t="shared" si="57"/>
        <v>88.892052524200096</v>
      </c>
      <c r="AG113" s="38">
        <f t="shared" si="58"/>
        <v>88.892052524200096</v>
      </c>
    </row>
    <row r="114" spans="1:33" ht="13" customHeight="1" x14ac:dyDescent="0.25">
      <c r="A114" s="40" t="s">
        <v>38</v>
      </c>
      <c r="B114" s="40">
        <v>28.7</v>
      </c>
      <c r="C114" s="44">
        <f t="shared" si="45"/>
        <v>0.6</v>
      </c>
      <c r="D114" s="44">
        <v>0.4</v>
      </c>
      <c r="E114" s="44">
        <v>0.01</v>
      </c>
      <c r="F114" s="193">
        <v>36.291976599999998</v>
      </c>
      <c r="G114" s="40">
        <v>0</v>
      </c>
      <c r="H114" s="35">
        <v>0</v>
      </c>
      <c r="I114" s="45">
        <v>0</v>
      </c>
      <c r="J114" s="38">
        <f t="shared" si="60"/>
        <v>281.88608790959728</v>
      </c>
      <c r="K114" s="38">
        <f t="shared" si="60"/>
        <v>271.59524708513817</v>
      </c>
      <c r="L114" s="38">
        <f t="shared" si="60"/>
        <v>260.70677494163408</v>
      </c>
      <c r="M114" s="38">
        <f t="shared" si="60"/>
        <v>303.80952066701275</v>
      </c>
      <c r="N114" s="38">
        <f t="shared" si="60"/>
        <v>72.810372946800058</v>
      </c>
      <c r="O114" s="38">
        <f t="shared" si="60"/>
        <v>72.810372946800058</v>
      </c>
      <c r="P114" s="38">
        <f t="shared" si="60"/>
        <v>72.810372946800058</v>
      </c>
      <c r="Q114" s="38">
        <f t="shared" si="60"/>
        <v>72.810372946800058</v>
      </c>
      <c r="R114" s="38">
        <f t="shared" si="60"/>
        <v>72.810372946800058</v>
      </c>
      <c r="S114" s="38">
        <f t="shared" si="60"/>
        <v>72.810372946800058</v>
      </c>
      <c r="T114" s="38">
        <f t="shared" si="60"/>
        <v>72.810372946800058</v>
      </c>
      <c r="U114" s="38">
        <f t="shared" si="60"/>
        <v>72.810372946800058</v>
      </c>
      <c r="V114" s="38">
        <f t="shared" si="47"/>
        <v>281.88608790959728</v>
      </c>
      <c r="W114" s="38">
        <f t="shared" si="48"/>
        <v>271.59524708513817</v>
      </c>
      <c r="X114" s="38">
        <f t="shared" si="49"/>
        <v>260.70677494163408</v>
      </c>
      <c r="Y114" s="38">
        <f t="shared" si="50"/>
        <v>303.80952066701275</v>
      </c>
      <c r="Z114" s="38">
        <f t="shared" si="51"/>
        <v>72.810372946800058</v>
      </c>
      <c r="AA114" s="38">
        <f t="shared" si="52"/>
        <v>72.810372946800058</v>
      </c>
      <c r="AB114" s="38">
        <f t="shared" si="53"/>
        <v>72.810372946800058</v>
      </c>
      <c r="AC114" s="38">
        <f t="shared" si="54"/>
        <v>72.810372946800058</v>
      </c>
      <c r="AD114" s="38">
        <f t="shared" si="55"/>
        <v>72.810372946800058</v>
      </c>
      <c r="AE114" s="38">
        <f t="shared" si="56"/>
        <v>72.810372946800058</v>
      </c>
      <c r="AF114" s="38">
        <f t="shared" si="57"/>
        <v>72.810372946800058</v>
      </c>
      <c r="AG114" s="38">
        <f t="shared" si="58"/>
        <v>72.810372946800058</v>
      </c>
    </row>
    <row r="115" spans="1:33" ht="13" customHeight="1" x14ac:dyDescent="0.25">
      <c r="A115" s="40" t="s">
        <v>38</v>
      </c>
      <c r="B115" s="40">
        <v>28.7</v>
      </c>
      <c r="C115" s="44">
        <f t="shared" si="45"/>
        <v>1</v>
      </c>
      <c r="D115" s="44">
        <v>0</v>
      </c>
      <c r="E115" s="44">
        <v>0.01</v>
      </c>
      <c r="F115" s="38">
        <v>36.291976599999998</v>
      </c>
      <c r="G115" s="40">
        <v>0</v>
      </c>
      <c r="H115" s="35">
        <v>0</v>
      </c>
      <c r="I115" s="45">
        <v>0</v>
      </c>
      <c r="J115" s="38">
        <f t="shared" si="60"/>
        <v>249.41933571053036</v>
      </c>
      <c r="K115" s="38">
        <f t="shared" si="60"/>
        <v>247.76631700309855</v>
      </c>
      <c r="L115" s="38">
        <f t="shared" si="60"/>
        <v>243.56740783059163</v>
      </c>
      <c r="M115" s="38">
        <f t="shared" si="60"/>
        <v>309.36984064604434</v>
      </c>
      <c r="N115" s="38">
        <f t="shared" si="60"/>
        <v>40.647013792000003</v>
      </c>
      <c r="O115" s="38">
        <f t="shared" si="60"/>
        <v>40.647013792000003</v>
      </c>
      <c r="P115" s="38">
        <f t="shared" si="60"/>
        <v>40.647013792000003</v>
      </c>
      <c r="Q115" s="38">
        <f t="shared" si="60"/>
        <v>40.647013792000003</v>
      </c>
      <c r="R115" s="38">
        <f t="shared" si="60"/>
        <v>40.647013792000003</v>
      </c>
      <c r="S115" s="38">
        <f t="shared" si="60"/>
        <v>40.647013792000003</v>
      </c>
      <c r="T115" s="38">
        <f t="shared" si="60"/>
        <v>40.647013792000003</v>
      </c>
      <c r="U115" s="38">
        <f t="shared" si="60"/>
        <v>40.647013792000003</v>
      </c>
      <c r="V115" s="38">
        <f t="shared" si="47"/>
        <v>249.41933571053036</v>
      </c>
      <c r="W115" s="38">
        <f t="shared" si="48"/>
        <v>247.76631700309855</v>
      </c>
      <c r="X115" s="38">
        <f t="shared" si="49"/>
        <v>243.56740783059163</v>
      </c>
      <c r="Y115" s="38">
        <f t="shared" si="50"/>
        <v>309.36984064604434</v>
      </c>
      <c r="Z115" s="38">
        <f t="shared" si="51"/>
        <v>40.647013792000003</v>
      </c>
      <c r="AA115" s="38">
        <f t="shared" si="52"/>
        <v>40.647013792000003</v>
      </c>
      <c r="AB115" s="38">
        <f t="shared" si="53"/>
        <v>40.647013792000003</v>
      </c>
      <c r="AC115" s="38">
        <f t="shared" si="54"/>
        <v>40.647013792000003</v>
      </c>
      <c r="AD115" s="38">
        <f t="shared" si="55"/>
        <v>40.647013792000003</v>
      </c>
      <c r="AE115" s="38">
        <f t="shared" si="56"/>
        <v>40.647013792000003</v>
      </c>
      <c r="AF115" s="38">
        <f t="shared" si="57"/>
        <v>40.647013792000003</v>
      </c>
      <c r="AG115" s="38">
        <f t="shared" si="58"/>
        <v>40.647013792000003</v>
      </c>
    </row>
    <row r="116" spans="1:33" ht="13" customHeight="1" x14ac:dyDescent="0.25">
      <c r="A116" s="40" t="s">
        <v>38</v>
      </c>
      <c r="B116" s="40">
        <v>38</v>
      </c>
      <c r="C116" s="44">
        <f t="shared" si="45"/>
        <v>0</v>
      </c>
      <c r="D116" s="44">
        <v>1</v>
      </c>
      <c r="E116" s="44">
        <v>0.01</v>
      </c>
      <c r="F116" s="38">
        <v>47.956524571999999</v>
      </c>
      <c r="G116" s="40">
        <v>0</v>
      </c>
      <c r="H116" s="35">
        <v>9.2499999999999999E-2</v>
      </c>
      <c r="I116" s="46">
        <v>0.20499999999999999</v>
      </c>
      <c r="J116" s="38">
        <f t="shared" ref="J116:U125" si="61">(((((J$20*$C116)+(J$21*$D116))*(1+$E116))*($B116/1000))+$F116+($G116*J$5))*(1+J$27)</f>
        <v>390.71666680133904</v>
      </c>
      <c r="K116" s="38">
        <f t="shared" si="61"/>
        <v>363.23384537276763</v>
      </c>
      <c r="L116" s="38">
        <f t="shared" si="61"/>
        <v>338.49930608705341</v>
      </c>
      <c r="M116" s="38">
        <f t="shared" si="61"/>
        <v>349.20191725643838</v>
      </c>
      <c r="N116" s="38">
        <f t="shared" si="61"/>
        <v>143.01373959520822</v>
      </c>
      <c r="O116" s="38">
        <f t="shared" si="61"/>
        <v>143.01373959520822</v>
      </c>
      <c r="P116" s="38">
        <f t="shared" si="61"/>
        <v>143.01373959520822</v>
      </c>
      <c r="Q116" s="38">
        <f t="shared" si="61"/>
        <v>143.01373959520822</v>
      </c>
      <c r="R116" s="38">
        <f t="shared" si="61"/>
        <v>143.01373959520822</v>
      </c>
      <c r="S116" s="38">
        <f t="shared" si="61"/>
        <v>143.01373959520822</v>
      </c>
      <c r="T116" s="38">
        <f t="shared" si="61"/>
        <v>143.01373959520822</v>
      </c>
      <c r="U116" s="38">
        <f t="shared" si="61"/>
        <v>143.01373959520822</v>
      </c>
      <c r="V116" s="38">
        <f t="shared" si="47"/>
        <v>541.56198943304616</v>
      </c>
      <c r="W116" s="38">
        <f t="shared" si="48"/>
        <v>503.4687809453265</v>
      </c>
      <c r="X116" s="38">
        <f t="shared" si="49"/>
        <v>469.18489330637891</v>
      </c>
      <c r="Y116" s="38">
        <f t="shared" si="50"/>
        <v>484.01949825034336</v>
      </c>
      <c r="Z116" s="38">
        <f t="shared" si="51"/>
        <v>198.22754418311169</v>
      </c>
      <c r="AA116" s="38">
        <f t="shared" si="52"/>
        <v>198.22754418311169</v>
      </c>
      <c r="AB116" s="38">
        <f t="shared" si="53"/>
        <v>198.22754418311169</v>
      </c>
      <c r="AC116" s="38">
        <f t="shared" si="54"/>
        <v>198.22754418311169</v>
      </c>
      <c r="AD116" s="38">
        <f t="shared" si="55"/>
        <v>198.22754418311169</v>
      </c>
      <c r="AE116" s="38">
        <f t="shared" si="56"/>
        <v>198.22754418311169</v>
      </c>
      <c r="AF116" s="38">
        <f t="shared" si="57"/>
        <v>198.22754418311169</v>
      </c>
      <c r="AG116" s="38">
        <f t="shared" si="58"/>
        <v>198.22754418311169</v>
      </c>
    </row>
    <row r="117" spans="1:33" ht="13" customHeight="1" x14ac:dyDescent="0.25">
      <c r="A117" s="40" t="s">
        <v>38</v>
      </c>
      <c r="B117" s="40">
        <v>38</v>
      </c>
      <c r="C117" s="44">
        <f t="shared" si="45"/>
        <v>0.4</v>
      </c>
      <c r="D117" s="44">
        <v>0.6</v>
      </c>
      <c r="E117" s="44">
        <v>0.01</v>
      </c>
      <c r="F117" s="38">
        <v>47.956524571999999</v>
      </c>
      <c r="G117" s="40">
        <v>0</v>
      </c>
      <c r="H117" s="35">
        <v>9.2499999999999999E-2</v>
      </c>
      <c r="I117" s="46">
        <v>0.20499999999999999</v>
      </c>
      <c r="J117" s="38">
        <f t="shared" si="61"/>
        <v>352.33511554559794</v>
      </c>
      <c r="K117" s="38">
        <f t="shared" si="61"/>
        <v>335.0637563011677</v>
      </c>
      <c r="L117" s="38">
        <f t="shared" si="61"/>
        <v>318.23748583383002</v>
      </c>
      <c r="M117" s="38">
        <f t="shared" si="61"/>
        <v>355.77521738097801</v>
      </c>
      <c r="N117" s="38">
        <f t="shared" si="61"/>
        <v>104.99085358592494</v>
      </c>
      <c r="O117" s="38">
        <f t="shared" si="61"/>
        <v>104.99085358592494</v>
      </c>
      <c r="P117" s="38">
        <f t="shared" si="61"/>
        <v>104.99085358592494</v>
      </c>
      <c r="Q117" s="38">
        <f t="shared" si="61"/>
        <v>104.99085358592494</v>
      </c>
      <c r="R117" s="38">
        <f t="shared" si="61"/>
        <v>104.99085358592494</v>
      </c>
      <c r="S117" s="38">
        <f t="shared" si="61"/>
        <v>104.99085358592494</v>
      </c>
      <c r="T117" s="38">
        <f t="shared" si="61"/>
        <v>104.99085358592494</v>
      </c>
      <c r="U117" s="38">
        <f t="shared" si="61"/>
        <v>104.99085358592494</v>
      </c>
      <c r="V117" s="38">
        <f t="shared" si="47"/>
        <v>488.36234114122072</v>
      </c>
      <c r="W117" s="38">
        <f t="shared" si="48"/>
        <v>464.42296904020333</v>
      </c>
      <c r="X117" s="38">
        <f t="shared" si="49"/>
        <v>441.10052266587667</v>
      </c>
      <c r="Y117" s="38">
        <f t="shared" si="50"/>
        <v>493.13057488223984</v>
      </c>
      <c r="Z117" s="38">
        <f t="shared" si="51"/>
        <v>145.52503225867588</v>
      </c>
      <c r="AA117" s="38">
        <f t="shared" si="52"/>
        <v>145.52503225867588</v>
      </c>
      <c r="AB117" s="38">
        <f t="shared" si="53"/>
        <v>145.52503225867588</v>
      </c>
      <c r="AC117" s="38">
        <f t="shared" si="54"/>
        <v>145.52503225867588</v>
      </c>
      <c r="AD117" s="38">
        <f t="shared" si="55"/>
        <v>145.52503225867588</v>
      </c>
      <c r="AE117" s="38">
        <f t="shared" si="56"/>
        <v>145.52503225867588</v>
      </c>
      <c r="AF117" s="38">
        <f t="shared" si="57"/>
        <v>145.52503225867588</v>
      </c>
      <c r="AG117" s="38">
        <f t="shared" si="58"/>
        <v>145.52503225867588</v>
      </c>
    </row>
    <row r="118" spans="1:33" ht="13" customHeight="1" x14ac:dyDescent="0.25">
      <c r="A118" s="40" t="s">
        <v>38</v>
      </c>
      <c r="B118" s="40">
        <v>38</v>
      </c>
      <c r="C118" s="44">
        <f t="shared" si="45"/>
        <v>0.6</v>
      </c>
      <c r="D118" s="44">
        <v>0.4</v>
      </c>
      <c r="E118" s="44">
        <v>0.01</v>
      </c>
      <c r="F118" s="38">
        <v>47.956524571999999</v>
      </c>
      <c r="G118" s="40">
        <v>0</v>
      </c>
      <c r="H118" s="35">
        <v>9.2499999999999999E-2</v>
      </c>
      <c r="I118" s="46">
        <v>0.20499999999999999</v>
      </c>
      <c r="J118" s="38">
        <f t="shared" si="61"/>
        <v>333.14433991772739</v>
      </c>
      <c r="K118" s="38">
        <f t="shared" si="61"/>
        <v>320.97871176536779</v>
      </c>
      <c r="L118" s="38">
        <f t="shared" si="61"/>
        <v>308.10657570721833</v>
      </c>
      <c r="M118" s="38">
        <f t="shared" si="61"/>
        <v>359.06186744324788</v>
      </c>
      <c r="N118" s="38">
        <f t="shared" si="61"/>
        <v>85.979410581283304</v>
      </c>
      <c r="O118" s="38">
        <f t="shared" si="61"/>
        <v>85.979410581283304</v>
      </c>
      <c r="P118" s="38">
        <f t="shared" si="61"/>
        <v>85.979410581283304</v>
      </c>
      <c r="Q118" s="38">
        <f t="shared" si="61"/>
        <v>85.979410581283304</v>
      </c>
      <c r="R118" s="38">
        <f t="shared" si="61"/>
        <v>85.979410581283304</v>
      </c>
      <c r="S118" s="38">
        <f t="shared" si="61"/>
        <v>85.979410581283304</v>
      </c>
      <c r="T118" s="38">
        <f t="shared" si="61"/>
        <v>85.979410581283304</v>
      </c>
      <c r="U118" s="38">
        <f t="shared" si="61"/>
        <v>85.979410581283304</v>
      </c>
      <c r="V118" s="38">
        <f t="shared" si="47"/>
        <v>461.76251699530803</v>
      </c>
      <c r="W118" s="38">
        <f t="shared" si="48"/>
        <v>444.90006308764185</v>
      </c>
      <c r="X118" s="38">
        <f t="shared" si="49"/>
        <v>427.05833734562543</v>
      </c>
      <c r="Y118" s="38">
        <f t="shared" si="50"/>
        <v>497.6861131981882</v>
      </c>
      <c r="Z118" s="38">
        <f t="shared" si="51"/>
        <v>119.17377629645796</v>
      </c>
      <c r="AA118" s="38">
        <f t="shared" si="52"/>
        <v>119.17377629645796</v>
      </c>
      <c r="AB118" s="38">
        <f t="shared" si="53"/>
        <v>119.17377629645796</v>
      </c>
      <c r="AC118" s="38">
        <f t="shared" si="54"/>
        <v>119.17377629645796</v>
      </c>
      <c r="AD118" s="38">
        <f t="shared" si="55"/>
        <v>119.17377629645796</v>
      </c>
      <c r="AE118" s="38">
        <f t="shared" si="56"/>
        <v>119.17377629645796</v>
      </c>
      <c r="AF118" s="38">
        <f t="shared" si="57"/>
        <v>119.17377629645796</v>
      </c>
      <c r="AG118" s="38">
        <f t="shared" si="58"/>
        <v>119.17377629645796</v>
      </c>
    </row>
    <row r="119" spans="1:33" ht="13" customHeight="1" x14ac:dyDescent="0.25">
      <c r="A119" s="40" t="s">
        <v>38</v>
      </c>
      <c r="B119" s="40">
        <v>38</v>
      </c>
      <c r="C119" s="44">
        <f t="shared" si="45"/>
        <v>1</v>
      </c>
      <c r="D119" s="44">
        <v>0</v>
      </c>
      <c r="E119" s="44">
        <v>0.01</v>
      </c>
      <c r="F119" s="38">
        <v>47.956524571999999</v>
      </c>
      <c r="G119" s="40">
        <v>0</v>
      </c>
      <c r="H119" s="35">
        <v>9.2499999999999999E-2</v>
      </c>
      <c r="I119" s="46">
        <v>0.20499999999999999</v>
      </c>
      <c r="J119" s="38">
        <f t="shared" si="61"/>
        <v>294.76278866198624</v>
      </c>
      <c r="K119" s="38">
        <f t="shared" si="61"/>
        <v>292.80862269376797</v>
      </c>
      <c r="L119" s="38">
        <f t="shared" si="61"/>
        <v>287.84475545399494</v>
      </c>
      <c r="M119" s="38">
        <f t="shared" si="61"/>
        <v>365.63516756778745</v>
      </c>
      <c r="N119" s="38">
        <f t="shared" si="61"/>
        <v>47.956524571999999</v>
      </c>
      <c r="O119" s="38">
        <f t="shared" si="61"/>
        <v>47.956524571999999</v>
      </c>
      <c r="P119" s="38">
        <f t="shared" si="61"/>
        <v>47.956524571999999</v>
      </c>
      <c r="Q119" s="38">
        <f t="shared" si="61"/>
        <v>47.956524571999999</v>
      </c>
      <c r="R119" s="38">
        <f t="shared" si="61"/>
        <v>47.956524571999999</v>
      </c>
      <c r="S119" s="38">
        <f t="shared" si="61"/>
        <v>47.956524571999999</v>
      </c>
      <c r="T119" s="38">
        <f t="shared" si="61"/>
        <v>47.956524571999999</v>
      </c>
      <c r="U119" s="38">
        <f t="shared" si="61"/>
        <v>47.956524571999999</v>
      </c>
      <c r="V119" s="38">
        <f t="shared" si="47"/>
        <v>408.56286870348248</v>
      </c>
      <c r="W119" s="38">
        <f t="shared" si="48"/>
        <v>405.85425118251879</v>
      </c>
      <c r="X119" s="38">
        <f t="shared" si="49"/>
        <v>398.97396670512319</v>
      </c>
      <c r="Y119" s="38">
        <f t="shared" si="50"/>
        <v>506.79718983008462</v>
      </c>
      <c r="Z119" s="38">
        <f t="shared" si="51"/>
        <v>66.471264372022105</v>
      </c>
      <c r="AA119" s="38">
        <f t="shared" si="52"/>
        <v>66.471264372022105</v>
      </c>
      <c r="AB119" s="38">
        <f t="shared" si="53"/>
        <v>66.471264372022105</v>
      </c>
      <c r="AC119" s="38">
        <f t="shared" si="54"/>
        <v>66.471264372022105</v>
      </c>
      <c r="AD119" s="38">
        <f t="shared" si="55"/>
        <v>66.471264372022105</v>
      </c>
      <c r="AE119" s="38">
        <f t="shared" si="56"/>
        <v>66.471264372022105</v>
      </c>
      <c r="AF119" s="38">
        <f t="shared" si="57"/>
        <v>66.471264372022105</v>
      </c>
      <c r="AG119" s="38">
        <f t="shared" si="58"/>
        <v>66.471264372022105</v>
      </c>
    </row>
    <row r="120" spans="1:33" ht="13" customHeight="1" x14ac:dyDescent="0.25">
      <c r="A120" s="40" t="s">
        <v>38</v>
      </c>
      <c r="B120" s="40">
        <v>38</v>
      </c>
      <c r="C120" s="44">
        <f t="shared" si="45"/>
        <v>0</v>
      </c>
      <c r="D120" s="44">
        <v>1</v>
      </c>
      <c r="E120" s="44">
        <v>0.01</v>
      </c>
      <c r="F120" s="38">
        <v>47.956524571999999</v>
      </c>
      <c r="G120" s="40">
        <v>0</v>
      </c>
      <c r="H120" s="35">
        <v>9.2499999999999999E-2</v>
      </c>
      <c r="I120" s="45">
        <v>0.12</v>
      </c>
      <c r="J120" s="38">
        <f t="shared" si="61"/>
        <v>390.71666680133904</v>
      </c>
      <c r="K120" s="38">
        <f t="shared" si="61"/>
        <v>363.23384537276763</v>
      </c>
      <c r="L120" s="38">
        <f t="shared" si="61"/>
        <v>338.49930608705341</v>
      </c>
      <c r="M120" s="38">
        <f t="shared" si="61"/>
        <v>349.20191725643838</v>
      </c>
      <c r="N120" s="38">
        <f t="shared" si="61"/>
        <v>143.01373959520822</v>
      </c>
      <c r="O120" s="38">
        <f t="shared" si="61"/>
        <v>143.01373959520822</v>
      </c>
      <c r="P120" s="38">
        <f t="shared" si="61"/>
        <v>143.01373959520822</v>
      </c>
      <c r="Q120" s="38">
        <f t="shared" si="61"/>
        <v>143.01373959520822</v>
      </c>
      <c r="R120" s="38">
        <f t="shared" si="61"/>
        <v>143.01373959520822</v>
      </c>
      <c r="S120" s="38">
        <f t="shared" si="61"/>
        <v>143.01373959520822</v>
      </c>
      <c r="T120" s="38">
        <f t="shared" si="61"/>
        <v>143.01373959520822</v>
      </c>
      <c r="U120" s="38">
        <f t="shared" si="61"/>
        <v>143.01373959520822</v>
      </c>
      <c r="V120" s="38">
        <f t="shared" si="47"/>
        <v>489.25202454462692</v>
      </c>
      <c r="W120" s="38">
        <f t="shared" si="48"/>
        <v>454.83827369492565</v>
      </c>
      <c r="X120" s="38">
        <f t="shared" si="49"/>
        <v>423.86589793019459</v>
      </c>
      <c r="Y120" s="38">
        <f t="shared" si="50"/>
        <v>437.26761489661703</v>
      </c>
      <c r="Z120" s="38">
        <f t="shared" si="51"/>
        <v>179.08056548360659</v>
      </c>
      <c r="AA120" s="38">
        <f t="shared" si="52"/>
        <v>179.08056548360659</v>
      </c>
      <c r="AB120" s="38">
        <f t="shared" si="53"/>
        <v>179.08056548360659</v>
      </c>
      <c r="AC120" s="38">
        <f t="shared" si="54"/>
        <v>179.08056548360659</v>
      </c>
      <c r="AD120" s="38">
        <f t="shared" si="55"/>
        <v>179.08056548360659</v>
      </c>
      <c r="AE120" s="38">
        <f t="shared" si="56"/>
        <v>179.08056548360659</v>
      </c>
      <c r="AF120" s="38">
        <f t="shared" si="57"/>
        <v>179.08056548360659</v>
      </c>
      <c r="AG120" s="38">
        <f t="shared" si="58"/>
        <v>179.08056548360659</v>
      </c>
    </row>
    <row r="121" spans="1:33" ht="13" customHeight="1" x14ac:dyDescent="0.25">
      <c r="A121" s="40" t="s">
        <v>38</v>
      </c>
      <c r="B121" s="40">
        <v>38</v>
      </c>
      <c r="C121" s="44">
        <f t="shared" si="45"/>
        <v>0.4</v>
      </c>
      <c r="D121" s="44">
        <v>0.6</v>
      </c>
      <c r="E121" s="44">
        <v>0.01</v>
      </c>
      <c r="F121" s="38">
        <v>47.956524571999999</v>
      </c>
      <c r="G121" s="40">
        <v>0</v>
      </c>
      <c r="H121" s="35">
        <v>9.2499999999999999E-2</v>
      </c>
      <c r="I121" s="45">
        <v>0.12</v>
      </c>
      <c r="J121" s="38">
        <f t="shared" si="61"/>
        <v>352.33511554559794</v>
      </c>
      <c r="K121" s="38">
        <f t="shared" si="61"/>
        <v>335.0637563011677</v>
      </c>
      <c r="L121" s="38">
        <f t="shared" si="61"/>
        <v>318.23748583383002</v>
      </c>
      <c r="M121" s="38">
        <f t="shared" si="61"/>
        <v>355.77521738097801</v>
      </c>
      <c r="N121" s="38">
        <f t="shared" si="61"/>
        <v>104.99085358592494</v>
      </c>
      <c r="O121" s="38">
        <f t="shared" si="61"/>
        <v>104.99085358592494</v>
      </c>
      <c r="P121" s="38">
        <f t="shared" si="61"/>
        <v>104.99085358592494</v>
      </c>
      <c r="Q121" s="38">
        <f t="shared" si="61"/>
        <v>104.99085358592494</v>
      </c>
      <c r="R121" s="38">
        <f t="shared" si="61"/>
        <v>104.99085358592494</v>
      </c>
      <c r="S121" s="38">
        <f t="shared" si="61"/>
        <v>104.99085358592494</v>
      </c>
      <c r="T121" s="38">
        <f t="shared" si="61"/>
        <v>104.99085358592494</v>
      </c>
      <c r="U121" s="38">
        <f t="shared" si="61"/>
        <v>104.99085358592494</v>
      </c>
      <c r="V121" s="38">
        <f t="shared" si="47"/>
        <v>441.19097864462555</v>
      </c>
      <c r="W121" s="38">
        <f t="shared" si="48"/>
        <v>419.56393225791101</v>
      </c>
      <c r="X121" s="38">
        <f t="shared" si="49"/>
        <v>398.49422218110448</v>
      </c>
      <c r="Y121" s="38">
        <f t="shared" si="50"/>
        <v>445.49864435384171</v>
      </c>
      <c r="Z121" s="38">
        <f t="shared" si="51"/>
        <v>131.46863709732651</v>
      </c>
      <c r="AA121" s="38">
        <f t="shared" si="52"/>
        <v>131.46863709732651</v>
      </c>
      <c r="AB121" s="38">
        <f t="shared" si="53"/>
        <v>131.46863709732651</v>
      </c>
      <c r="AC121" s="38">
        <f t="shared" si="54"/>
        <v>131.46863709732651</v>
      </c>
      <c r="AD121" s="38">
        <f t="shared" si="55"/>
        <v>131.46863709732651</v>
      </c>
      <c r="AE121" s="38">
        <f t="shared" si="56"/>
        <v>131.46863709732651</v>
      </c>
      <c r="AF121" s="38">
        <f t="shared" si="57"/>
        <v>131.46863709732651</v>
      </c>
      <c r="AG121" s="38">
        <f t="shared" si="58"/>
        <v>131.46863709732651</v>
      </c>
    </row>
    <row r="122" spans="1:33" ht="13" customHeight="1" x14ac:dyDescent="0.25">
      <c r="A122" s="40" t="s">
        <v>38</v>
      </c>
      <c r="B122" s="40">
        <v>38</v>
      </c>
      <c r="C122" s="44">
        <f t="shared" si="45"/>
        <v>0.6</v>
      </c>
      <c r="D122" s="44">
        <v>0.4</v>
      </c>
      <c r="E122" s="44">
        <v>0.01</v>
      </c>
      <c r="F122" s="38">
        <v>47.956524571999999</v>
      </c>
      <c r="G122" s="40">
        <v>0</v>
      </c>
      <c r="H122" s="35">
        <v>9.2499999999999999E-2</v>
      </c>
      <c r="I122" s="45">
        <v>0.12</v>
      </c>
      <c r="J122" s="38">
        <f t="shared" si="61"/>
        <v>333.14433991772739</v>
      </c>
      <c r="K122" s="38">
        <f t="shared" si="61"/>
        <v>320.97871176536779</v>
      </c>
      <c r="L122" s="38">
        <f t="shared" si="61"/>
        <v>308.10657570721833</v>
      </c>
      <c r="M122" s="38">
        <f t="shared" si="61"/>
        <v>359.06186744324788</v>
      </c>
      <c r="N122" s="38">
        <f t="shared" si="61"/>
        <v>85.979410581283304</v>
      </c>
      <c r="O122" s="38">
        <f t="shared" si="61"/>
        <v>85.979410581283304</v>
      </c>
      <c r="P122" s="38">
        <f t="shared" si="61"/>
        <v>85.979410581283304</v>
      </c>
      <c r="Q122" s="38">
        <f t="shared" si="61"/>
        <v>85.979410581283304</v>
      </c>
      <c r="R122" s="38">
        <f t="shared" si="61"/>
        <v>85.979410581283304</v>
      </c>
      <c r="S122" s="38">
        <f t="shared" si="61"/>
        <v>85.979410581283304</v>
      </c>
      <c r="T122" s="38">
        <f t="shared" si="61"/>
        <v>85.979410581283304</v>
      </c>
      <c r="U122" s="38">
        <f t="shared" si="61"/>
        <v>85.979410581283304</v>
      </c>
      <c r="V122" s="38">
        <f t="shared" si="47"/>
        <v>417.16045569462489</v>
      </c>
      <c r="W122" s="38">
        <f t="shared" si="48"/>
        <v>401.92676153940374</v>
      </c>
      <c r="X122" s="38">
        <f t="shared" si="49"/>
        <v>385.80838430655939</v>
      </c>
      <c r="Y122" s="38">
        <f t="shared" si="50"/>
        <v>449.61415908245414</v>
      </c>
      <c r="Z122" s="38">
        <f t="shared" si="51"/>
        <v>107.66267290418646</v>
      </c>
      <c r="AA122" s="38">
        <f t="shared" si="52"/>
        <v>107.66267290418646</v>
      </c>
      <c r="AB122" s="38">
        <f t="shared" si="53"/>
        <v>107.66267290418646</v>
      </c>
      <c r="AC122" s="38">
        <f t="shared" si="54"/>
        <v>107.66267290418646</v>
      </c>
      <c r="AD122" s="38">
        <f t="shared" si="55"/>
        <v>107.66267290418646</v>
      </c>
      <c r="AE122" s="38">
        <f t="shared" si="56"/>
        <v>107.66267290418646</v>
      </c>
      <c r="AF122" s="38">
        <f t="shared" si="57"/>
        <v>107.66267290418646</v>
      </c>
      <c r="AG122" s="38">
        <f t="shared" si="58"/>
        <v>107.66267290418646</v>
      </c>
    </row>
    <row r="123" spans="1:33" ht="13" customHeight="1" x14ac:dyDescent="0.25">
      <c r="A123" s="40" t="s">
        <v>38</v>
      </c>
      <c r="B123" s="40">
        <v>38</v>
      </c>
      <c r="C123" s="44">
        <f t="shared" si="45"/>
        <v>1</v>
      </c>
      <c r="D123" s="44">
        <v>0</v>
      </c>
      <c r="E123" s="44">
        <v>0.01</v>
      </c>
      <c r="F123" s="38">
        <v>47.956524571999999</v>
      </c>
      <c r="G123" s="40">
        <v>0</v>
      </c>
      <c r="H123" s="35">
        <v>9.2499999999999999E-2</v>
      </c>
      <c r="I123" s="45">
        <v>0.12</v>
      </c>
      <c r="J123" s="38">
        <f t="shared" si="61"/>
        <v>294.76278866198624</v>
      </c>
      <c r="K123" s="38">
        <f t="shared" si="61"/>
        <v>292.80862269376797</v>
      </c>
      <c r="L123" s="38">
        <f t="shared" si="61"/>
        <v>287.84475545399494</v>
      </c>
      <c r="M123" s="38">
        <f t="shared" si="61"/>
        <v>365.63516756778745</v>
      </c>
      <c r="N123" s="38">
        <f t="shared" si="61"/>
        <v>47.956524571999999</v>
      </c>
      <c r="O123" s="38">
        <f t="shared" si="61"/>
        <v>47.956524571999999</v>
      </c>
      <c r="P123" s="38">
        <f t="shared" si="61"/>
        <v>47.956524571999999</v>
      </c>
      <c r="Q123" s="38">
        <f t="shared" si="61"/>
        <v>47.956524571999999</v>
      </c>
      <c r="R123" s="38">
        <f t="shared" si="61"/>
        <v>47.956524571999999</v>
      </c>
      <c r="S123" s="38">
        <f t="shared" si="61"/>
        <v>47.956524571999999</v>
      </c>
      <c r="T123" s="38">
        <f t="shared" si="61"/>
        <v>47.956524571999999</v>
      </c>
      <c r="U123" s="38">
        <f t="shared" si="61"/>
        <v>47.956524571999999</v>
      </c>
      <c r="V123" s="38">
        <f t="shared" si="47"/>
        <v>369.0994097946234</v>
      </c>
      <c r="W123" s="38">
        <f t="shared" si="48"/>
        <v>366.65242010238916</v>
      </c>
      <c r="X123" s="38">
        <f t="shared" si="49"/>
        <v>360.43670855746927</v>
      </c>
      <c r="Y123" s="38">
        <f t="shared" si="50"/>
        <v>457.84518853967876</v>
      </c>
      <c r="Z123" s="38">
        <f t="shared" si="51"/>
        <v>60.050744517906331</v>
      </c>
      <c r="AA123" s="38">
        <f t="shared" si="52"/>
        <v>60.050744517906331</v>
      </c>
      <c r="AB123" s="38">
        <f t="shared" si="53"/>
        <v>60.050744517906331</v>
      </c>
      <c r="AC123" s="38">
        <f t="shared" si="54"/>
        <v>60.050744517906331</v>
      </c>
      <c r="AD123" s="38">
        <f t="shared" si="55"/>
        <v>60.050744517906331</v>
      </c>
      <c r="AE123" s="38">
        <f t="shared" si="56"/>
        <v>60.050744517906331</v>
      </c>
      <c r="AF123" s="38">
        <f t="shared" si="57"/>
        <v>60.050744517906331</v>
      </c>
      <c r="AG123" s="38">
        <f t="shared" si="58"/>
        <v>60.050744517906331</v>
      </c>
    </row>
    <row r="124" spans="1:33" ht="13" customHeight="1" x14ac:dyDescent="0.25">
      <c r="A124" s="40" t="s">
        <v>38</v>
      </c>
      <c r="B124" s="40">
        <v>40</v>
      </c>
      <c r="C124" s="44">
        <f t="shared" si="45"/>
        <v>0</v>
      </c>
      <c r="D124" s="44">
        <v>1</v>
      </c>
      <c r="E124" s="44">
        <v>0.01</v>
      </c>
      <c r="F124" s="38">
        <v>47.956524571999999</v>
      </c>
      <c r="G124" s="40">
        <v>0</v>
      </c>
      <c r="H124" s="35">
        <v>9.2499999999999999E-2</v>
      </c>
      <c r="I124" s="46">
        <v>0.20499999999999999</v>
      </c>
      <c r="J124" s="38">
        <f t="shared" si="61"/>
        <v>408.75036421807113</v>
      </c>
      <c r="K124" s="38">
        <f t="shared" si="61"/>
        <v>379.82107850378543</v>
      </c>
      <c r="L124" s="38">
        <f t="shared" si="61"/>
        <v>353.7847213609283</v>
      </c>
      <c r="M124" s="38">
        <f t="shared" si="61"/>
        <v>365.05273121135866</v>
      </c>
      <c r="N124" s="38">
        <f t="shared" si="61"/>
        <v>148.01675091221921</v>
      </c>
      <c r="O124" s="38">
        <f t="shared" si="61"/>
        <v>148.01675091221921</v>
      </c>
      <c r="P124" s="38">
        <f t="shared" si="61"/>
        <v>148.01675091221921</v>
      </c>
      <c r="Q124" s="38">
        <f t="shared" si="61"/>
        <v>148.01675091221921</v>
      </c>
      <c r="R124" s="38">
        <f t="shared" si="61"/>
        <v>148.01675091221921</v>
      </c>
      <c r="S124" s="38">
        <f t="shared" si="61"/>
        <v>148.01675091221921</v>
      </c>
      <c r="T124" s="38">
        <f t="shared" si="61"/>
        <v>148.01675091221921</v>
      </c>
      <c r="U124" s="38">
        <f t="shared" si="61"/>
        <v>148.01675091221921</v>
      </c>
      <c r="V124" s="38">
        <f t="shared" si="47"/>
        <v>566.55801821726163</v>
      </c>
      <c r="W124" s="38">
        <f t="shared" si="48"/>
        <v>526.45990401966208</v>
      </c>
      <c r="X124" s="38">
        <f t="shared" si="49"/>
        <v>490.37160124182236</v>
      </c>
      <c r="Y124" s="38">
        <f t="shared" si="50"/>
        <v>505.9898902733803</v>
      </c>
      <c r="Z124" s="38">
        <f t="shared" si="51"/>
        <v>205.16208522580064</v>
      </c>
      <c r="AA124" s="38">
        <f t="shared" si="52"/>
        <v>205.16208522580064</v>
      </c>
      <c r="AB124" s="38">
        <f t="shared" si="53"/>
        <v>205.16208522580064</v>
      </c>
      <c r="AC124" s="38">
        <f t="shared" si="54"/>
        <v>205.16208522580064</v>
      </c>
      <c r="AD124" s="38">
        <f t="shared" si="55"/>
        <v>205.16208522580064</v>
      </c>
      <c r="AE124" s="38">
        <f t="shared" si="56"/>
        <v>205.16208522580064</v>
      </c>
      <c r="AF124" s="38">
        <f t="shared" si="57"/>
        <v>205.16208522580064</v>
      </c>
      <c r="AG124" s="38">
        <f t="shared" si="58"/>
        <v>205.16208522580064</v>
      </c>
    </row>
    <row r="125" spans="1:33" ht="13" customHeight="1" x14ac:dyDescent="0.25">
      <c r="A125" s="40" t="s">
        <v>38</v>
      </c>
      <c r="B125" s="40">
        <v>40</v>
      </c>
      <c r="C125" s="44">
        <f t="shared" si="45"/>
        <v>0.4</v>
      </c>
      <c r="D125" s="44">
        <v>0.6</v>
      </c>
      <c r="E125" s="44">
        <v>0.01</v>
      </c>
      <c r="F125" s="38">
        <v>47.956524571999999</v>
      </c>
      <c r="G125" s="40">
        <v>0</v>
      </c>
      <c r="H125" s="35">
        <v>9.2499999999999999E-2</v>
      </c>
      <c r="I125" s="46">
        <v>0.20499999999999999</v>
      </c>
      <c r="J125" s="38">
        <f t="shared" si="61"/>
        <v>368.34873131729103</v>
      </c>
      <c r="K125" s="38">
        <f t="shared" si="61"/>
        <v>350.16835316525919</v>
      </c>
      <c r="L125" s="38">
        <f t="shared" si="61"/>
        <v>332.45648951543001</v>
      </c>
      <c r="M125" s="38">
        <f t="shared" si="61"/>
        <v>371.97199450034771</v>
      </c>
      <c r="N125" s="38">
        <f t="shared" si="61"/>
        <v>107.99266037613151</v>
      </c>
      <c r="O125" s="38">
        <f t="shared" si="61"/>
        <v>107.99266037613151</v>
      </c>
      <c r="P125" s="38">
        <f t="shared" si="61"/>
        <v>107.99266037613151</v>
      </c>
      <c r="Q125" s="38">
        <f t="shared" si="61"/>
        <v>107.99266037613151</v>
      </c>
      <c r="R125" s="38">
        <f t="shared" si="61"/>
        <v>107.99266037613151</v>
      </c>
      <c r="S125" s="38">
        <f t="shared" si="61"/>
        <v>107.99266037613151</v>
      </c>
      <c r="T125" s="38">
        <f t="shared" si="61"/>
        <v>107.99266037613151</v>
      </c>
      <c r="U125" s="38">
        <f t="shared" si="61"/>
        <v>107.99266037613151</v>
      </c>
      <c r="V125" s="38">
        <f t="shared" si="47"/>
        <v>510.55838843639276</v>
      </c>
      <c r="W125" s="38">
        <f t="shared" si="48"/>
        <v>485.35904938269022</v>
      </c>
      <c r="X125" s="38">
        <f t="shared" si="49"/>
        <v>460.80910583076735</v>
      </c>
      <c r="Y125" s="38">
        <f t="shared" si="50"/>
        <v>515.58049725432397</v>
      </c>
      <c r="Z125" s="38">
        <f t="shared" si="51"/>
        <v>149.68575688428922</v>
      </c>
      <c r="AA125" s="38">
        <f t="shared" si="52"/>
        <v>149.68575688428922</v>
      </c>
      <c r="AB125" s="38">
        <f t="shared" si="53"/>
        <v>149.68575688428922</v>
      </c>
      <c r="AC125" s="38">
        <f t="shared" si="54"/>
        <v>149.68575688428922</v>
      </c>
      <c r="AD125" s="38">
        <f t="shared" si="55"/>
        <v>149.68575688428922</v>
      </c>
      <c r="AE125" s="38">
        <f t="shared" si="56"/>
        <v>149.68575688428922</v>
      </c>
      <c r="AF125" s="38">
        <f t="shared" si="57"/>
        <v>149.68575688428922</v>
      </c>
      <c r="AG125" s="38">
        <f t="shared" si="58"/>
        <v>149.68575688428922</v>
      </c>
    </row>
    <row r="126" spans="1:33" ht="13" customHeight="1" x14ac:dyDescent="0.25">
      <c r="A126" s="40" t="s">
        <v>38</v>
      </c>
      <c r="B126" s="40">
        <v>40</v>
      </c>
      <c r="C126" s="44">
        <f t="shared" si="45"/>
        <v>0.6</v>
      </c>
      <c r="D126" s="44">
        <v>0.4</v>
      </c>
      <c r="E126" s="44">
        <v>0.01</v>
      </c>
      <c r="F126" s="38">
        <v>47.956524571999999</v>
      </c>
      <c r="G126" s="40">
        <v>0</v>
      </c>
      <c r="H126" s="35">
        <v>9.2499999999999999E-2</v>
      </c>
      <c r="I126" s="46">
        <v>0.20499999999999999</v>
      </c>
      <c r="J126" s="38">
        <f t="shared" ref="J126:U135" si="62">(((((J$20*$C126)+(J$21*$D126))*(1+$E126))*($B126/1000))+$F126+($G126*J$5))*(1+J$27)</f>
        <v>348.14791486690092</v>
      </c>
      <c r="K126" s="38">
        <f t="shared" si="62"/>
        <v>335.34199049599613</v>
      </c>
      <c r="L126" s="38">
        <f t="shared" si="62"/>
        <v>321.79237359268086</v>
      </c>
      <c r="M126" s="38">
        <f t="shared" si="62"/>
        <v>375.43162614484231</v>
      </c>
      <c r="N126" s="38">
        <f t="shared" si="62"/>
        <v>87.980615108087676</v>
      </c>
      <c r="O126" s="38">
        <f t="shared" si="62"/>
        <v>87.980615108087676</v>
      </c>
      <c r="P126" s="38">
        <f t="shared" si="62"/>
        <v>87.980615108087676</v>
      </c>
      <c r="Q126" s="38">
        <f t="shared" si="62"/>
        <v>87.980615108087676</v>
      </c>
      <c r="R126" s="38">
        <f t="shared" si="62"/>
        <v>87.980615108087676</v>
      </c>
      <c r="S126" s="38">
        <f t="shared" si="62"/>
        <v>87.980615108087676</v>
      </c>
      <c r="T126" s="38">
        <f t="shared" si="62"/>
        <v>87.980615108087676</v>
      </c>
      <c r="U126" s="38">
        <f t="shared" si="62"/>
        <v>87.980615108087676</v>
      </c>
      <c r="V126" s="38">
        <f t="shared" si="47"/>
        <v>482.55857354595827</v>
      </c>
      <c r="W126" s="38">
        <f t="shared" si="48"/>
        <v>464.80862206420449</v>
      </c>
      <c r="X126" s="38">
        <f t="shared" si="49"/>
        <v>446.0278581252399</v>
      </c>
      <c r="Y126" s="38">
        <f t="shared" si="50"/>
        <v>520.37580074479592</v>
      </c>
      <c r="Z126" s="38">
        <f t="shared" si="51"/>
        <v>121.94759271353351</v>
      </c>
      <c r="AA126" s="38">
        <f t="shared" si="52"/>
        <v>121.94759271353351</v>
      </c>
      <c r="AB126" s="38">
        <f t="shared" si="53"/>
        <v>121.94759271353351</v>
      </c>
      <c r="AC126" s="38">
        <f t="shared" si="54"/>
        <v>121.94759271353351</v>
      </c>
      <c r="AD126" s="38">
        <f t="shared" si="55"/>
        <v>121.94759271353351</v>
      </c>
      <c r="AE126" s="38">
        <f t="shared" si="56"/>
        <v>121.94759271353351</v>
      </c>
      <c r="AF126" s="38">
        <f t="shared" si="57"/>
        <v>121.94759271353351</v>
      </c>
      <c r="AG126" s="38">
        <f t="shared" si="58"/>
        <v>121.94759271353351</v>
      </c>
    </row>
    <row r="127" spans="1:33" ht="13" customHeight="1" x14ac:dyDescent="0.25">
      <c r="A127" s="40" t="s">
        <v>38</v>
      </c>
      <c r="B127" s="40">
        <v>40</v>
      </c>
      <c r="C127" s="44">
        <f t="shared" ref="C127:C158" si="63">100%-D127</f>
        <v>1</v>
      </c>
      <c r="D127" s="44">
        <v>0</v>
      </c>
      <c r="E127" s="44">
        <v>0.01</v>
      </c>
      <c r="F127" s="38">
        <v>47.956524571999999</v>
      </c>
      <c r="G127" s="40">
        <v>0</v>
      </c>
      <c r="H127" s="35">
        <v>9.2499999999999999E-2</v>
      </c>
      <c r="I127" s="46">
        <v>0.20499999999999999</v>
      </c>
      <c r="J127" s="38">
        <f t="shared" si="62"/>
        <v>307.74628196612082</v>
      </c>
      <c r="K127" s="38">
        <f t="shared" si="62"/>
        <v>305.68926515746995</v>
      </c>
      <c r="L127" s="38">
        <f t="shared" si="62"/>
        <v>300.46414174718262</v>
      </c>
      <c r="M127" s="38">
        <f t="shared" si="62"/>
        <v>382.35088943383141</v>
      </c>
      <c r="N127" s="38">
        <f t="shared" si="62"/>
        <v>47.956524571999999</v>
      </c>
      <c r="O127" s="38">
        <f t="shared" si="62"/>
        <v>47.956524571999999</v>
      </c>
      <c r="P127" s="38">
        <f t="shared" si="62"/>
        <v>47.956524571999999</v>
      </c>
      <c r="Q127" s="38">
        <f t="shared" si="62"/>
        <v>47.956524571999999</v>
      </c>
      <c r="R127" s="38">
        <f t="shared" si="62"/>
        <v>47.956524571999999</v>
      </c>
      <c r="S127" s="38">
        <f t="shared" si="62"/>
        <v>47.956524571999999</v>
      </c>
      <c r="T127" s="38">
        <f t="shared" si="62"/>
        <v>47.956524571999999</v>
      </c>
      <c r="U127" s="38">
        <f t="shared" si="62"/>
        <v>47.956524571999999</v>
      </c>
      <c r="V127" s="38">
        <f t="shared" ref="V127:V158" si="64">(J127/(1-$H127))/(1-$I127)</f>
        <v>426.5589437650894</v>
      </c>
      <c r="W127" s="38">
        <f t="shared" ref="W127:W158" si="65">(K127/(1-$H127))/(1-$I127)</f>
        <v>423.7077674272328</v>
      </c>
      <c r="X127" s="38">
        <f t="shared" ref="X127:X158" si="66">(L127/(1-$H127))/(1-$I127)</f>
        <v>416.46536271418483</v>
      </c>
      <c r="Y127" s="38">
        <f t="shared" ref="Y127:Y158" si="67">(M127/(1-$H127))/(1-$I127)</f>
        <v>529.9664077257396</v>
      </c>
      <c r="Z127" s="38">
        <f t="shared" ref="Z127:Z158" si="68">(N127/(1-$H127))/(1-$I127)</f>
        <v>66.471264372022105</v>
      </c>
      <c r="AA127" s="38">
        <f t="shared" ref="AA127:AA158" si="69">(O127/(1-$H127))/(1-$I127)</f>
        <v>66.471264372022105</v>
      </c>
      <c r="AB127" s="38">
        <f t="shared" ref="AB127:AB158" si="70">(P127/(1-$H127))/(1-$I127)</f>
        <v>66.471264372022105</v>
      </c>
      <c r="AC127" s="38">
        <f t="shared" ref="AC127:AC158" si="71">(Q127/(1-$H127))/(1-$I127)</f>
        <v>66.471264372022105</v>
      </c>
      <c r="AD127" s="38">
        <f t="shared" ref="AD127:AD158" si="72">(R127/(1-$H127))/(1-$I127)</f>
        <v>66.471264372022105</v>
      </c>
      <c r="AE127" s="38">
        <f t="shared" ref="AE127:AE158" si="73">(S127/(1-$H127))/(1-$I127)</f>
        <v>66.471264372022105</v>
      </c>
      <c r="AF127" s="38">
        <f t="shared" ref="AF127:AF158" si="74">(T127/(1-$H127))/(1-$I127)</f>
        <v>66.471264372022105</v>
      </c>
      <c r="AG127" s="38">
        <f t="shared" ref="AG127:AG158" si="75">(U127/(1-$H127))/(1-$I127)</f>
        <v>66.471264372022105</v>
      </c>
    </row>
    <row r="128" spans="1:33" ht="13" customHeight="1" x14ac:dyDescent="0.25">
      <c r="A128" s="40" t="s">
        <v>38</v>
      </c>
      <c r="B128" s="40">
        <v>40</v>
      </c>
      <c r="C128" s="44">
        <f t="shared" si="63"/>
        <v>0</v>
      </c>
      <c r="D128" s="44">
        <v>1</v>
      </c>
      <c r="E128" s="44">
        <v>0.01</v>
      </c>
      <c r="F128" s="38">
        <v>47.956524571999999</v>
      </c>
      <c r="G128" s="40">
        <v>0</v>
      </c>
      <c r="H128" s="35">
        <v>9.2499999999999999E-2</v>
      </c>
      <c r="I128" s="45">
        <v>0.12</v>
      </c>
      <c r="J128" s="38">
        <f t="shared" si="62"/>
        <v>408.75036421807113</v>
      </c>
      <c r="K128" s="38">
        <f t="shared" si="62"/>
        <v>379.82107850378543</v>
      </c>
      <c r="L128" s="38">
        <f t="shared" si="62"/>
        <v>353.7847213609283</v>
      </c>
      <c r="M128" s="38">
        <f t="shared" si="62"/>
        <v>365.05273121135866</v>
      </c>
      <c r="N128" s="38">
        <f t="shared" si="62"/>
        <v>148.01675091221921</v>
      </c>
      <c r="O128" s="38">
        <f t="shared" si="62"/>
        <v>148.01675091221921</v>
      </c>
      <c r="P128" s="38">
        <f t="shared" si="62"/>
        <v>148.01675091221921</v>
      </c>
      <c r="Q128" s="38">
        <f t="shared" si="62"/>
        <v>148.01675091221921</v>
      </c>
      <c r="R128" s="38">
        <f t="shared" si="62"/>
        <v>148.01675091221921</v>
      </c>
      <c r="S128" s="38">
        <f t="shared" si="62"/>
        <v>148.01675091221921</v>
      </c>
      <c r="T128" s="38">
        <f t="shared" si="62"/>
        <v>148.01675091221921</v>
      </c>
      <c r="U128" s="38">
        <f t="shared" si="62"/>
        <v>148.01675091221921</v>
      </c>
      <c r="V128" s="38">
        <f t="shared" si="64"/>
        <v>511.83366418491255</v>
      </c>
      <c r="W128" s="38">
        <f t="shared" si="65"/>
        <v>475.60866329049014</v>
      </c>
      <c r="X128" s="38">
        <f t="shared" si="66"/>
        <v>443.00616248551</v>
      </c>
      <c r="Y128" s="38">
        <f t="shared" si="67"/>
        <v>457.11586678106517</v>
      </c>
      <c r="Z128" s="38">
        <f t="shared" si="68"/>
        <v>185.345292902854</v>
      </c>
      <c r="AA128" s="38">
        <f t="shared" si="69"/>
        <v>185.345292902854</v>
      </c>
      <c r="AB128" s="38">
        <f t="shared" si="70"/>
        <v>185.345292902854</v>
      </c>
      <c r="AC128" s="38">
        <f t="shared" si="71"/>
        <v>185.345292902854</v>
      </c>
      <c r="AD128" s="38">
        <f t="shared" si="72"/>
        <v>185.345292902854</v>
      </c>
      <c r="AE128" s="38">
        <f t="shared" si="73"/>
        <v>185.345292902854</v>
      </c>
      <c r="AF128" s="38">
        <f t="shared" si="74"/>
        <v>185.345292902854</v>
      </c>
      <c r="AG128" s="38">
        <f t="shared" si="75"/>
        <v>185.345292902854</v>
      </c>
    </row>
    <row r="129" spans="1:33" ht="13" customHeight="1" x14ac:dyDescent="0.25">
      <c r="A129" s="40" t="s">
        <v>38</v>
      </c>
      <c r="B129" s="40">
        <v>40</v>
      </c>
      <c r="C129" s="44">
        <f t="shared" si="63"/>
        <v>0.4</v>
      </c>
      <c r="D129" s="44">
        <v>0.6</v>
      </c>
      <c r="E129" s="44">
        <v>0.01</v>
      </c>
      <c r="F129" s="38">
        <v>47.956524571999999</v>
      </c>
      <c r="G129" s="40">
        <v>0</v>
      </c>
      <c r="H129" s="35">
        <v>9.2499999999999999E-2</v>
      </c>
      <c r="I129" s="45">
        <v>0.12</v>
      </c>
      <c r="J129" s="38">
        <f t="shared" si="62"/>
        <v>368.34873131729103</v>
      </c>
      <c r="K129" s="38">
        <f t="shared" si="62"/>
        <v>350.16835316525919</v>
      </c>
      <c r="L129" s="38">
        <f t="shared" si="62"/>
        <v>332.45648951543001</v>
      </c>
      <c r="M129" s="38">
        <f t="shared" si="62"/>
        <v>371.97199450034771</v>
      </c>
      <c r="N129" s="38">
        <f t="shared" si="62"/>
        <v>107.99266037613151</v>
      </c>
      <c r="O129" s="38">
        <f t="shared" si="62"/>
        <v>107.99266037613151</v>
      </c>
      <c r="P129" s="38">
        <f t="shared" si="62"/>
        <v>107.99266037613151</v>
      </c>
      <c r="Q129" s="38">
        <f t="shared" si="62"/>
        <v>107.99266037613151</v>
      </c>
      <c r="R129" s="38">
        <f t="shared" si="62"/>
        <v>107.99266037613151</v>
      </c>
      <c r="S129" s="38">
        <f t="shared" si="62"/>
        <v>107.99266037613151</v>
      </c>
      <c r="T129" s="38">
        <f t="shared" si="62"/>
        <v>107.99266037613151</v>
      </c>
      <c r="U129" s="38">
        <f t="shared" si="62"/>
        <v>107.99266037613151</v>
      </c>
      <c r="V129" s="38">
        <f t="shared" si="64"/>
        <v>461.24308955333214</v>
      </c>
      <c r="W129" s="38">
        <f t="shared" si="65"/>
        <v>438.47777756731676</v>
      </c>
      <c r="X129" s="38">
        <f t="shared" si="66"/>
        <v>416.29913538120462</v>
      </c>
      <c r="Y129" s="38">
        <f t="shared" si="67"/>
        <v>465.78010831498585</v>
      </c>
      <c r="Z129" s="38">
        <f t="shared" si="68"/>
        <v>135.22747354887491</v>
      </c>
      <c r="AA129" s="38">
        <f t="shared" si="69"/>
        <v>135.22747354887491</v>
      </c>
      <c r="AB129" s="38">
        <f t="shared" si="70"/>
        <v>135.22747354887491</v>
      </c>
      <c r="AC129" s="38">
        <f t="shared" si="71"/>
        <v>135.22747354887491</v>
      </c>
      <c r="AD129" s="38">
        <f t="shared" si="72"/>
        <v>135.22747354887491</v>
      </c>
      <c r="AE129" s="38">
        <f t="shared" si="73"/>
        <v>135.22747354887491</v>
      </c>
      <c r="AF129" s="38">
        <f t="shared" si="74"/>
        <v>135.22747354887491</v>
      </c>
      <c r="AG129" s="38">
        <f t="shared" si="75"/>
        <v>135.22747354887491</v>
      </c>
    </row>
    <row r="130" spans="1:33" ht="13" customHeight="1" x14ac:dyDescent="0.25">
      <c r="A130" s="40" t="s">
        <v>38</v>
      </c>
      <c r="B130" s="40">
        <v>40</v>
      </c>
      <c r="C130" s="44">
        <f t="shared" si="63"/>
        <v>0.6</v>
      </c>
      <c r="D130" s="44">
        <v>0.4</v>
      </c>
      <c r="E130" s="44">
        <v>0.01</v>
      </c>
      <c r="F130" s="38">
        <v>47.956524571999999</v>
      </c>
      <c r="G130" s="40">
        <v>0</v>
      </c>
      <c r="H130" s="35">
        <v>9.2499999999999999E-2</v>
      </c>
      <c r="I130" s="45">
        <v>0.12</v>
      </c>
      <c r="J130" s="38">
        <f t="shared" si="62"/>
        <v>348.14791486690092</v>
      </c>
      <c r="K130" s="38">
        <f t="shared" si="62"/>
        <v>335.34199049599613</v>
      </c>
      <c r="L130" s="38">
        <f t="shared" si="62"/>
        <v>321.79237359268086</v>
      </c>
      <c r="M130" s="38">
        <f t="shared" si="62"/>
        <v>375.43162614484231</v>
      </c>
      <c r="N130" s="38">
        <f t="shared" si="62"/>
        <v>87.980615108087676</v>
      </c>
      <c r="O130" s="38">
        <f t="shared" si="62"/>
        <v>87.980615108087676</v>
      </c>
      <c r="P130" s="38">
        <f t="shared" si="62"/>
        <v>87.980615108087676</v>
      </c>
      <c r="Q130" s="38">
        <f t="shared" si="62"/>
        <v>87.980615108087676</v>
      </c>
      <c r="R130" s="38">
        <f t="shared" si="62"/>
        <v>87.980615108087676</v>
      </c>
      <c r="S130" s="38">
        <f t="shared" si="62"/>
        <v>87.980615108087676</v>
      </c>
      <c r="T130" s="38">
        <f t="shared" si="62"/>
        <v>87.980615108087676</v>
      </c>
      <c r="U130" s="38">
        <f t="shared" si="62"/>
        <v>87.980615108087676</v>
      </c>
      <c r="V130" s="38">
        <f t="shared" si="64"/>
        <v>435.94780223754185</v>
      </c>
      <c r="W130" s="38">
        <f t="shared" si="65"/>
        <v>419.91233470573019</v>
      </c>
      <c r="X130" s="38">
        <f t="shared" si="66"/>
        <v>402.94562182905196</v>
      </c>
      <c r="Y130" s="38">
        <f t="shared" si="67"/>
        <v>470.11222908194634</v>
      </c>
      <c r="Z130" s="38">
        <f t="shared" si="68"/>
        <v>110.1685638718854</v>
      </c>
      <c r="AA130" s="38">
        <f t="shared" si="69"/>
        <v>110.1685638718854</v>
      </c>
      <c r="AB130" s="38">
        <f t="shared" si="70"/>
        <v>110.1685638718854</v>
      </c>
      <c r="AC130" s="38">
        <f t="shared" si="71"/>
        <v>110.1685638718854</v>
      </c>
      <c r="AD130" s="38">
        <f t="shared" si="72"/>
        <v>110.1685638718854</v>
      </c>
      <c r="AE130" s="38">
        <f t="shared" si="73"/>
        <v>110.1685638718854</v>
      </c>
      <c r="AF130" s="38">
        <f t="shared" si="74"/>
        <v>110.1685638718854</v>
      </c>
      <c r="AG130" s="38">
        <f t="shared" si="75"/>
        <v>110.1685638718854</v>
      </c>
    </row>
    <row r="131" spans="1:33" ht="13" customHeight="1" x14ac:dyDescent="0.25">
      <c r="A131" s="40" t="s">
        <v>38</v>
      </c>
      <c r="B131" s="40">
        <v>40</v>
      </c>
      <c r="C131" s="44">
        <f t="shared" si="63"/>
        <v>1</v>
      </c>
      <c r="D131" s="44">
        <v>0</v>
      </c>
      <c r="E131" s="44">
        <v>0.01</v>
      </c>
      <c r="F131" s="38">
        <v>47.956524571999999</v>
      </c>
      <c r="G131" s="40">
        <v>0</v>
      </c>
      <c r="H131" s="35">
        <v>9.2499999999999999E-2</v>
      </c>
      <c r="I131" s="45">
        <v>0.12</v>
      </c>
      <c r="J131" s="38">
        <f t="shared" si="62"/>
        <v>307.74628196612082</v>
      </c>
      <c r="K131" s="38">
        <f t="shared" si="62"/>
        <v>305.68926515746995</v>
      </c>
      <c r="L131" s="38">
        <f t="shared" si="62"/>
        <v>300.46414174718262</v>
      </c>
      <c r="M131" s="38">
        <f t="shared" si="62"/>
        <v>382.35088943383141</v>
      </c>
      <c r="N131" s="38">
        <f t="shared" si="62"/>
        <v>47.956524571999999</v>
      </c>
      <c r="O131" s="38">
        <f t="shared" si="62"/>
        <v>47.956524571999999</v>
      </c>
      <c r="P131" s="38">
        <f t="shared" si="62"/>
        <v>47.956524571999999</v>
      </c>
      <c r="Q131" s="38">
        <f t="shared" si="62"/>
        <v>47.956524571999999</v>
      </c>
      <c r="R131" s="38">
        <f t="shared" si="62"/>
        <v>47.956524571999999</v>
      </c>
      <c r="S131" s="38">
        <f t="shared" si="62"/>
        <v>47.956524571999999</v>
      </c>
      <c r="T131" s="38">
        <f t="shared" si="62"/>
        <v>47.956524571999999</v>
      </c>
      <c r="U131" s="38">
        <f t="shared" si="62"/>
        <v>47.956524571999999</v>
      </c>
      <c r="V131" s="38">
        <f t="shared" si="64"/>
        <v>385.35722760596144</v>
      </c>
      <c r="W131" s="38">
        <f t="shared" si="65"/>
        <v>382.78144898255692</v>
      </c>
      <c r="X131" s="38">
        <f t="shared" si="66"/>
        <v>376.23859472474658</v>
      </c>
      <c r="Y131" s="38">
        <f t="shared" si="67"/>
        <v>478.77647061586703</v>
      </c>
      <c r="Z131" s="38">
        <f t="shared" si="68"/>
        <v>60.050744517906331</v>
      </c>
      <c r="AA131" s="38">
        <f t="shared" si="69"/>
        <v>60.050744517906331</v>
      </c>
      <c r="AB131" s="38">
        <f t="shared" si="70"/>
        <v>60.050744517906331</v>
      </c>
      <c r="AC131" s="38">
        <f t="shared" si="71"/>
        <v>60.050744517906331</v>
      </c>
      <c r="AD131" s="38">
        <f t="shared" si="72"/>
        <v>60.050744517906331</v>
      </c>
      <c r="AE131" s="38">
        <f t="shared" si="73"/>
        <v>60.050744517906331</v>
      </c>
      <c r="AF131" s="38">
        <f t="shared" si="74"/>
        <v>60.050744517906331</v>
      </c>
      <c r="AG131" s="38">
        <f t="shared" si="75"/>
        <v>60.050744517906331</v>
      </c>
    </row>
    <row r="132" spans="1:33" ht="13" customHeight="1" x14ac:dyDescent="0.25">
      <c r="A132" s="40" t="s">
        <v>38</v>
      </c>
      <c r="B132" s="40">
        <v>48</v>
      </c>
      <c r="C132" s="44">
        <f t="shared" si="63"/>
        <v>0</v>
      </c>
      <c r="D132" s="44">
        <v>1</v>
      </c>
      <c r="E132" s="44">
        <v>0.01</v>
      </c>
      <c r="F132" s="38">
        <v>47.956524571999999</v>
      </c>
      <c r="G132" s="40">
        <v>0</v>
      </c>
      <c r="H132" s="35">
        <v>9.2499999999999999E-2</v>
      </c>
      <c r="I132" s="45">
        <v>0.12</v>
      </c>
      <c r="J132" s="38">
        <f t="shared" si="62"/>
        <v>480.88515388499934</v>
      </c>
      <c r="K132" s="38">
        <f t="shared" si="62"/>
        <v>446.1700110278565</v>
      </c>
      <c r="L132" s="38">
        <f t="shared" si="62"/>
        <v>414.92638245642797</v>
      </c>
      <c r="M132" s="38">
        <f t="shared" si="62"/>
        <v>428.45598703103968</v>
      </c>
      <c r="N132" s="38">
        <f t="shared" si="62"/>
        <v>168.02879618026304</v>
      </c>
      <c r="O132" s="38">
        <f t="shared" si="62"/>
        <v>168.02879618026304</v>
      </c>
      <c r="P132" s="38">
        <f t="shared" si="62"/>
        <v>168.02879618026304</v>
      </c>
      <c r="Q132" s="38">
        <f t="shared" si="62"/>
        <v>168.02879618026304</v>
      </c>
      <c r="R132" s="38">
        <f t="shared" si="62"/>
        <v>168.02879618026304</v>
      </c>
      <c r="S132" s="38">
        <f t="shared" si="62"/>
        <v>168.02879618026304</v>
      </c>
      <c r="T132" s="38">
        <f t="shared" si="62"/>
        <v>168.02879618026304</v>
      </c>
      <c r="U132" s="38">
        <f t="shared" si="62"/>
        <v>168.02879618026304</v>
      </c>
      <c r="V132" s="38">
        <f t="shared" si="64"/>
        <v>602.16022274605473</v>
      </c>
      <c r="W132" s="38">
        <f t="shared" si="65"/>
        <v>558.69022167274795</v>
      </c>
      <c r="X132" s="38">
        <f t="shared" si="66"/>
        <v>519.56722070677188</v>
      </c>
      <c r="Y132" s="38">
        <f t="shared" si="67"/>
        <v>536.50887431885758</v>
      </c>
      <c r="Z132" s="38">
        <f t="shared" si="68"/>
        <v>210.40420257984354</v>
      </c>
      <c r="AA132" s="38">
        <f t="shared" si="69"/>
        <v>210.40420257984354</v>
      </c>
      <c r="AB132" s="38">
        <f t="shared" si="70"/>
        <v>210.40420257984354</v>
      </c>
      <c r="AC132" s="38">
        <f t="shared" si="71"/>
        <v>210.40420257984354</v>
      </c>
      <c r="AD132" s="38">
        <f t="shared" si="72"/>
        <v>210.40420257984354</v>
      </c>
      <c r="AE132" s="38">
        <f t="shared" si="73"/>
        <v>210.40420257984354</v>
      </c>
      <c r="AF132" s="38">
        <f t="shared" si="74"/>
        <v>210.40420257984354</v>
      </c>
      <c r="AG132" s="38">
        <f t="shared" si="75"/>
        <v>210.40420257984354</v>
      </c>
    </row>
    <row r="133" spans="1:33" ht="13" customHeight="1" x14ac:dyDescent="0.25">
      <c r="A133" s="40" t="s">
        <v>38</v>
      </c>
      <c r="B133" s="40">
        <v>48</v>
      </c>
      <c r="C133" s="44">
        <f t="shared" si="63"/>
        <v>0.4</v>
      </c>
      <c r="D133" s="44">
        <v>0.6</v>
      </c>
      <c r="E133" s="44">
        <v>0.01</v>
      </c>
      <c r="F133" s="38">
        <v>47.956524571999999</v>
      </c>
      <c r="G133" s="40">
        <v>0</v>
      </c>
      <c r="H133" s="35">
        <v>9.2499999999999999E-2</v>
      </c>
      <c r="I133" s="45">
        <v>0.12</v>
      </c>
      <c r="J133" s="38">
        <f t="shared" si="62"/>
        <v>432.40319440406319</v>
      </c>
      <c r="K133" s="38">
        <f t="shared" si="62"/>
        <v>410.5867406216251</v>
      </c>
      <c r="L133" s="38">
        <f t="shared" si="62"/>
        <v>389.33250424183007</v>
      </c>
      <c r="M133" s="38">
        <f t="shared" si="62"/>
        <v>436.75910297782661</v>
      </c>
      <c r="N133" s="38">
        <f t="shared" si="62"/>
        <v>119.99988753695783</v>
      </c>
      <c r="O133" s="38">
        <f t="shared" si="62"/>
        <v>119.99988753695783</v>
      </c>
      <c r="P133" s="38">
        <f t="shared" si="62"/>
        <v>119.99988753695783</v>
      </c>
      <c r="Q133" s="38">
        <f t="shared" si="62"/>
        <v>119.99988753695783</v>
      </c>
      <c r="R133" s="38">
        <f t="shared" si="62"/>
        <v>119.99988753695783</v>
      </c>
      <c r="S133" s="38">
        <f t="shared" si="62"/>
        <v>119.99988753695783</v>
      </c>
      <c r="T133" s="38">
        <f t="shared" si="62"/>
        <v>119.99988753695783</v>
      </c>
      <c r="U133" s="38">
        <f t="shared" si="62"/>
        <v>119.99988753695783</v>
      </c>
      <c r="V133" s="38">
        <f t="shared" si="64"/>
        <v>541.45153318815824</v>
      </c>
      <c r="W133" s="38">
        <f t="shared" si="65"/>
        <v>514.13315880493997</v>
      </c>
      <c r="X133" s="38">
        <f t="shared" si="66"/>
        <v>487.51878818160543</v>
      </c>
      <c r="Y133" s="38">
        <f t="shared" si="67"/>
        <v>546.90596415956247</v>
      </c>
      <c r="Z133" s="38">
        <f t="shared" si="68"/>
        <v>150.26281935506867</v>
      </c>
      <c r="AA133" s="38">
        <f t="shared" si="69"/>
        <v>150.26281935506867</v>
      </c>
      <c r="AB133" s="38">
        <f t="shared" si="70"/>
        <v>150.26281935506867</v>
      </c>
      <c r="AC133" s="38">
        <f t="shared" si="71"/>
        <v>150.26281935506867</v>
      </c>
      <c r="AD133" s="38">
        <f t="shared" si="72"/>
        <v>150.26281935506867</v>
      </c>
      <c r="AE133" s="38">
        <f t="shared" si="73"/>
        <v>150.26281935506867</v>
      </c>
      <c r="AF133" s="38">
        <f t="shared" si="74"/>
        <v>150.26281935506867</v>
      </c>
      <c r="AG133" s="38">
        <f t="shared" si="75"/>
        <v>150.26281935506867</v>
      </c>
    </row>
    <row r="134" spans="1:33" ht="13" customHeight="1" x14ac:dyDescent="0.25">
      <c r="A134" s="40" t="s">
        <v>38</v>
      </c>
      <c r="B134" s="40">
        <v>48</v>
      </c>
      <c r="C134" s="44">
        <f t="shared" si="63"/>
        <v>0.6</v>
      </c>
      <c r="D134" s="44">
        <v>0.4</v>
      </c>
      <c r="E134" s="44">
        <v>0.01</v>
      </c>
      <c r="F134" s="38">
        <v>47.956524571999999</v>
      </c>
      <c r="G134" s="40">
        <v>0</v>
      </c>
      <c r="H134" s="35">
        <v>9.2499999999999999E-2</v>
      </c>
      <c r="I134" s="45">
        <v>0.12</v>
      </c>
      <c r="J134" s="38">
        <f t="shared" si="62"/>
        <v>408.16221466359508</v>
      </c>
      <c r="K134" s="38">
        <f t="shared" si="62"/>
        <v>392.79510541850931</v>
      </c>
      <c r="L134" s="38">
        <f t="shared" si="62"/>
        <v>376.53556513453105</v>
      </c>
      <c r="M134" s="38">
        <f t="shared" si="62"/>
        <v>440.91066095122011</v>
      </c>
      <c r="N134" s="38">
        <f t="shared" si="62"/>
        <v>95.985433215305221</v>
      </c>
      <c r="O134" s="38">
        <f t="shared" si="62"/>
        <v>95.985433215305221</v>
      </c>
      <c r="P134" s="38">
        <f t="shared" si="62"/>
        <v>95.985433215305221</v>
      </c>
      <c r="Q134" s="38">
        <f t="shared" si="62"/>
        <v>95.985433215305221</v>
      </c>
      <c r="R134" s="38">
        <f t="shared" si="62"/>
        <v>95.985433215305221</v>
      </c>
      <c r="S134" s="38">
        <f t="shared" si="62"/>
        <v>95.985433215305221</v>
      </c>
      <c r="T134" s="38">
        <f t="shared" si="62"/>
        <v>95.985433215305221</v>
      </c>
      <c r="U134" s="38">
        <f t="shared" si="62"/>
        <v>95.985433215305221</v>
      </c>
      <c r="V134" s="38">
        <f t="shared" si="64"/>
        <v>511.09718840920999</v>
      </c>
      <c r="W134" s="38">
        <f t="shared" si="65"/>
        <v>491.85462737103592</v>
      </c>
      <c r="X134" s="38">
        <f t="shared" si="66"/>
        <v>471.49457191902212</v>
      </c>
      <c r="Y134" s="38">
        <f t="shared" si="67"/>
        <v>552.10450907991503</v>
      </c>
      <c r="Z134" s="38">
        <f t="shared" si="68"/>
        <v>120.19212774268122</v>
      </c>
      <c r="AA134" s="38">
        <f t="shared" si="69"/>
        <v>120.19212774268122</v>
      </c>
      <c r="AB134" s="38">
        <f t="shared" si="70"/>
        <v>120.19212774268122</v>
      </c>
      <c r="AC134" s="38">
        <f t="shared" si="71"/>
        <v>120.19212774268122</v>
      </c>
      <c r="AD134" s="38">
        <f t="shared" si="72"/>
        <v>120.19212774268122</v>
      </c>
      <c r="AE134" s="38">
        <f t="shared" si="73"/>
        <v>120.19212774268122</v>
      </c>
      <c r="AF134" s="38">
        <f t="shared" si="74"/>
        <v>120.19212774268122</v>
      </c>
      <c r="AG134" s="38">
        <f t="shared" si="75"/>
        <v>120.19212774268122</v>
      </c>
    </row>
    <row r="135" spans="1:33" ht="13" customHeight="1" x14ac:dyDescent="0.25">
      <c r="A135" s="40" t="s">
        <v>38</v>
      </c>
      <c r="B135" s="40">
        <v>48</v>
      </c>
      <c r="C135" s="44">
        <f t="shared" si="63"/>
        <v>1</v>
      </c>
      <c r="D135" s="44">
        <v>0</v>
      </c>
      <c r="E135" s="44">
        <v>0.01</v>
      </c>
      <c r="F135" s="38">
        <v>47.956524571999999</v>
      </c>
      <c r="G135" s="40">
        <v>0</v>
      </c>
      <c r="H135" s="35">
        <v>9.2499999999999999E-2</v>
      </c>
      <c r="I135" s="45">
        <v>0.12</v>
      </c>
      <c r="J135" s="38">
        <f t="shared" si="62"/>
        <v>359.68025518265898</v>
      </c>
      <c r="K135" s="38">
        <f t="shared" si="62"/>
        <v>357.21183501227796</v>
      </c>
      <c r="L135" s="38">
        <f t="shared" si="62"/>
        <v>350.94168691993315</v>
      </c>
      <c r="M135" s="38">
        <f t="shared" si="62"/>
        <v>449.21377689800698</v>
      </c>
      <c r="N135" s="38">
        <f t="shared" si="62"/>
        <v>47.956524571999999</v>
      </c>
      <c r="O135" s="38">
        <f t="shared" si="62"/>
        <v>47.956524571999999</v>
      </c>
      <c r="P135" s="38">
        <f t="shared" si="62"/>
        <v>47.956524571999999</v>
      </c>
      <c r="Q135" s="38">
        <f t="shared" si="62"/>
        <v>47.956524571999999</v>
      </c>
      <c r="R135" s="38">
        <f t="shared" si="62"/>
        <v>47.956524571999999</v>
      </c>
      <c r="S135" s="38">
        <f t="shared" si="62"/>
        <v>47.956524571999999</v>
      </c>
      <c r="T135" s="38">
        <f t="shared" si="62"/>
        <v>47.956524571999999</v>
      </c>
      <c r="U135" s="38">
        <f t="shared" si="62"/>
        <v>47.956524571999999</v>
      </c>
      <c r="V135" s="38">
        <f t="shared" si="64"/>
        <v>450.38849885131356</v>
      </c>
      <c r="W135" s="38">
        <f t="shared" si="65"/>
        <v>447.29756450322816</v>
      </c>
      <c r="X135" s="38">
        <f t="shared" si="66"/>
        <v>439.44613939385567</v>
      </c>
      <c r="Y135" s="38">
        <f t="shared" si="67"/>
        <v>562.50159892061981</v>
      </c>
      <c r="Z135" s="38">
        <f t="shared" si="68"/>
        <v>60.050744517906331</v>
      </c>
      <c r="AA135" s="38">
        <f t="shared" si="69"/>
        <v>60.050744517906331</v>
      </c>
      <c r="AB135" s="38">
        <f t="shared" si="70"/>
        <v>60.050744517906331</v>
      </c>
      <c r="AC135" s="38">
        <f t="shared" si="71"/>
        <v>60.050744517906331</v>
      </c>
      <c r="AD135" s="38">
        <f t="shared" si="72"/>
        <v>60.050744517906331</v>
      </c>
      <c r="AE135" s="38">
        <f t="shared" si="73"/>
        <v>60.050744517906331</v>
      </c>
      <c r="AF135" s="38">
        <f t="shared" si="74"/>
        <v>60.050744517906331</v>
      </c>
      <c r="AG135" s="38">
        <f t="shared" si="75"/>
        <v>60.050744517906331</v>
      </c>
    </row>
    <row r="136" spans="1:33" ht="13" customHeight="1" x14ac:dyDescent="0.25">
      <c r="A136" s="40" t="s">
        <v>37</v>
      </c>
      <c r="B136" s="40">
        <v>13.700000000000001</v>
      </c>
      <c r="C136" s="44">
        <f t="shared" si="63"/>
        <v>0</v>
      </c>
      <c r="D136" s="44">
        <v>1</v>
      </c>
      <c r="E136" s="44">
        <v>0.01</v>
      </c>
      <c r="F136" s="38">
        <v>24.0242662</v>
      </c>
      <c r="G136" s="40">
        <v>0</v>
      </c>
      <c r="H136" s="35">
        <v>9.2499999999999999E-2</v>
      </c>
      <c r="I136" s="44">
        <v>0.22</v>
      </c>
      <c r="J136" s="38">
        <f t="shared" ref="J136:U145" si="76">(((((J$18*$C136)+(J$19*$D136))*(1+$E136))*($B136/1000))+$F136+($G136*J$5))*(1+J$27)</f>
        <v>139.68852988440031</v>
      </c>
      <c r="K136" s="38">
        <f t="shared" si="76"/>
        <v>131.76190559868604</v>
      </c>
      <c r="L136" s="38">
        <f t="shared" si="76"/>
        <v>119.8719691701146</v>
      </c>
      <c r="M136" s="38">
        <f t="shared" si="76"/>
        <v>125.71235140153715</v>
      </c>
      <c r="N136" s="38">
        <f t="shared" si="76"/>
        <v>58.294893721525078</v>
      </c>
      <c r="O136" s="38">
        <f t="shared" si="76"/>
        <v>58.294893721525078</v>
      </c>
      <c r="P136" s="38">
        <f t="shared" si="76"/>
        <v>58.294893721525078</v>
      </c>
      <c r="Q136" s="38">
        <f t="shared" si="76"/>
        <v>58.294893721525078</v>
      </c>
      <c r="R136" s="38">
        <f t="shared" si="76"/>
        <v>58.294893721525078</v>
      </c>
      <c r="S136" s="38">
        <f t="shared" si="76"/>
        <v>58.294893721525078</v>
      </c>
      <c r="T136" s="38">
        <f t="shared" si="76"/>
        <v>58.294893721525078</v>
      </c>
      <c r="U136" s="38">
        <f t="shared" si="76"/>
        <v>58.294893721525078</v>
      </c>
      <c r="V136" s="38">
        <f t="shared" si="64"/>
        <v>197.34199319686419</v>
      </c>
      <c r="W136" s="38">
        <f t="shared" si="65"/>
        <v>186.14382368960378</v>
      </c>
      <c r="X136" s="38">
        <f t="shared" si="66"/>
        <v>169.34656942871314</v>
      </c>
      <c r="Y136" s="38">
        <f t="shared" si="67"/>
        <v>177.59744494107107</v>
      </c>
      <c r="Z136" s="38">
        <f t="shared" si="68"/>
        <v>82.354868576004904</v>
      </c>
      <c r="AA136" s="38">
        <f t="shared" si="69"/>
        <v>82.354868576004904</v>
      </c>
      <c r="AB136" s="38">
        <f t="shared" si="70"/>
        <v>82.354868576004904</v>
      </c>
      <c r="AC136" s="38">
        <f t="shared" si="71"/>
        <v>82.354868576004904</v>
      </c>
      <c r="AD136" s="38">
        <f t="shared" si="72"/>
        <v>82.354868576004904</v>
      </c>
      <c r="AE136" s="38">
        <f t="shared" si="73"/>
        <v>82.354868576004904</v>
      </c>
      <c r="AF136" s="38">
        <f t="shared" si="74"/>
        <v>82.354868576004904</v>
      </c>
      <c r="AG136" s="38">
        <f t="shared" si="75"/>
        <v>82.354868576004904</v>
      </c>
    </row>
    <row r="137" spans="1:33" ht="13" customHeight="1" x14ac:dyDescent="0.25">
      <c r="A137" s="40" t="s">
        <v>37</v>
      </c>
      <c r="B137" s="40">
        <v>13.700000000000001</v>
      </c>
      <c r="C137" s="44">
        <f t="shared" si="63"/>
        <v>0.4</v>
      </c>
      <c r="D137" s="44">
        <v>0.6</v>
      </c>
      <c r="E137" s="44">
        <v>0.01</v>
      </c>
      <c r="F137" s="38">
        <v>24.0242662</v>
      </c>
      <c r="G137" s="40">
        <v>0</v>
      </c>
      <c r="H137" s="35">
        <v>9.2499999999999999E-2</v>
      </c>
      <c r="I137" s="44">
        <v>0.22</v>
      </c>
      <c r="J137" s="38">
        <f t="shared" si="76"/>
        <v>129.48904925859088</v>
      </c>
      <c r="K137" s="38">
        <f t="shared" si="76"/>
        <v>124.45965765543099</v>
      </c>
      <c r="L137" s="38">
        <f t="shared" si="76"/>
        <v>116.60524157414356</v>
      </c>
      <c r="M137" s="38">
        <f t="shared" si="76"/>
        <v>131.49050885947946</v>
      </c>
      <c r="N137" s="38">
        <f t="shared" si="76"/>
        <v>44.586642712915044</v>
      </c>
      <c r="O137" s="38">
        <f t="shared" si="76"/>
        <v>44.586642712915044</v>
      </c>
      <c r="P137" s="38">
        <f t="shared" si="76"/>
        <v>44.586642712915044</v>
      </c>
      <c r="Q137" s="38">
        <f t="shared" si="76"/>
        <v>44.586642712915044</v>
      </c>
      <c r="R137" s="38">
        <f t="shared" si="76"/>
        <v>44.586642712915044</v>
      </c>
      <c r="S137" s="38">
        <f t="shared" si="76"/>
        <v>44.586642712915044</v>
      </c>
      <c r="T137" s="38">
        <f t="shared" si="76"/>
        <v>44.586642712915044</v>
      </c>
      <c r="U137" s="38">
        <f t="shared" si="76"/>
        <v>44.586642712915044</v>
      </c>
      <c r="V137" s="38">
        <f t="shared" si="64"/>
        <v>182.93289434003091</v>
      </c>
      <c r="W137" s="38">
        <f t="shared" si="65"/>
        <v>175.82772855185559</v>
      </c>
      <c r="X137" s="38">
        <f t="shared" si="66"/>
        <v>164.73156964631428</v>
      </c>
      <c r="Y137" s="38">
        <f t="shared" si="67"/>
        <v>185.76041373098747</v>
      </c>
      <c r="Z137" s="38">
        <f t="shared" si="68"/>
        <v>62.988829148710948</v>
      </c>
      <c r="AA137" s="38">
        <f t="shared" si="69"/>
        <v>62.988829148710948</v>
      </c>
      <c r="AB137" s="38">
        <f t="shared" si="70"/>
        <v>62.988829148710948</v>
      </c>
      <c r="AC137" s="38">
        <f t="shared" si="71"/>
        <v>62.988829148710948</v>
      </c>
      <c r="AD137" s="38">
        <f t="shared" si="72"/>
        <v>62.988829148710948</v>
      </c>
      <c r="AE137" s="38">
        <f t="shared" si="73"/>
        <v>62.988829148710948</v>
      </c>
      <c r="AF137" s="38">
        <f t="shared" si="74"/>
        <v>62.988829148710948</v>
      </c>
      <c r="AG137" s="38">
        <f t="shared" si="75"/>
        <v>62.988829148710948</v>
      </c>
    </row>
    <row r="138" spans="1:33" ht="13" customHeight="1" x14ac:dyDescent="0.25">
      <c r="A138" s="40" t="s">
        <v>37</v>
      </c>
      <c r="B138" s="40">
        <v>13.700000000000001</v>
      </c>
      <c r="C138" s="44">
        <f t="shared" si="63"/>
        <v>0.6</v>
      </c>
      <c r="D138" s="44">
        <v>0.4</v>
      </c>
      <c r="E138" s="44">
        <v>0.01</v>
      </c>
      <c r="F138" s="38">
        <v>24.0242662</v>
      </c>
      <c r="G138" s="40">
        <v>0</v>
      </c>
      <c r="H138" s="35">
        <v>9.2499999999999999E-2</v>
      </c>
      <c r="I138" s="44">
        <v>0.22</v>
      </c>
      <c r="J138" s="38">
        <f t="shared" si="76"/>
        <v>124.38930894568621</v>
      </c>
      <c r="K138" s="38">
        <f t="shared" si="76"/>
        <v>120.80853368380347</v>
      </c>
      <c r="L138" s="38">
        <f t="shared" si="76"/>
        <v>114.97187777615804</v>
      </c>
      <c r="M138" s="38">
        <f t="shared" si="76"/>
        <v>134.37958758845056</v>
      </c>
      <c r="N138" s="38">
        <f t="shared" si="76"/>
        <v>37.732517208610034</v>
      </c>
      <c r="O138" s="38">
        <f t="shared" si="76"/>
        <v>37.732517208610034</v>
      </c>
      <c r="P138" s="38">
        <f t="shared" si="76"/>
        <v>37.732517208610034</v>
      </c>
      <c r="Q138" s="38">
        <f t="shared" si="76"/>
        <v>37.732517208610034</v>
      </c>
      <c r="R138" s="38">
        <f t="shared" si="76"/>
        <v>37.732517208610034</v>
      </c>
      <c r="S138" s="38">
        <f t="shared" si="76"/>
        <v>37.732517208610034</v>
      </c>
      <c r="T138" s="38">
        <f t="shared" si="76"/>
        <v>37.732517208610034</v>
      </c>
      <c r="U138" s="38">
        <f t="shared" si="76"/>
        <v>37.732517208610034</v>
      </c>
      <c r="V138" s="38">
        <f t="shared" si="64"/>
        <v>175.72834491161433</v>
      </c>
      <c r="W138" s="38">
        <f t="shared" si="65"/>
        <v>170.66968098298153</v>
      </c>
      <c r="X138" s="38">
        <f t="shared" si="66"/>
        <v>162.42406975511486</v>
      </c>
      <c r="Y138" s="38">
        <f t="shared" si="67"/>
        <v>189.84189812594553</v>
      </c>
      <c r="Z138" s="38">
        <f t="shared" si="68"/>
        <v>53.305809435063978</v>
      </c>
      <c r="AA138" s="38">
        <f t="shared" si="69"/>
        <v>53.305809435063978</v>
      </c>
      <c r="AB138" s="38">
        <f t="shared" si="70"/>
        <v>53.305809435063978</v>
      </c>
      <c r="AC138" s="38">
        <f t="shared" si="71"/>
        <v>53.305809435063978</v>
      </c>
      <c r="AD138" s="38">
        <f t="shared" si="72"/>
        <v>53.305809435063978</v>
      </c>
      <c r="AE138" s="38">
        <f t="shared" si="73"/>
        <v>53.305809435063978</v>
      </c>
      <c r="AF138" s="38">
        <f t="shared" si="74"/>
        <v>53.305809435063978</v>
      </c>
      <c r="AG138" s="38">
        <f t="shared" si="75"/>
        <v>53.305809435063978</v>
      </c>
    </row>
    <row r="139" spans="1:33" ht="13" customHeight="1" x14ac:dyDescent="0.25">
      <c r="A139" s="40" t="s">
        <v>37</v>
      </c>
      <c r="B139" s="40">
        <v>13.700000000000001</v>
      </c>
      <c r="C139" s="44">
        <f t="shared" si="63"/>
        <v>1</v>
      </c>
      <c r="D139" s="44">
        <v>0</v>
      </c>
      <c r="E139" s="44">
        <v>0.01</v>
      </c>
      <c r="F139" s="38">
        <v>24.0242662</v>
      </c>
      <c r="G139" s="40">
        <v>0</v>
      </c>
      <c r="H139" s="35">
        <v>9.2499999999999999E-2</v>
      </c>
      <c r="I139" s="44">
        <v>0.22</v>
      </c>
      <c r="J139" s="38">
        <f t="shared" si="76"/>
        <v>114.1898283198768</v>
      </c>
      <c r="K139" s="38">
        <f t="shared" si="76"/>
        <v>113.50628574054844</v>
      </c>
      <c r="L139" s="38">
        <f t="shared" si="76"/>
        <v>111.705150180187</v>
      </c>
      <c r="M139" s="38">
        <f t="shared" si="76"/>
        <v>140.15774504639288</v>
      </c>
      <c r="N139" s="38">
        <f t="shared" si="76"/>
        <v>24.0242662</v>
      </c>
      <c r="O139" s="38">
        <f t="shared" si="76"/>
        <v>24.0242662</v>
      </c>
      <c r="P139" s="38">
        <f t="shared" si="76"/>
        <v>24.0242662</v>
      </c>
      <c r="Q139" s="38">
        <f t="shared" si="76"/>
        <v>24.0242662</v>
      </c>
      <c r="R139" s="38">
        <f t="shared" si="76"/>
        <v>24.0242662</v>
      </c>
      <c r="S139" s="38">
        <f t="shared" si="76"/>
        <v>24.0242662</v>
      </c>
      <c r="T139" s="38">
        <f t="shared" si="76"/>
        <v>24.0242662</v>
      </c>
      <c r="U139" s="38">
        <f t="shared" si="76"/>
        <v>24.0242662</v>
      </c>
      <c r="V139" s="38">
        <f t="shared" si="64"/>
        <v>161.31924605478108</v>
      </c>
      <c r="W139" s="38">
        <f t="shared" si="65"/>
        <v>160.35358584523337</v>
      </c>
      <c r="X139" s="38">
        <f t="shared" si="66"/>
        <v>157.80906997271597</v>
      </c>
      <c r="Y139" s="38">
        <f t="shared" si="67"/>
        <v>198.00486691586192</v>
      </c>
      <c r="Z139" s="38">
        <f t="shared" si="68"/>
        <v>33.939770007770008</v>
      </c>
      <c r="AA139" s="38">
        <f t="shared" si="69"/>
        <v>33.939770007770008</v>
      </c>
      <c r="AB139" s="38">
        <f t="shared" si="70"/>
        <v>33.939770007770008</v>
      </c>
      <c r="AC139" s="38">
        <f t="shared" si="71"/>
        <v>33.939770007770008</v>
      </c>
      <c r="AD139" s="38">
        <f t="shared" si="72"/>
        <v>33.939770007770008</v>
      </c>
      <c r="AE139" s="38">
        <f t="shared" si="73"/>
        <v>33.939770007770008</v>
      </c>
      <c r="AF139" s="38">
        <f t="shared" si="74"/>
        <v>33.939770007770008</v>
      </c>
      <c r="AG139" s="38">
        <f t="shared" si="75"/>
        <v>33.939770007770008</v>
      </c>
    </row>
    <row r="140" spans="1:33" ht="13" customHeight="1" x14ac:dyDescent="0.25">
      <c r="A140" s="40" t="s">
        <v>37</v>
      </c>
      <c r="B140" s="40">
        <v>13.700000000000001</v>
      </c>
      <c r="C140" s="44">
        <f t="shared" si="63"/>
        <v>0</v>
      </c>
      <c r="D140" s="44">
        <v>1</v>
      </c>
      <c r="E140" s="44">
        <v>0.01</v>
      </c>
      <c r="F140" s="38">
        <v>24.0242662</v>
      </c>
      <c r="G140" s="40">
        <v>0</v>
      </c>
      <c r="H140" s="35">
        <v>9.2499999999999999E-2</v>
      </c>
      <c r="I140" s="44">
        <v>0.12</v>
      </c>
      <c r="J140" s="38">
        <f t="shared" si="76"/>
        <v>139.68852988440031</v>
      </c>
      <c r="K140" s="38">
        <f t="shared" si="76"/>
        <v>131.76190559868604</v>
      </c>
      <c r="L140" s="38">
        <f t="shared" si="76"/>
        <v>119.8719691701146</v>
      </c>
      <c r="M140" s="38">
        <f t="shared" si="76"/>
        <v>125.71235140153715</v>
      </c>
      <c r="N140" s="38">
        <f t="shared" si="76"/>
        <v>58.294893721525078</v>
      </c>
      <c r="O140" s="38">
        <f t="shared" si="76"/>
        <v>58.294893721525078</v>
      </c>
      <c r="P140" s="38">
        <f t="shared" si="76"/>
        <v>58.294893721525078</v>
      </c>
      <c r="Q140" s="38">
        <f t="shared" si="76"/>
        <v>58.294893721525078</v>
      </c>
      <c r="R140" s="38">
        <f t="shared" si="76"/>
        <v>58.294893721525078</v>
      </c>
      <c r="S140" s="38">
        <f t="shared" si="76"/>
        <v>58.294893721525078</v>
      </c>
      <c r="T140" s="38">
        <f t="shared" si="76"/>
        <v>58.294893721525078</v>
      </c>
      <c r="U140" s="38">
        <f t="shared" si="76"/>
        <v>58.294893721525078</v>
      </c>
      <c r="V140" s="38">
        <f t="shared" si="64"/>
        <v>174.91676669722054</v>
      </c>
      <c r="W140" s="38">
        <f t="shared" si="65"/>
        <v>164.99111645214882</v>
      </c>
      <c r="X140" s="38">
        <f t="shared" si="66"/>
        <v>150.1026410845412</v>
      </c>
      <c r="Y140" s="38">
        <f t="shared" si="67"/>
        <v>157.41591710685844</v>
      </c>
      <c r="Z140" s="38">
        <f t="shared" si="68"/>
        <v>72.996360783277083</v>
      </c>
      <c r="AA140" s="38">
        <f t="shared" si="69"/>
        <v>72.996360783277083</v>
      </c>
      <c r="AB140" s="38">
        <f t="shared" si="70"/>
        <v>72.996360783277083</v>
      </c>
      <c r="AC140" s="38">
        <f t="shared" si="71"/>
        <v>72.996360783277083</v>
      </c>
      <c r="AD140" s="38">
        <f t="shared" si="72"/>
        <v>72.996360783277083</v>
      </c>
      <c r="AE140" s="38">
        <f t="shared" si="73"/>
        <v>72.996360783277083</v>
      </c>
      <c r="AF140" s="38">
        <f t="shared" si="74"/>
        <v>72.996360783277083</v>
      </c>
      <c r="AG140" s="38">
        <f t="shared" si="75"/>
        <v>72.996360783277083</v>
      </c>
    </row>
    <row r="141" spans="1:33" ht="13" customHeight="1" x14ac:dyDescent="0.25">
      <c r="A141" s="40" t="s">
        <v>37</v>
      </c>
      <c r="B141" s="40">
        <v>13.700000000000001</v>
      </c>
      <c r="C141" s="44">
        <f t="shared" si="63"/>
        <v>0.4</v>
      </c>
      <c r="D141" s="44">
        <v>0.6</v>
      </c>
      <c r="E141" s="44">
        <v>0.01</v>
      </c>
      <c r="F141" s="38">
        <v>24.0242662</v>
      </c>
      <c r="G141" s="40">
        <v>0</v>
      </c>
      <c r="H141" s="35">
        <v>9.2499999999999999E-2</v>
      </c>
      <c r="I141" s="44">
        <v>0.12</v>
      </c>
      <c r="J141" s="38">
        <f t="shared" si="76"/>
        <v>129.48904925859088</v>
      </c>
      <c r="K141" s="38">
        <f t="shared" si="76"/>
        <v>124.45965765543099</v>
      </c>
      <c r="L141" s="38">
        <f t="shared" si="76"/>
        <v>116.60524157414356</v>
      </c>
      <c r="M141" s="38">
        <f t="shared" si="76"/>
        <v>131.49050885947946</v>
      </c>
      <c r="N141" s="38">
        <f t="shared" si="76"/>
        <v>44.586642712915044</v>
      </c>
      <c r="O141" s="38">
        <f t="shared" si="76"/>
        <v>44.586642712915044</v>
      </c>
      <c r="P141" s="38">
        <f t="shared" si="76"/>
        <v>44.586642712915044</v>
      </c>
      <c r="Q141" s="38">
        <f t="shared" si="76"/>
        <v>44.586642712915044</v>
      </c>
      <c r="R141" s="38">
        <f t="shared" si="76"/>
        <v>44.586642712915044</v>
      </c>
      <c r="S141" s="38">
        <f t="shared" si="76"/>
        <v>44.586642712915044</v>
      </c>
      <c r="T141" s="38">
        <f t="shared" si="76"/>
        <v>44.586642712915044</v>
      </c>
      <c r="U141" s="38">
        <f t="shared" si="76"/>
        <v>44.586642712915044</v>
      </c>
      <c r="V141" s="38">
        <f t="shared" si="64"/>
        <v>162.14506543775468</v>
      </c>
      <c r="W141" s="38">
        <f t="shared" si="65"/>
        <v>155.84730485278109</v>
      </c>
      <c r="X141" s="38">
        <f t="shared" si="66"/>
        <v>146.01207309559675</v>
      </c>
      <c r="Y141" s="38">
        <f t="shared" si="67"/>
        <v>164.65127580701161</v>
      </c>
      <c r="Z141" s="38">
        <f t="shared" si="68"/>
        <v>55.831007654539256</v>
      </c>
      <c r="AA141" s="38">
        <f t="shared" si="69"/>
        <v>55.831007654539256</v>
      </c>
      <c r="AB141" s="38">
        <f t="shared" si="70"/>
        <v>55.831007654539256</v>
      </c>
      <c r="AC141" s="38">
        <f t="shared" si="71"/>
        <v>55.831007654539256</v>
      </c>
      <c r="AD141" s="38">
        <f t="shared" si="72"/>
        <v>55.831007654539256</v>
      </c>
      <c r="AE141" s="38">
        <f t="shared" si="73"/>
        <v>55.831007654539256</v>
      </c>
      <c r="AF141" s="38">
        <f t="shared" si="74"/>
        <v>55.831007654539256</v>
      </c>
      <c r="AG141" s="38">
        <f t="shared" si="75"/>
        <v>55.831007654539256</v>
      </c>
    </row>
    <row r="142" spans="1:33" ht="13" customHeight="1" x14ac:dyDescent="0.25">
      <c r="A142" s="40" t="s">
        <v>37</v>
      </c>
      <c r="B142" s="40">
        <v>13.700000000000001</v>
      </c>
      <c r="C142" s="44">
        <f t="shared" si="63"/>
        <v>0.6</v>
      </c>
      <c r="D142" s="44">
        <v>0.4</v>
      </c>
      <c r="E142" s="44">
        <v>0.01</v>
      </c>
      <c r="F142" s="38">
        <v>24.0242662</v>
      </c>
      <c r="G142" s="40">
        <v>0</v>
      </c>
      <c r="H142" s="35">
        <v>9.2499999999999999E-2</v>
      </c>
      <c r="I142" s="44">
        <v>0.12</v>
      </c>
      <c r="J142" s="38">
        <f t="shared" si="76"/>
        <v>124.38930894568621</v>
      </c>
      <c r="K142" s="38">
        <f t="shared" si="76"/>
        <v>120.80853368380347</v>
      </c>
      <c r="L142" s="38">
        <f t="shared" si="76"/>
        <v>114.97187777615804</v>
      </c>
      <c r="M142" s="38">
        <f t="shared" si="76"/>
        <v>134.37958758845056</v>
      </c>
      <c r="N142" s="38">
        <f t="shared" si="76"/>
        <v>37.732517208610034</v>
      </c>
      <c r="O142" s="38">
        <f t="shared" si="76"/>
        <v>37.732517208610034</v>
      </c>
      <c r="P142" s="38">
        <f t="shared" si="76"/>
        <v>37.732517208610034</v>
      </c>
      <c r="Q142" s="38">
        <f t="shared" si="76"/>
        <v>37.732517208610034</v>
      </c>
      <c r="R142" s="38">
        <f t="shared" si="76"/>
        <v>37.732517208610034</v>
      </c>
      <c r="S142" s="38">
        <f t="shared" si="76"/>
        <v>37.732517208610034</v>
      </c>
      <c r="T142" s="38">
        <f t="shared" si="76"/>
        <v>37.732517208610034</v>
      </c>
      <c r="U142" s="38">
        <f t="shared" si="76"/>
        <v>37.732517208610034</v>
      </c>
      <c r="V142" s="38">
        <f t="shared" si="64"/>
        <v>155.7592148080218</v>
      </c>
      <c r="W142" s="38">
        <f t="shared" si="65"/>
        <v>151.27539905309726</v>
      </c>
      <c r="X142" s="38">
        <f t="shared" si="66"/>
        <v>143.96678910112453</v>
      </c>
      <c r="Y142" s="38">
        <f t="shared" si="67"/>
        <v>168.2689551570881</v>
      </c>
      <c r="Z142" s="38">
        <f t="shared" si="68"/>
        <v>47.248331090170346</v>
      </c>
      <c r="AA142" s="38">
        <f t="shared" si="69"/>
        <v>47.248331090170346</v>
      </c>
      <c r="AB142" s="38">
        <f t="shared" si="70"/>
        <v>47.248331090170346</v>
      </c>
      <c r="AC142" s="38">
        <f t="shared" si="71"/>
        <v>47.248331090170346</v>
      </c>
      <c r="AD142" s="38">
        <f t="shared" si="72"/>
        <v>47.248331090170346</v>
      </c>
      <c r="AE142" s="38">
        <f t="shared" si="73"/>
        <v>47.248331090170346</v>
      </c>
      <c r="AF142" s="38">
        <f t="shared" si="74"/>
        <v>47.248331090170346</v>
      </c>
      <c r="AG142" s="38">
        <f t="shared" si="75"/>
        <v>47.248331090170346</v>
      </c>
    </row>
    <row r="143" spans="1:33" ht="13" customHeight="1" x14ac:dyDescent="0.25">
      <c r="A143" s="40" t="s">
        <v>37</v>
      </c>
      <c r="B143" s="40">
        <v>13.700000000000001</v>
      </c>
      <c r="C143" s="44">
        <f t="shared" si="63"/>
        <v>1</v>
      </c>
      <c r="D143" s="44">
        <v>0</v>
      </c>
      <c r="E143" s="44">
        <v>0.01</v>
      </c>
      <c r="F143" s="38">
        <v>24.0242662</v>
      </c>
      <c r="G143" s="40">
        <v>0</v>
      </c>
      <c r="H143" s="35">
        <v>9.2499999999999999E-2</v>
      </c>
      <c r="I143" s="44">
        <v>0.12</v>
      </c>
      <c r="J143" s="38">
        <f t="shared" si="76"/>
        <v>114.1898283198768</v>
      </c>
      <c r="K143" s="38">
        <f t="shared" si="76"/>
        <v>113.50628574054844</v>
      </c>
      <c r="L143" s="38">
        <f t="shared" si="76"/>
        <v>111.705150180187</v>
      </c>
      <c r="M143" s="38">
        <f t="shared" si="76"/>
        <v>140.15774504639288</v>
      </c>
      <c r="N143" s="38">
        <f t="shared" si="76"/>
        <v>24.0242662</v>
      </c>
      <c r="O143" s="38">
        <f t="shared" si="76"/>
        <v>24.0242662</v>
      </c>
      <c r="P143" s="38">
        <f t="shared" si="76"/>
        <v>24.0242662</v>
      </c>
      <c r="Q143" s="38">
        <f t="shared" si="76"/>
        <v>24.0242662</v>
      </c>
      <c r="R143" s="38">
        <f t="shared" si="76"/>
        <v>24.0242662</v>
      </c>
      <c r="S143" s="38">
        <f t="shared" si="76"/>
        <v>24.0242662</v>
      </c>
      <c r="T143" s="38">
        <f t="shared" si="76"/>
        <v>24.0242662</v>
      </c>
      <c r="U143" s="38">
        <f t="shared" si="76"/>
        <v>24.0242662</v>
      </c>
      <c r="V143" s="38">
        <f t="shared" si="64"/>
        <v>142.98751354855597</v>
      </c>
      <c r="W143" s="38">
        <f t="shared" si="65"/>
        <v>142.13158745372957</v>
      </c>
      <c r="X143" s="38">
        <f t="shared" si="66"/>
        <v>139.87622111218008</v>
      </c>
      <c r="Y143" s="38">
        <f t="shared" si="67"/>
        <v>175.50431385724127</v>
      </c>
      <c r="Z143" s="38">
        <f t="shared" si="68"/>
        <v>30.082977961432508</v>
      </c>
      <c r="AA143" s="38">
        <f t="shared" si="69"/>
        <v>30.082977961432508</v>
      </c>
      <c r="AB143" s="38">
        <f t="shared" si="70"/>
        <v>30.082977961432508</v>
      </c>
      <c r="AC143" s="38">
        <f t="shared" si="71"/>
        <v>30.082977961432508</v>
      </c>
      <c r="AD143" s="38">
        <f t="shared" si="72"/>
        <v>30.082977961432508</v>
      </c>
      <c r="AE143" s="38">
        <f t="shared" si="73"/>
        <v>30.082977961432508</v>
      </c>
      <c r="AF143" s="38">
        <f t="shared" si="74"/>
        <v>30.082977961432508</v>
      </c>
      <c r="AG143" s="38">
        <f t="shared" si="75"/>
        <v>30.082977961432508</v>
      </c>
    </row>
    <row r="144" spans="1:33" ht="13" customHeight="1" x14ac:dyDescent="0.25">
      <c r="A144" s="40" t="s">
        <v>37</v>
      </c>
      <c r="B144" s="40">
        <v>13.700000000000001</v>
      </c>
      <c r="C144" s="44">
        <f t="shared" si="63"/>
        <v>0</v>
      </c>
      <c r="D144" s="44">
        <v>1</v>
      </c>
      <c r="E144" s="44">
        <v>0.01</v>
      </c>
      <c r="F144" s="193">
        <v>24.0242662</v>
      </c>
      <c r="G144" s="40">
        <v>0</v>
      </c>
      <c r="H144" s="35">
        <v>9.2499999999999999E-2</v>
      </c>
      <c r="I144" s="44">
        <v>7.0000000000000007E-2</v>
      </c>
      <c r="J144" s="38">
        <f t="shared" si="76"/>
        <v>139.68852988440031</v>
      </c>
      <c r="K144" s="38">
        <f t="shared" si="76"/>
        <v>131.76190559868604</v>
      </c>
      <c r="L144" s="38">
        <f t="shared" si="76"/>
        <v>119.8719691701146</v>
      </c>
      <c r="M144" s="38">
        <f t="shared" si="76"/>
        <v>125.71235140153715</v>
      </c>
      <c r="N144" s="38">
        <f t="shared" si="76"/>
        <v>58.294893721525078</v>
      </c>
      <c r="O144" s="38">
        <f t="shared" si="76"/>
        <v>58.294893721525078</v>
      </c>
      <c r="P144" s="38">
        <f t="shared" si="76"/>
        <v>58.294893721525078</v>
      </c>
      <c r="Q144" s="38">
        <f t="shared" si="76"/>
        <v>58.294893721525078</v>
      </c>
      <c r="R144" s="38">
        <f t="shared" si="76"/>
        <v>58.294893721525078</v>
      </c>
      <c r="S144" s="38">
        <f t="shared" si="76"/>
        <v>58.294893721525078</v>
      </c>
      <c r="T144" s="38">
        <f t="shared" si="76"/>
        <v>58.294893721525078</v>
      </c>
      <c r="U144" s="38">
        <f t="shared" si="76"/>
        <v>58.294893721525078</v>
      </c>
      <c r="V144" s="38">
        <f t="shared" si="64"/>
        <v>165.51263945543451</v>
      </c>
      <c r="W144" s="38">
        <f t="shared" si="65"/>
        <v>156.12062632031285</v>
      </c>
      <c r="X144" s="38">
        <f t="shared" si="66"/>
        <v>142.03260661763039</v>
      </c>
      <c r="Y144" s="38">
        <f t="shared" si="67"/>
        <v>148.95269575702736</v>
      </c>
      <c r="Z144" s="38">
        <f t="shared" si="68"/>
        <v>69.071825257294449</v>
      </c>
      <c r="AA144" s="38">
        <f t="shared" si="69"/>
        <v>69.071825257294449</v>
      </c>
      <c r="AB144" s="38">
        <f t="shared" si="70"/>
        <v>69.071825257294449</v>
      </c>
      <c r="AC144" s="38">
        <f t="shared" si="71"/>
        <v>69.071825257294449</v>
      </c>
      <c r="AD144" s="38">
        <f t="shared" si="72"/>
        <v>69.071825257294449</v>
      </c>
      <c r="AE144" s="38">
        <f t="shared" si="73"/>
        <v>69.071825257294449</v>
      </c>
      <c r="AF144" s="38">
        <f t="shared" si="74"/>
        <v>69.071825257294449</v>
      </c>
      <c r="AG144" s="38">
        <f t="shared" si="75"/>
        <v>69.071825257294449</v>
      </c>
    </row>
    <row r="145" spans="1:33" ht="13" customHeight="1" x14ac:dyDescent="0.25">
      <c r="A145" s="40" t="s">
        <v>37</v>
      </c>
      <c r="B145" s="40">
        <v>13.700000000000001</v>
      </c>
      <c r="C145" s="44">
        <f t="shared" si="63"/>
        <v>0.4</v>
      </c>
      <c r="D145" s="44">
        <v>0.6</v>
      </c>
      <c r="E145" s="44">
        <v>0.01</v>
      </c>
      <c r="F145" s="193">
        <v>24.0242662</v>
      </c>
      <c r="G145" s="40">
        <v>0</v>
      </c>
      <c r="H145" s="35">
        <v>9.2499999999999999E-2</v>
      </c>
      <c r="I145" s="44">
        <v>7.0000000000000007E-2</v>
      </c>
      <c r="J145" s="38">
        <f t="shared" si="76"/>
        <v>129.48904925859088</v>
      </c>
      <c r="K145" s="38">
        <f t="shared" si="76"/>
        <v>124.45965765543099</v>
      </c>
      <c r="L145" s="38">
        <f t="shared" si="76"/>
        <v>116.60524157414356</v>
      </c>
      <c r="M145" s="38">
        <f t="shared" si="76"/>
        <v>131.49050885947946</v>
      </c>
      <c r="N145" s="38">
        <f t="shared" si="76"/>
        <v>44.586642712915044</v>
      </c>
      <c r="O145" s="38">
        <f t="shared" si="76"/>
        <v>44.586642712915044</v>
      </c>
      <c r="P145" s="38">
        <f t="shared" si="76"/>
        <v>44.586642712915044</v>
      </c>
      <c r="Q145" s="38">
        <f t="shared" si="76"/>
        <v>44.586642712915044</v>
      </c>
      <c r="R145" s="38">
        <f t="shared" si="76"/>
        <v>44.586642712915044</v>
      </c>
      <c r="S145" s="38">
        <f t="shared" si="76"/>
        <v>44.586642712915044</v>
      </c>
      <c r="T145" s="38">
        <f t="shared" si="76"/>
        <v>44.586642712915044</v>
      </c>
      <c r="U145" s="38">
        <f t="shared" si="76"/>
        <v>44.586642712915044</v>
      </c>
      <c r="V145" s="38">
        <f t="shared" si="64"/>
        <v>153.42758880131626</v>
      </c>
      <c r="W145" s="38">
        <f t="shared" si="65"/>
        <v>147.46841749510469</v>
      </c>
      <c r="X145" s="38">
        <f t="shared" si="66"/>
        <v>138.16196163884425</v>
      </c>
      <c r="Y145" s="38">
        <f t="shared" si="67"/>
        <v>155.79905667760241</v>
      </c>
      <c r="Z145" s="38">
        <f t="shared" si="68"/>
        <v>52.829340576338218</v>
      </c>
      <c r="AA145" s="38">
        <f t="shared" si="69"/>
        <v>52.829340576338218</v>
      </c>
      <c r="AB145" s="38">
        <f t="shared" si="70"/>
        <v>52.829340576338218</v>
      </c>
      <c r="AC145" s="38">
        <f t="shared" si="71"/>
        <v>52.829340576338218</v>
      </c>
      <c r="AD145" s="38">
        <f t="shared" si="72"/>
        <v>52.829340576338218</v>
      </c>
      <c r="AE145" s="38">
        <f t="shared" si="73"/>
        <v>52.829340576338218</v>
      </c>
      <c r="AF145" s="38">
        <f t="shared" si="74"/>
        <v>52.829340576338218</v>
      </c>
      <c r="AG145" s="38">
        <f t="shared" si="75"/>
        <v>52.829340576338218</v>
      </c>
    </row>
    <row r="146" spans="1:33" ht="13" customHeight="1" x14ac:dyDescent="0.25">
      <c r="A146" s="40" t="s">
        <v>37</v>
      </c>
      <c r="B146" s="40">
        <v>13.700000000000001</v>
      </c>
      <c r="C146" s="44">
        <f t="shared" si="63"/>
        <v>0.6</v>
      </c>
      <c r="D146" s="44">
        <v>0.4</v>
      </c>
      <c r="E146" s="44">
        <v>0.01</v>
      </c>
      <c r="F146" s="193">
        <v>24.0242662</v>
      </c>
      <c r="G146" s="40">
        <v>0</v>
      </c>
      <c r="H146" s="35">
        <v>9.2499999999999999E-2</v>
      </c>
      <c r="I146" s="44">
        <v>7.0000000000000007E-2</v>
      </c>
      <c r="J146" s="38">
        <f t="shared" ref="J146:U155" si="77">(((((J$18*$C146)+(J$19*$D146))*(1+$E146))*($B146/1000))+$F146+($G146*J$5))*(1+J$27)</f>
        <v>124.38930894568621</v>
      </c>
      <c r="K146" s="38">
        <f t="shared" si="77"/>
        <v>120.80853368380347</v>
      </c>
      <c r="L146" s="38">
        <f t="shared" si="77"/>
        <v>114.97187777615804</v>
      </c>
      <c r="M146" s="38">
        <f t="shared" si="77"/>
        <v>134.37958758845056</v>
      </c>
      <c r="N146" s="38">
        <f t="shared" si="77"/>
        <v>37.732517208610034</v>
      </c>
      <c r="O146" s="38">
        <f t="shared" si="77"/>
        <v>37.732517208610034</v>
      </c>
      <c r="P146" s="38">
        <f t="shared" si="77"/>
        <v>37.732517208610034</v>
      </c>
      <c r="Q146" s="38">
        <f t="shared" si="77"/>
        <v>37.732517208610034</v>
      </c>
      <c r="R146" s="38">
        <f t="shared" si="77"/>
        <v>37.732517208610034</v>
      </c>
      <c r="S146" s="38">
        <f t="shared" si="77"/>
        <v>37.732517208610034</v>
      </c>
      <c r="T146" s="38">
        <f t="shared" si="77"/>
        <v>37.732517208610034</v>
      </c>
      <c r="U146" s="38">
        <f t="shared" si="77"/>
        <v>37.732517208610034</v>
      </c>
      <c r="V146" s="38">
        <f t="shared" si="64"/>
        <v>147.38506347425718</v>
      </c>
      <c r="W146" s="38">
        <f t="shared" si="65"/>
        <v>143.14231308250064</v>
      </c>
      <c r="X146" s="38">
        <f t="shared" si="66"/>
        <v>136.22663914945116</v>
      </c>
      <c r="Y146" s="38">
        <f t="shared" si="67"/>
        <v>159.22223713788983</v>
      </c>
      <c r="Z146" s="38">
        <f t="shared" si="68"/>
        <v>44.708098235860113</v>
      </c>
      <c r="AA146" s="38">
        <f t="shared" si="69"/>
        <v>44.708098235860113</v>
      </c>
      <c r="AB146" s="38">
        <f t="shared" si="70"/>
        <v>44.708098235860113</v>
      </c>
      <c r="AC146" s="38">
        <f t="shared" si="71"/>
        <v>44.708098235860113</v>
      </c>
      <c r="AD146" s="38">
        <f t="shared" si="72"/>
        <v>44.708098235860113</v>
      </c>
      <c r="AE146" s="38">
        <f t="shared" si="73"/>
        <v>44.708098235860113</v>
      </c>
      <c r="AF146" s="38">
        <f t="shared" si="74"/>
        <v>44.708098235860113</v>
      </c>
      <c r="AG146" s="38">
        <f t="shared" si="75"/>
        <v>44.708098235860113</v>
      </c>
    </row>
    <row r="147" spans="1:33" ht="13" customHeight="1" x14ac:dyDescent="0.25">
      <c r="A147" s="40" t="s">
        <v>37</v>
      </c>
      <c r="B147" s="40">
        <v>13.700000000000001</v>
      </c>
      <c r="C147" s="44">
        <f t="shared" si="63"/>
        <v>1</v>
      </c>
      <c r="D147" s="44">
        <v>0</v>
      </c>
      <c r="E147" s="44">
        <v>0.01</v>
      </c>
      <c r="F147" s="193">
        <v>24.0242662</v>
      </c>
      <c r="G147" s="40">
        <v>0</v>
      </c>
      <c r="H147" s="35">
        <v>9.2499999999999999E-2</v>
      </c>
      <c r="I147" s="44">
        <v>7.0000000000000007E-2</v>
      </c>
      <c r="J147" s="38">
        <f t="shared" si="77"/>
        <v>114.1898283198768</v>
      </c>
      <c r="K147" s="38">
        <f t="shared" si="77"/>
        <v>113.50628574054844</v>
      </c>
      <c r="L147" s="38">
        <f t="shared" si="77"/>
        <v>111.705150180187</v>
      </c>
      <c r="M147" s="38">
        <f t="shared" si="77"/>
        <v>140.15774504639288</v>
      </c>
      <c r="N147" s="38">
        <f t="shared" si="77"/>
        <v>24.0242662</v>
      </c>
      <c r="O147" s="38">
        <f t="shared" si="77"/>
        <v>24.0242662</v>
      </c>
      <c r="P147" s="38">
        <f t="shared" si="77"/>
        <v>24.0242662</v>
      </c>
      <c r="Q147" s="38">
        <f t="shared" si="77"/>
        <v>24.0242662</v>
      </c>
      <c r="R147" s="38">
        <f t="shared" si="77"/>
        <v>24.0242662</v>
      </c>
      <c r="S147" s="38">
        <f t="shared" si="77"/>
        <v>24.0242662</v>
      </c>
      <c r="T147" s="38">
        <f t="shared" si="77"/>
        <v>24.0242662</v>
      </c>
      <c r="U147" s="38">
        <f t="shared" si="77"/>
        <v>24.0242662</v>
      </c>
      <c r="V147" s="38">
        <f t="shared" si="64"/>
        <v>135.30001282013899</v>
      </c>
      <c r="W147" s="38">
        <f t="shared" si="65"/>
        <v>134.4901042572925</v>
      </c>
      <c r="X147" s="38">
        <f t="shared" si="66"/>
        <v>132.35599417066501</v>
      </c>
      <c r="Y147" s="38">
        <f t="shared" si="67"/>
        <v>166.06859805846486</v>
      </c>
      <c r="Z147" s="38">
        <f t="shared" si="68"/>
        <v>28.465613554903882</v>
      </c>
      <c r="AA147" s="38">
        <f t="shared" si="69"/>
        <v>28.465613554903882</v>
      </c>
      <c r="AB147" s="38">
        <f t="shared" si="70"/>
        <v>28.465613554903882</v>
      </c>
      <c r="AC147" s="38">
        <f t="shared" si="71"/>
        <v>28.465613554903882</v>
      </c>
      <c r="AD147" s="38">
        <f t="shared" si="72"/>
        <v>28.465613554903882</v>
      </c>
      <c r="AE147" s="38">
        <f t="shared" si="73"/>
        <v>28.465613554903882</v>
      </c>
      <c r="AF147" s="38">
        <f t="shared" si="74"/>
        <v>28.465613554903882</v>
      </c>
      <c r="AG147" s="38">
        <f t="shared" si="75"/>
        <v>28.465613554903882</v>
      </c>
    </row>
    <row r="148" spans="1:33" ht="13" customHeight="1" x14ac:dyDescent="0.25">
      <c r="A148" s="40" t="s">
        <v>37</v>
      </c>
      <c r="B148" s="40">
        <v>17.8</v>
      </c>
      <c r="C148" s="44">
        <f t="shared" si="63"/>
        <v>0</v>
      </c>
      <c r="D148" s="44">
        <v>1</v>
      </c>
      <c r="E148" s="44">
        <v>0.01</v>
      </c>
      <c r="F148" s="194">
        <v>29.1358122</v>
      </c>
      <c r="G148" s="40">
        <v>0</v>
      </c>
      <c r="H148" s="35">
        <v>9.2499999999999999E-2</v>
      </c>
      <c r="I148" s="45">
        <v>0.22</v>
      </c>
      <c r="J148" s="38">
        <f t="shared" si="77"/>
        <v>179.40973302512961</v>
      </c>
      <c r="K148" s="38">
        <f t="shared" si="77"/>
        <v>169.11090731084391</v>
      </c>
      <c r="L148" s="38">
        <f t="shared" si="77"/>
        <v>153.66266873941532</v>
      </c>
      <c r="M148" s="38">
        <f t="shared" si="77"/>
        <v>161.25263441912369</v>
      </c>
      <c r="N148" s="38">
        <f t="shared" si="77"/>
        <v>73.662612921397539</v>
      </c>
      <c r="O148" s="38">
        <f t="shared" si="77"/>
        <v>73.662612921397539</v>
      </c>
      <c r="P148" s="38">
        <f t="shared" si="77"/>
        <v>73.662612921397539</v>
      </c>
      <c r="Q148" s="38">
        <f t="shared" si="77"/>
        <v>73.662612921397539</v>
      </c>
      <c r="R148" s="38">
        <f t="shared" si="77"/>
        <v>73.662612921397539</v>
      </c>
      <c r="S148" s="38">
        <f t="shared" si="77"/>
        <v>73.662612921397539</v>
      </c>
      <c r="T148" s="38">
        <f t="shared" si="77"/>
        <v>73.662612921397539</v>
      </c>
      <c r="U148" s="38">
        <f t="shared" si="77"/>
        <v>73.662612921397539</v>
      </c>
      <c r="V148" s="38">
        <f t="shared" si="64"/>
        <v>253.45727629459577</v>
      </c>
      <c r="W148" s="38">
        <f t="shared" si="65"/>
        <v>238.9078297815129</v>
      </c>
      <c r="X148" s="38">
        <f t="shared" si="66"/>
        <v>217.08366001188855</v>
      </c>
      <c r="Y148" s="38">
        <f t="shared" si="67"/>
        <v>227.80622224923883</v>
      </c>
      <c r="Z148" s="38">
        <f t="shared" si="68"/>
        <v>104.06528631969704</v>
      </c>
      <c r="AA148" s="38">
        <f t="shared" si="69"/>
        <v>104.06528631969704</v>
      </c>
      <c r="AB148" s="38">
        <f t="shared" si="70"/>
        <v>104.06528631969704</v>
      </c>
      <c r="AC148" s="38">
        <f t="shared" si="71"/>
        <v>104.06528631969704</v>
      </c>
      <c r="AD148" s="38">
        <f t="shared" si="72"/>
        <v>104.06528631969704</v>
      </c>
      <c r="AE148" s="38">
        <f t="shared" si="73"/>
        <v>104.06528631969704</v>
      </c>
      <c r="AF148" s="38">
        <f t="shared" si="74"/>
        <v>104.06528631969704</v>
      </c>
      <c r="AG148" s="38">
        <f t="shared" si="75"/>
        <v>104.06528631969704</v>
      </c>
    </row>
    <row r="149" spans="1:33" ht="13" customHeight="1" x14ac:dyDescent="0.25">
      <c r="A149" s="40" t="s">
        <v>37</v>
      </c>
      <c r="B149" s="40">
        <v>17.8</v>
      </c>
      <c r="C149" s="44">
        <f t="shared" si="63"/>
        <v>0.4</v>
      </c>
      <c r="D149" s="44">
        <v>0.6</v>
      </c>
      <c r="E149" s="44">
        <v>0.01</v>
      </c>
      <c r="F149" s="194">
        <v>29.1358122</v>
      </c>
      <c r="G149" s="40">
        <v>0</v>
      </c>
      <c r="H149" s="35">
        <v>9.2499999999999999E-2</v>
      </c>
      <c r="I149" s="45">
        <v>0.22</v>
      </c>
      <c r="J149" s="38">
        <f t="shared" si="77"/>
        <v>166.15785308794659</v>
      </c>
      <c r="K149" s="38">
        <f t="shared" si="77"/>
        <v>159.62331509260011</v>
      </c>
      <c r="L149" s="38">
        <f t="shared" si="77"/>
        <v>149.41830733735074</v>
      </c>
      <c r="M149" s="38">
        <f t="shared" si="77"/>
        <v>168.7600214812677</v>
      </c>
      <c r="N149" s="38">
        <f t="shared" si="77"/>
        <v>55.851892632838528</v>
      </c>
      <c r="O149" s="38">
        <f t="shared" si="77"/>
        <v>55.851892632838528</v>
      </c>
      <c r="P149" s="38">
        <f t="shared" si="77"/>
        <v>55.851892632838528</v>
      </c>
      <c r="Q149" s="38">
        <f t="shared" si="77"/>
        <v>55.851892632838528</v>
      </c>
      <c r="R149" s="38">
        <f t="shared" si="77"/>
        <v>55.851892632838528</v>
      </c>
      <c r="S149" s="38">
        <f t="shared" si="77"/>
        <v>55.851892632838528</v>
      </c>
      <c r="T149" s="38">
        <f t="shared" si="77"/>
        <v>55.851892632838528</v>
      </c>
      <c r="U149" s="38">
        <f t="shared" si="77"/>
        <v>55.851892632838528</v>
      </c>
      <c r="V149" s="38">
        <f t="shared" si="64"/>
        <v>234.73596537111899</v>
      </c>
      <c r="W149" s="38">
        <f t="shared" si="65"/>
        <v>225.50443609889115</v>
      </c>
      <c r="X149" s="38">
        <f t="shared" si="66"/>
        <v>211.08752890774986</v>
      </c>
      <c r="Y149" s="38">
        <f t="shared" si="67"/>
        <v>238.41212330475057</v>
      </c>
      <c r="Z149" s="38">
        <f t="shared" si="68"/>
        <v>78.903570859417286</v>
      </c>
      <c r="AA149" s="38">
        <f t="shared" si="69"/>
        <v>78.903570859417286</v>
      </c>
      <c r="AB149" s="38">
        <f t="shared" si="70"/>
        <v>78.903570859417286</v>
      </c>
      <c r="AC149" s="38">
        <f t="shared" si="71"/>
        <v>78.903570859417286</v>
      </c>
      <c r="AD149" s="38">
        <f t="shared" si="72"/>
        <v>78.903570859417286</v>
      </c>
      <c r="AE149" s="38">
        <f t="shared" si="73"/>
        <v>78.903570859417286</v>
      </c>
      <c r="AF149" s="38">
        <f t="shared" si="74"/>
        <v>78.903570859417286</v>
      </c>
      <c r="AG149" s="38">
        <f t="shared" si="75"/>
        <v>78.903570859417286</v>
      </c>
    </row>
    <row r="150" spans="1:33" ht="13" customHeight="1" x14ac:dyDescent="0.25">
      <c r="A150" s="40" t="s">
        <v>37</v>
      </c>
      <c r="B150" s="40">
        <v>17.8</v>
      </c>
      <c r="C150" s="44">
        <f t="shared" si="63"/>
        <v>0.6</v>
      </c>
      <c r="D150" s="44">
        <v>0.4</v>
      </c>
      <c r="E150" s="44">
        <v>0.01</v>
      </c>
      <c r="F150" s="194">
        <v>29.1358122</v>
      </c>
      <c r="G150" s="40">
        <v>0</v>
      </c>
      <c r="H150" s="35">
        <v>9.2499999999999999E-2</v>
      </c>
      <c r="I150" s="45">
        <v>0.22</v>
      </c>
      <c r="J150" s="38">
        <f t="shared" si="77"/>
        <v>159.5319131193551</v>
      </c>
      <c r="K150" s="38">
        <f t="shared" si="77"/>
        <v>154.87951898347822</v>
      </c>
      <c r="L150" s="38">
        <f t="shared" si="77"/>
        <v>147.29612663631849</v>
      </c>
      <c r="M150" s="38">
        <f t="shared" si="77"/>
        <v>172.51371501233967</v>
      </c>
      <c r="N150" s="38">
        <f t="shared" si="77"/>
        <v>46.946532488559015</v>
      </c>
      <c r="O150" s="38">
        <f t="shared" si="77"/>
        <v>46.946532488559015</v>
      </c>
      <c r="P150" s="38">
        <f t="shared" si="77"/>
        <v>46.946532488559015</v>
      </c>
      <c r="Q150" s="38">
        <f t="shared" si="77"/>
        <v>46.946532488559015</v>
      </c>
      <c r="R150" s="38">
        <f t="shared" si="77"/>
        <v>46.946532488559015</v>
      </c>
      <c r="S150" s="38">
        <f t="shared" si="77"/>
        <v>46.946532488559015</v>
      </c>
      <c r="T150" s="38">
        <f t="shared" si="77"/>
        <v>46.946532488559015</v>
      </c>
      <c r="U150" s="38">
        <f t="shared" si="77"/>
        <v>46.946532488559015</v>
      </c>
      <c r="V150" s="38">
        <f t="shared" si="64"/>
        <v>225.37530990938063</v>
      </c>
      <c r="W150" s="38">
        <f t="shared" si="65"/>
        <v>218.80273925758033</v>
      </c>
      <c r="X150" s="38">
        <f t="shared" si="66"/>
        <v>208.08946335568058</v>
      </c>
      <c r="Y150" s="38">
        <f t="shared" si="67"/>
        <v>243.71507383250642</v>
      </c>
      <c r="Z150" s="38">
        <f t="shared" si="68"/>
        <v>66.322713129277417</v>
      </c>
      <c r="AA150" s="38">
        <f t="shared" si="69"/>
        <v>66.322713129277417</v>
      </c>
      <c r="AB150" s="38">
        <f t="shared" si="70"/>
        <v>66.322713129277417</v>
      </c>
      <c r="AC150" s="38">
        <f t="shared" si="71"/>
        <v>66.322713129277417</v>
      </c>
      <c r="AD150" s="38">
        <f t="shared" si="72"/>
        <v>66.322713129277417</v>
      </c>
      <c r="AE150" s="38">
        <f t="shared" si="73"/>
        <v>66.322713129277417</v>
      </c>
      <c r="AF150" s="38">
        <f t="shared" si="74"/>
        <v>66.322713129277417</v>
      </c>
      <c r="AG150" s="38">
        <f t="shared" si="75"/>
        <v>66.322713129277417</v>
      </c>
    </row>
    <row r="151" spans="1:33" ht="13" customHeight="1" x14ac:dyDescent="0.25">
      <c r="A151" s="40" t="s">
        <v>37</v>
      </c>
      <c r="B151" s="40">
        <v>17.8</v>
      </c>
      <c r="C151" s="44">
        <f t="shared" si="63"/>
        <v>1</v>
      </c>
      <c r="D151" s="44">
        <v>0</v>
      </c>
      <c r="E151" s="44">
        <v>0.01</v>
      </c>
      <c r="F151" s="194">
        <v>29.1358122</v>
      </c>
      <c r="G151" s="40">
        <v>0</v>
      </c>
      <c r="H151" s="35">
        <v>9.2499999999999999E-2</v>
      </c>
      <c r="I151" s="45">
        <v>0.22</v>
      </c>
      <c r="J151" s="38">
        <f t="shared" si="77"/>
        <v>146.28003318217205</v>
      </c>
      <c r="K151" s="38">
        <f t="shared" si="77"/>
        <v>145.39192676523444</v>
      </c>
      <c r="L151" s="38">
        <f t="shared" si="77"/>
        <v>143.05176523425391</v>
      </c>
      <c r="M151" s="38">
        <f t="shared" si="77"/>
        <v>180.02110207448368</v>
      </c>
      <c r="N151" s="38">
        <f t="shared" si="77"/>
        <v>29.1358122</v>
      </c>
      <c r="O151" s="38">
        <f t="shared" si="77"/>
        <v>29.1358122</v>
      </c>
      <c r="P151" s="38">
        <f t="shared" si="77"/>
        <v>29.1358122</v>
      </c>
      <c r="Q151" s="38">
        <f t="shared" si="77"/>
        <v>29.1358122</v>
      </c>
      <c r="R151" s="38">
        <f t="shared" si="77"/>
        <v>29.1358122</v>
      </c>
      <c r="S151" s="38">
        <f t="shared" si="77"/>
        <v>29.1358122</v>
      </c>
      <c r="T151" s="38">
        <f t="shared" si="77"/>
        <v>29.1358122</v>
      </c>
      <c r="U151" s="38">
        <f t="shared" si="77"/>
        <v>29.1358122</v>
      </c>
      <c r="V151" s="38">
        <f t="shared" si="64"/>
        <v>206.65399898590385</v>
      </c>
      <c r="W151" s="38">
        <f t="shared" si="65"/>
        <v>205.3993455749586</v>
      </c>
      <c r="X151" s="38">
        <f t="shared" si="66"/>
        <v>202.09333225154185</v>
      </c>
      <c r="Y151" s="38">
        <f t="shared" si="67"/>
        <v>254.32097488801821</v>
      </c>
      <c r="Z151" s="38">
        <f t="shared" si="68"/>
        <v>41.160997668997666</v>
      </c>
      <c r="AA151" s="38">
        <f t="shared" si="69"/>
        <v>41.160997668997666</v>
      </c>
      <c r="AB151" s="38">
        <f t="shared" si="70"/>
        <v>41.160997668997666</v>
      </c>
      <c r="AC151" s="38">
        <f t="shared" si="71"/>
        <v>41.160997668997666</v>
      </c>
      <c r="AD151" s="38">
        <f t="shared" si="72"/>
        <v>41.160997668997666</v>
      </c>
      <c r="AE151" s="38">
        <f t="shared" si="73"/>
        <v>41.160997668997666</v>
      </c>
      <c r="AF151" s="38">
        <f t="shared" si="74"/>
        <v>41.160997668997666</v>
      </c>
      <c r="AG151" s="38">
        <f t="shared" si="75"/>
        <v>41.160997668997666</v>
      </c>
    </row>
    <row r="152" spans="1:33" ht="13" customHeight="1" x14ac:dyDescent="0.25">
      <c r="A152" s="40" t="s">
        <v>37</v>
      </c>
      <c r="B152" s="40">
        <v>17.8</v>
      </c>
      <c r="C152" s="44">
        <f t="shared" si="63"/>
        <v>0</v>
      </c>
      <c r="D152" s="44">
        <v>1</v>
      </c>
      <c r="E152" s="44">
        <v>0.01</v>
      </c>
      <c r="F152" s="194">
        <v>29.1358122</v>
      </c>
      <c r="G152" s="40">
        <v>0</v>
      </c>
      <c r="H152" s="35">
        <v>9.2499999999999999E-2</v>
      </c>
      <c r="I152" s="45">
        <v>0.12</v>
      </c>
      <c r="J152" s="38">
        <f t="shared" si="77"/>
        <v>179.40973302512961</v>
      </c>
      <c r="K152" s="38">
        <f t="shared" si="77"/>
        <v>169.11090731084391</v>
      </c>
      <c r="L152" s="38">
        <f t="shared" si="77"/>
        <v>153.66266873941532</v>
      </c>
      <c r="M152" s="38">
        <f t="shared" si="77"/>
        <v>161.25263441912369</v>
      </c>
      <c r="N152" s="38">
        <f t="shared" si="77"/>
        <v>73.662612921397539</v>
      </c>
      <c r="O152" s="38">
        <f t="shared" si="77"/>
        <v>73.662612921397539</v>
      </c>
      <c r="P152" s="38">
        <f t="shared" si="77"/>
        <v>73.662612921397539</v>
      </c>
      <c r="Q152" s="38">
        <f t="shared" si="77"/>
        <v>73.662612921397539</v>
      </c>
      <c r="R152" s="38">
        <f t="shared" si="77"/>
        <v>73.662612921397539</v>
      </c>
      <c r="S152" s="38">
        <f t="shared" si="77"/>
        <v>73.662612921397539</v>
      </c>
      <c r="T152" s="38">
        <f t="shared" si="77"/>
        <v>73.662612921397539</v>
      </c>
      <c r="U152" s="38">
        <f t="shared" si="77"/>
        <v>73.662612921397539</v>
      </c>
      <c r="V152" s="38">
        <f t="shared" si="64"/>
        <v>224.65531307930081</v>
      </c>
      <c r="W152" s="38">
        <f t="shared" si="65"/>
        <v>211.75921276088644</v>
      </c>
      <c r="X152" s="38">
        <f t="shared" si="66"/>
        <v>192.41506228326486</v>
      </c>
      <c r="Y152" s="38">
        <f t="shared" si="67"/>
        <v>201.91915153909807</v>
      </c>
      <c r="Z152" s="38">
        <f t="shared" si="68"/>
        <v>92.239685601549652</v>
      </c>
      <c r="AA152" s="38">
        <f t="shared" si="69"/>
        <v>92.239685601549652</v>
      </c>
      <c r="AB152" s="38">
        <f t="shared" si="70"/>
        <v>92.239685601549652</v>
      </c>
      <c r="AC152" s="38">
        <f t="shared" si="71"/>
        <v>92.239685601549652</v>
      </c>
      <c r="AD152" s="38">
        <f t="shared" si="72"/>
        <v>92.239685601549652</v>
      </c>
      <c r="AE152" s="38">
        <f t="shared" si="73"/>
        <v>92.239685601549652</v>
      </c>
      <c r="AF152" s="38">
        <f t="shared" si="74"/>
        <v>92.239685601549652</v>
      </c>
      <c r="AG152" s="38">
        <f t="shared" si="75"/>
        <v>92.239685601549652</v>
      </c>
    </row>
    <row r="153" spans="1:33" ht="13" customHeight="1" x14ac:dyDescent="0.25">
      <c r="A153" s="40" t="s">
        <v>37</v>
      </c>
      <c r="B153" s="40">
        <v>17.8</v>
      </c>
      <c r="C153" s="44">
        <f t="shared" si="63"/>
        <v>0.4</v>
      </c>
      <c r="D153" s="44">
        <v>0.6</v>
      </c>
      <c r="E153" s="44">
        <v>0.01</v>
      </c>
      <c r="F153" s="194">
        <v>29.1358122</v>
      </c>
      <c r="G153" s="40">
        <v>0</v>
      </c>
      <c r="H153" s="35">
        <v>9.2499999999999999E-2</v>
      </c>
      <c r="I153" s="45">
        <v>0.12</v>
      </c>
      <c r="J153" s="38">
        <f t="shared" si="77"/>
        <v>166.15785308794659</v>
      </c>
      <c r="K153" s="38">
        <f t="shared" si="77"/>
        <v>159.62331509260011</v>
      </c>
      <c r="L153" s="38">
        <f t="shared" si="77"/>
        <v>149.41830733735074</v>
      </c>
      <c r="M153" s="38">
        <f t="shared" si="77"/>
        <v>168.7600214812677</v>
      </c>
      <c r="N153" s="38">
        <f t="shared" si="77"/>
        <v>55.851892632838528</v>
      </c>
      <c r="O153" s="38">
        <f t="shared" si="77"/>
        <v>55.851892632838528</v>
      </c>
      <c r="P153" s="38">
        <f t="shared" si="77"/>
        <v>55.851892632838528</v>
      </c>
      <c r="Q153" s="38">
        <f t="shared" si="77"/>
        <v>55.851892632838528</v>
      </c>
      <c r="R153" s="38">
        <f t="shared" si="77"/>
        <v>55.851892632838528</v>
      </c>
      <c r="S153" s="38">
        <f t="shared" si="77"/>
        <v>55.851892632838528</v>
      </c>
      <c r="T153" s="38">
        <f t="shared" si="77"/>
        <v>55.851892632838528</v>
      </c>
      <c r="U153" s="38">
        <f t="shared" si="77"/>
        <v>55.851892632838528</v>
      </c>
      <c r="V153" s="38">
        <f t="shared" si="64"/>
        <v>208.06142385167368</v>
      </c>
      <c r="W153" s="38">
        <f t="shared" si="65"/>
        <v>199.87893199674446</v>
      </c>
      <c r="X153" s="38">
        <f t="shared" si="66"/>
        <v>187.10030971368738</v>
      </c>
      <c r="Y153" s="38">
        <f t="shared" si="67"/>
        <v>211.31983656557438</v>
      </c>
      <c r="Z153" s="38">
        <f t="shared" si="68"/>
        <v>69.937255989028955</v>
      </c>
      <c r="AA153" s="38">
        <f t="shared" si="69"/>
        <v>69.937255989028955</v>
      </c>
      <c r="AB153" s="38">
        <f t="shared" si="70"/>
        <v>69.937255989028955</v>
      </c>
      <c r="AC153" s="38">
        <f t="shared" si="71"/>
        <v>69.937255989028955</v>
      </c>
      <c r="AD153" s="38">
        <f t="shared" si="72"/>
        <v>69.937255989028955</v>
      </c>
      <c r="AE153" s="38">
        <f t="shared" si="73"/>
        <v>69.937255989028955</v>
      </c>
      <c r="AF153" s="38">
        <f t="shared" si="74"/>
        <v>69.937255989028955</v>
      </c>
      <c r="AG153" s="38">
        <f t="shared" si="75"/>
        <v>69.937255989028955</v>
      </c>
    </row>
    <row r="154" spans="1:33" ht="13" customHeight="1" x14ac:dyDescent="0.25">
      <c r="A154" s="40" t="s">
        <v>37</v>
      </c>
      <c r="B154" s="40">
        <v>17.8</v>
      </c>
      <c r="C154" s="44">
        <f t="shared" si="63"/>
        <v>0.6</v>
      </c>
      <c r="D154" s="44">
        <v>0.4</v>
      </c>
      <c r="E154" s="44">
        <v>0.01</v>
      </c>
      <c r="F154" s="194">
        <v>29.1358122</v>
      </c>
      <c r="G154" s="40">
        <v>0</v>
      </c>
      <c r="H154" s="35">
        <v>9.2499999999999999E-2</v>
      </c>
      <c r="I154" s="45">
        <v>0.12</v>
      </c>
      <c r="J154" s="38">
        <f t="shared" si="77"/>
        <v>159.5319131193551</v>
      </c>
      <c r="K154" s="38">
        <f t="shared" si="77"/>
        <v>154.87951898347822</v>
      </c>
      <c r="L154" s="38">
        <f t="shared" si="77"/>
        <v>147.29612663631849</v>
      </c>
      <c r="M154" s="38">
        <f t="shared" si="77"/>
        <v>172.51371501233967</v>
      </c>
      <c r="N154" s="38">
        <f t="shared" si="77"/>
        <v>46.946532488559015</v>
      </c>
      <c r="O154" s="38">
        <f t="shared" si="77"/>
        <v>46.946532488559015</v>
      </c>
      <c r="P154" s="38">
        <f t="shared" si="77"/>
        <v>46.946532488559015</v>
      </c>
      <c r="Q154" s="38">
        <f t="shared" si="77"/>
        <v>46.946532488559015</v>
      </c>
      <c r="R154" s="38">
        <f t="shared" si="77"/>
        <v>46.946532488559015</v>
      </c>
      <c r="S154" s="38">
        <f t="shared" si="77"/>
        <v>46.946532488559015</v>
      </c>
      <c r="T154" s="38">
        <f t="shared" si="77"/>
        <v>46.946532488559015</v>
      </c>
      <c r="U154" s="38">
        <f t="shared" si="77"/>
        <v>46.946532488559015</v>
      </c>
      <c r="V154" s="38">
        <f t="shared" si="64"/>
        <v>199.76447923786012</v>
      </c>
      <c r="W154" s="38">
        <f t="shared" si="65"/>
        <v>193.93879161467348</v>
      </c>
      <c r="X154" s="38">
        <f t="shared" si="66"/>
        <v>184.4429334288987</v>
      </c>
      <c r="Y154" s="38">
        <f t="shared" si="67"/>
        <v>216.0201790788125</v>
      </c>
      <c r="Z154" s="38">
        <f t="shared" si="68"/>
        <v>58.786041182768621</v>
      </c>
      <c r="AA154" s="38">
        <f t="shared" si="69"/>
        <v>58.786041182768621</v>
      </c>
      <c r="AB154" s="38">
        <f t="shared" si="70"/>
        <v>58.786041182768621</v>
      </c>
      <c r="AC154" s="38">
        <f t="shared" si="71"/>
        <v>58.786041182768621</v>
      </c>
      <c r="AD154" s="38">
        <f t="shared" si="72"/>
        <v>58.786041182768621</v>
      </c>
      <c r="AE154" s="38">
        <f t="shared" si="73"/>
        <v>58.786041182768621</v>
      </c>
      <c r="AF154" s="38">
        <f t="shared" si="74"/>
        <v>58.786041182768621</v>
      </c>
      <c r="AG154" s="38">
        <f t="shared" si="75"/>
        <v>58.786041182768621</v>
      </c>
    </row>
    <row r="155" spans="1:33" ht="13" customHeight="1" x14ac:dyDescent="0.25">
      <c r="A155" s="40" t="s">
        <v>37</v>
      </c>
      <c r="B155" s="40">
        <v>17.8</v>
      </c>
      <c r="C155" s="44">
        <f t="shared" si="63"/>
        <v>1</v>
      </c>
      <c r="D155" s="44">
        <v>0</v>
      </c>
      <c r="E155" s="44">
        <v>0.01</v>
      </c>
      <c r="F155" s="194">
        <v>29.1358122</v>
      </c>
      <c r="G155" s="40">
        <v>0</v>
      </c>
      <c r="H155" s="35">
        <v>9.2499999999999999E-2</v>
      </c>
      <c r="I155" s="45">
        <v>0.12</v>
      </c>
      <c r="J155" s="38">
        <f t="shared" si="77"/>
        <v>146.28003318217205</v>
      </c>
      <c r="K155" s="38">
        <f t="shared" si="77"/>
        <v>145.39192676523444</v>
      </c>
      <c r="L155" s="38">
        <f t="shared" si="77"/>
        <v>143.05176523425391</v>
      </c>
      <c r="M155" s="38">
        <f t="shared" si="77"/>
        <v>180.02110207448368</v>
      </c>
      <c r="N155" s="38">
        <f t="shared" si="77"/>
        <v>29.1358122</v>
      </c>
      <c r="O155" s="38">
        <f t="shared" si="77"/>
        <v>29.1358122</v>
      </c>
      <c r="P155" s="38">
        <f t="shared" si="77"/>
        <v>29.1358122</v>
      </c>
      <c r="Q155" s="38">
        <f t="shared" si="77"/>
        <v>29.1358122</v>
      </c>
      <c r="R155" s="38">
        <f t="shared" si="77"/>
        <v>29.1358122</v>
      </c>
      <c r="S155" s="38">
        <f t="shared" si="77"/>
        <v>29.1358122</v>
      </c>
      <c r="T155" s="38">
        <f t="shared" si="77"/>
        <v>29.1358122</v>
      </c>
      <c r="U155" s="38">
        <f t="shared" si="77"/>
        <v>29.1358122</v>
      </c>
      <c r="V155" s="38">
        <f t="shared" si="64"/>
        <v>183.17059001023298</v>
      </c>
      <c r="W155" s="38">
        <f t="shared" si="65"/>
        <v>182.05851085053149</v>
      </c>
      <c r="X155" s="38">
        <f t="shared" si="66"/>
        <v>179.12818085932119</v>
      </c>
      <c r="Y155" s="38">
        <f t="shared" si="67"/>
        <v>225.42086410528887</v>
      </c>
      <c r="Z155" s="38">
        <f t="shared" si="68"/>
        <v>36.48361157024793</v>
      </c>
      <c r="AA155" s="38">
        <f t="shared" si="69"/>
        <v>36.48361157024793</v>
      </c>
      <c r="AB155" s="38">
        <f t="shared" si="70"/>
        <v>36.48361157024793</v>
      </c>
      <c r="AC155" s="38">
        <f t="shared" si="71"/>
        <v>36.48361157024793</v>
      </c>
      <c r="AD155" s="38">
        <f t="shared" si="72"/>
        <v>36.48361157024793</v>
      </c>
      <c r="AE155" s="38">
        <f t="shared" si="73"/>
        <v>36.48361157024793</v>
      </c>
      <c r="AF155" s="38">
        <f t="shared" si="74"/>
        <v>36.48361157024793</v>
      </c>
      <c r="AG155" s="38">
        <f t="shared" si="75"/>
        <v>36.48361157024793</v>
      </c>
    </row>
    <row r="156" spans="1:33" ht="13" customHeight="1" x14ac:dyDescent="0.25">
      <c r="A156" s="40" t="s">
        <v>37</v>
      </c>
      <c r="B156" s="40">
        <v>17.8</v>
      </c>
      <c r="C156" s="44">
        <f t="shared" si="63"/>
        <v>0</v>
      </c>
      <c r="D156" s="44">
        <v>1</v>
      </c>
      <c r="E156" s="44">
        <v>0.01</v>
      </c>
      <c r="F156" s="94">
        <v>29.1358122</v>
      </c>
      <c r="G156" s="40">
        <v>0</v>
      </c>
      <c r="H156" s="35">
        <v>9.2499999999999999E-2</v>
      </c>
      <c r="I156" s="45">
        <v>7.0000000000000007E-2</v>
      </c>
      <c r="J156" s="38">
        <f t="shared" ref="J156:U165" si="78">(((((J$18*$C156)+(J$19*$D156))*(1+$E156))*($B156/1000))+$F156+($G156*J$5))*(1+J$27)</f>
        <v>179.40973302512961</v>
      </c>
      <c r="K156" s="38">
        <f t="shared" si="78"/>
        <v>169.11090731084391</v>
      </c>
      <c r="L156" s="38">
        <f t="shared" si="78"/>
        <v>153.66266873941532</v>
      </c>
      <c r="M156" s="38">
        <f t="shared" si="78"/>
        <v>161.25263441912369</v>
      </c>
      <c r="N156" s="38">
        <f t="shared" si="78"/>
        <v>73.662612921397539</v>
      </c>
      <c r="O156" s="38">
        <f t="shared" si="78"/>
        <v>73.662612921397539</v>
      </c>
      <c r="P156" s="38">
        <f t="shared" si="78"/>
        <v>73.662612921397539</v>
      </c>
      <c r="Q156" s="38">
        <f t="shared" si="78"/>
        <v>73.662612921397539</v>
      </c>
      <c r="R156" s="38">
        <f t="shared" si="78"/>
        <v>73.662612921397539</v>
      </c>
      <c r="S156" s="38">
        <f t="shared" si="78"/>
        <v>73.662612921397539</v>
      </c>
      <c r="T156" s="38">
        <f t="shared" si="78"/>
        <v>73.662612921397539</v>
      </c>
      <c r="U156" s="38">
        <f t="shared" si="78"/>
        <v>73.662612921397539</v>
      </c>
      <c r="V156" s="38">
        <f t="shared" si="64"/>
        <v>212.57707044062875</v>
      </c>
      <c r="W156" s="38">
        <f t="shared" si="65"/>
        <v>200.37430884901084</v>
      </c>
      <c r="X156" s="38">
        <f t="shared" si="66"/>
        <v>182.07016646158397</v>
      </c>
      <c r="Y156" s="38">
        <f t="shared" si="67"/>
        <v>191.06328317678097</v>
      </c>
      <c r="Z156" s="38">
        <f t="shared" si="68"/>
        <v>87.280562719745902</v>
      </c>
      <c r="AA156" s="38">
        <f t="shared" si="69"/>
        <v>87.280562719745902</v>
      </c>
      <c r="AB156" s="38">
        <f t="shared" si="70"/>
        <v>87.280562719745902</v>
      </c>
      <c r="AC156" s="38">
        <f t="shared" si="71"/>
        <v>87.280562719745902</v>
      </c>
      <c r="AD156" s="38">
        <f t="shared" si="72"/>
        <v>87.280562719745902</v>
      </c>
      <c r="AE156" s="38">
        <f t="shared" si="73"/>
        <v>87.280562719745902</v>
      </c>
      <c r="AF156" s="38">
        <f t="shared" si="74"/>
        <v>87.280562719745902</v>
      </c>
      <c r="AG156" s="38">
        <f t="shared" si="75"/>
        <v>87.280562719745902</v>
      </c>
    </row>
    <row r="157" spans="1:33" ht="13" customHeight="1" x14ac:dyDescent="0.25">
      <c r="A157" s="40" t="s">
        <v>37</v>
      </c>
      <c r="B157" s="40">
        <v>17.8</v>
      </c>
      <c r="C157" s="44">
        <f t="shared" si="63"/>
        <v>0.4</v>
      </c>
      <c r="D157" s="44">
        <v>0.6</v>
      </c>
      <c r="E157" s="44">
        <v>0.01</v>
      </c>
      <c r="F157" s="94">
        <v>29.1358122</v>
      </c>
      <c r="G157" s="40">
        <v>0</v>
      </c>
      <c r="H157" s="35">
        <v>9.2499999999999999E-2</v>
      </c>
      <c r="I157" s="45">
        <v>7.0000000000000007E-2</v>
      </c>
      <c r="J157" s="38">
        <f t="shared" si="78"/>
        <v>166.15785308794659</v>
      </c>
      <c r="K157" s="38">
        <f t="shared" si="78"/>
        <v>159.62331509260011</v>
      </c>
      <c r="L157" s="38">
        <f t="shared" si="78"/>
        <v>149.41830733735074</v>
      </c>
      <c r="M157" s="38">
        <f t="shared" si="78"/>
        <v>168.7600214812677</v>
      </c>
      <c r="N157" s="38">
        <f t="shared" si="78"/>
        <v>55.851892632838528</v>
      </c>
      <c r="O157" s="38">
        <f t="shared" si="78"/>
        <v>55.851892632838528</v>
      </c>
      <c r="P157" s="38">
        <f t="shared" si="78"/>
        <v>55.851892632838528</v>
      </c>
      <c r="Q157" s="38">
        <f t="shared" si="78"/>
        <v>55.851892632838528</v>
      </c>
      <c r="R157" s="38">
        <f t="shared" si="78"/>
        <v>55.851892632838528</v>
      </c>
      <c r="S157" s="38">
        <f t="shared" si="78"/>
        <v>55.851892632838528</v>
      </c>
      <c r="T157" s="38">
        <f t="shared" si="78"/>
        <v>55.851892632838528</v>
      </c>
      <c r="U157" s="38">
        <f t="shared" si="78"/>
        <v>55.851892632838528</v>
      </c>
      <c r="V157" s="38">
        <f t="shared" si="64"/>
        <v>196.87532579513208</v>
      </c>
      <c r="W157" s="38">
        <f t="shared" si="65"/>
        <v>189.13275285713453</v>
      </c>
      <c r="X157" s="38">
        <f t="shared" si="66"/>
        <v>177.04115327746766</v>
      </c>
      <c r="Y157" s="38">
        <f t="shared" si="67"/>
        <v>199.95855502979083</v>
      </c>
      <c r="Z157" s="38">
        <f t="shared" si="68"/>
        <v>66.177188462737092</v>
      </c>
      <c r="AA157" s="38">
        <f t="shared" si="69"/>
        <v>66.177188462737092</v>
      </c>
      <c r="AB157" s="38">
        <f t="shared" si="70"/>
        <v>66.177188462737092</v>
      </c>
      <c r="AC157" s="38">
        <f t="shared" si="71"/>
        <v>66.177188462737092</v>
      </c>
      <c r="AD157" s="38">
        <f t="shared" si="72"/>
        <v>66.177188462737092</v>
      </c>
      <c r="AE157" s="38">
        <f t="shared" si="73"/>
        <v>66.177188462737092</v>
      </c>
      <c r="AF157" s="38">
        <f t="shared" si="74"/>
        <v>66.177188462737092</v>
      </c>
      <c r="AG157" s="38">
        <f t="shared" si="75"/>
        <v>66.177188462737092</v>
      </c>
    </row>
    <row r="158" spans="1:33" ht="13" customHeight="1" x14ac:dyDescent="0.25">
      <c r="A158" s="40" t="s">
        <v>37</v>
      </c>
      <c r="B158" s="40">
        <v>17.8</v>
      </c>
      <c r="C158" s="44">
        <f t="shared" si="63"/>
        <v>0.6</v>
      </c>
      <c r="D158" s="44">
        <v>0.4</v>
      </c>
      <c r="E158" s="44">
        <v>0.01</v>
      </c>
      <c r="F158" s="94">
        <v>29.1358122</v>
      </c>
      <c r="G158" s="40">
        <v>0</v>
      </c>
      <c r="H158" s="35">
        <v>9.2499999999999999E-2</v>
      </c>
      <c r="I158" s="45">
        <v>7.0000000000000007E-2</v>
      </c>
      <c r="J158" s="38">
        <f t="shared" si="78"/>
        <v>159.5319131193551</v>
      </c>
      <c r="K158" s="38">
        <f t="shared" si="78"/>
        <v>154.87951898347822</v>
      </c>
      <c r="L158" s="38">
        <f t="shared" si="78"/>
        <v>147.29612663631849</v>
      </c>
      <c r="M158" s="38">
        <f t="shared" si="78"/>
        <v>172.51371501233967</v>
      </c>
      <c r="N158" s="38">
        <f t="shared" si="78"/>
        <v>46.946532488559015</v>
      </c>
      <c r="O158" s="38">
        <f t="shared" si="78"/>
        <v>46.946532488559015</v>
      </c>
      <c r="P158" s="38">
        <f t="shared" si="78"/>
        <v>46.946532488559015</v>
      </c>
      <c r="Q158" s="38">
        <f t="shared" si="78"/>
        <v>46.946532488559015</v>
      </c>
      <c r="R158" s="38">
        <f t="shared" si="78"/>
        <v>46.946532488559015</v>
      </c>
      <c r="S158" s="38">
        <f t="shared" si="78"/>
        <v>46.946532488559015</v>
      </c>
      <c r="T158" s="38">
        <f t="shared" si="78"/>
        <v>46.946532488559015</v>
      </c>
      <c r="U158" s="38">
        <f t="shared" si="78"/>
        <v>46.946532488559015</v>
      </c>
      <c r="V158" s="38">
        <f t="shared" si="64"/>
        <v>189.02445347238378</v>
      </c>
      <c r="W158" s="38">
        <f t="shared" si="65"/>
        <v>183.51197486119642</v>
      </c>
      <c r="X158" s="38">
        <f t="shared" si="66"/>
        <v>174.52664668540953</v>
      </c>
      <c r="Y158" s="38">
        <f t="shared" si="67"/>
        <v>204.40619095629572</v>
      </c>
      <c r="Z158" s="38">
        <f t="shared" si="68"/>
        <v>55.625501334232673</v>
      </c>
      <c r="AA158" s="38">
        <f t="shared" si="69"/>
        <v>55.625501334232673</v>
      </c>
      <c r="AB158" s="38">
        <f t="shared" si="70"/>
        <v>55.625501334232673</v>
      </c>
      <c r="AC158" s="38">
        <f t="shared" si="71"/>
        <v>55.625501334232673</v>
      </c>
      <c r="AD158" s="38">
        <f t="shared" si="72"/>
        <v>55.625501334232673</v>
      </c>
      <c r="AE158" s="38">
        <f t="shared" si="73"/>
        <v>55.625501334232673</v>
      </c>
      <c r="AF158" s="38">
        <f t="shared" si="74"/>
        <v>55.625501334232673</v>
      </c>
      <c r="AG158" s="38">
        <f t="shared" si="75"/>
        <v>55.625501334232673</v>
      </c>
    </row>
    <row r="159" spans="1:33" ht="13" customHeight="1" x14ac:dyDescent="0.25">
      <c r="A159" s="40" t="s">
        <v>37</v>
      </c>
      <c r="B159" s="40">
        <v>17.8</v>
      </c>
      <c r="C159" s="44">
        <f t="shared" ref="C159:C190" si="79">100%-D159</f>
        <v>1</v>
      </c>
      <c r="D159" s="44">
        <v>0</v>
      </c>
      <c r="E159" s="44">
        <v>0.01</v>
      </c>
      <c r="F159" s="94">
        <v>29.1358122</v>
      </c>
      <c r="G159" s="40">
        <v>0</v>
      </c>
      <c r="H159" s="35">
        <v>9.2499999999999999E-2</v>
      </c>
      <c r="I159" s="45">
        <v>7.0000000000000007E-2</v>
      </c>
      <c r="J159" s="38">
        <f t="shared" si="78"/>
        <v>146.28003318217205</v>
      </c>
      <c r="K159" s="38">
        <f t="shared" si="78"/>
        <v>145.39192676523444</v>
      </c>
      <c r="L159" s="38">
        <f t="shared" si="78"/>
        <v>143.05176523425391</v>
      </c>
      <c r="M159" s="38">
        <f t="shared" si="78"/>
        <v>180.02110207448368</v>
      </c>
      <c r="N159" s="38">
        <f t="shared" si="78"/>
        <v>29.1358122</v>
      </c>
      <c r="O159" s="38">
        <f t="shared" si="78"/>
        <v>29.1358122</v>
      </c>
      <c r="P159" s="38">
        <f t="shared" si="78"/>
        <v>29.1358122</v>
      </c>
      <c r="Q159" s="38">
        <f t="shared" si="78"/>
        <v>29.1358122</v>
      </c>
      <c r="R159" s="38">
        <f t="shared" si="78"/>
        <v>29.1358122</v>
      </c>
      <c r="S159" s="38">
        <f t="shared" si="78"/>
        <v>29.1358122</v>
      </c>
      <c r="T159" s="38">
        <f t="shared" si="78"/>
        <v>29.1358122</v>
      </c>
      <c r="U159" s="38">
        <f t="shared" si="78"/>
        <v>29.1358122</v>
      </c>
      <c r="V159" s="38">
        <f t="shared" ref="V159:V190" si="80">(J159/(1-$H159))/(1-$I159)</f>
        <v>173.32270882688712</v>
      </c>
      <c r="W159" s="38">
        <f t="shared" ref="W159:W190" si="81">(K159/(1-$H159))/(1-$I159)</f>
        <v>172.27041886932014</v>
      </c>
      <c r="X159" s="38">
        <f t="shared" ref="X159:X190" si="82">(L159/(1-$H159))/(1-$I159)</f>
        <v>169.49763350129319</v>
      </c>
      <c r="Y159" s="38">
        <f t="shared" ref="Y159:Y190" si="83">(M159/(1-$H159))/(1-$I159)</f>
        <v>213.3014628093056</v>
      </c>
      <c r="Z159" s="38">
        <f t="shared" ref="Z159:Z190" si="84">(N159/(1-$H159))/(1-$I159)</f>
        <v>34.52212707722385</v>
      </c>
      <c r="AA159" s="38">
        <f t="shared" ref="AA159:AA190" si="85">(O159/(1-$H159))/(1-$I159)</f>
        <v>34.52212707722385</v>
      </c>
      <c r="AB159" s="38">
        <f t="shared" ref="AB159:AB190" si="86">(P159/(1-$H159))/(1-$I159)</f>
        <v>34.52212707722385</v>
      </c>
      <c r="AC159" s="38">
        <f t="shared" ref="AC159:AC190" si="87">(Q159/(1-$H159))/(1-$I159)</f>
        <v>34.52212707722385</v>
      </c>
      <c r="AD159" s="38">
        <f t="shared" ref="AD159:AD190" si="88">(R159/(1-$H159))/(1-$I159)</f>
        <v>34.52212707722385</v>
      </c>
      <c r="AE159" s="38">
        <f t="shared" ref="AE159:AE190" si="89">(S159/(1-$H159))/(1-$I159)</f>
        <v>34.52212707722385</v>
      </c>
      <c r="AF159" s="38">
        <f t="shared" ref="AF159:AF190" si="90">(T159/(1-$H159))/(1-$I159)</f>
        <v>34.52212707722385</v>
      </c>
      <c r="AG159" s="38">
        <f t="shared" ref="AG159:AG190" si="91">(U159/(1-$H159))/(1-$I159)</f>
        <v>34.52212707722385</v>
      </c>
    </row>
    <row r="160" spans="1:33" ht="13" customHeight="1" x14ac:dyDescent="0.25">
      <c r="A160" s="40" t="s">
        <v>37</v>
      </c>
      <c r="B160" s="40">
        <v>20.079999999999998</v>
      </c>
      <c r="C160" s="44">
        <f t="shared" si="79"/>
        <v>0</v>
      </c>
      <c r="D160" s="44">
        <v>1</v>
      </c>
      <c r="E160" s="44">
        <v>0.01</v>
      </c>
      <c r="F160" s="94">
        <v>29.1358122</v>
      </c>
      <c r="G160" s="40">
        <v>0</v>
      </c>
      <c r="H160" s="35">
        <v>9.2499999999999999E-2</v>
      </c>
      <c r="I160" s="45">
        <v>0.22</v>
      </c>
      <c r="J160" s="38">
        <f t="shared" si="78"/>
        <v>198.64897265163273</v>
      </c>
      <c r="K160" s="38">
        <f t="shared" si="78"/>
        <v>187.03097150877556</v>
      </c>
      <c r="L160" s="38">
        <f t="shared" si="78"/>
        <v>169.60396979448984</v>
      </c>
      <c r="M160" s="38">
        <f t="shared" si="78"/>
        <v>178.16924332773277</v>
      </c>
      <c r="N160" s="38">
        <f t="shared" si="78"/>
        <v>79.366045822790028</v>
      </c>
      <c r="O160" s="38">
        <f t="shared" si="78"/>
        <v>79.366045822790028</v>
      </c>
      <c r="P160" s="38">
        <f t="shared" si="78"/>
        <v>79.366045822790028</v>
      </c>
      <c r="Q160" s="38">
        <f t="shared" si="78"/>
        <v>79.366045822790028</v>
      </c>
      <c r="R160" s="38">
        <f t="shared" si="78"/>
        <v>79.366045822790028</v>
      </c>
      <c r="S160" s="38">
        <f t="shared" si="78"/>
        <v>79.366045822790028</v>
      </c>
      <c r="T160" s="38">
        <f t="shared" si="78"/>
        <v>79.366045822790028</v>
      </c>
      <c r="U160" s="38">
        <f t="shared" si="78"/>
        <v>79.366045822790028</v>
      </c>
      <c r="V160" s="38">
        <f t="shared" si="80"/>
        <v>280.63710200131771</v>
      </c>
      <c r="W160" s="38">
        <f t="shared" si="81"/>
        <v>264.22401851914327</v>
      </c>
      <c r="X160" s="38">
        <f t="shared" si="82"/>
        <v>239.60439329588169</v>
      </c>
      <c r="Y160" s="38">
        <f t="shared" si="83"/>
        <v>251.70480091507068</v>
      </c>
      <c r="Z160" s="38">
        <f t="shared" si="84"/>
        <v>112.12268958506749</v>
      </c>
      <c r="AA160" s="38">
        <f t="shared" si="85"/>
        <v>112.12268958506749</v>
      </c>
      <c r="AB160" s="38">
        <f t="shared" si="86"/>
        <v>112.12268958506749</v>
      </c>
      <c r="AC160" s="38">
        <f t="shared" si="87"/>
        <v>112.12268958506749</v>
      </c>
      <c r="AD160" s="38">
        <f t="shared" si="88"/>
        <v>112.12268958506749</v>
      </c>
      <c r="AE160" s="38">
        <f t="shared" si="89"/>
        <v>112.12268958506749</v>
      </c>
      <c r="AF160" s="38">
        <f t="shared" si="90"/>
        <v>112.12268958506749</v>
      </c>
      <c r="AG160" s="38">
        <f t="shared" si="91"/>
        <v>112.12268958506749</v>
      </c>
    </row>
    <row r="161" spans="1:33" ht="13" customHeight="1" x14ac:dyDescent="0.25">
      <c r="A161" s="40" t="s">
        <v>37</v>
      </c>
      <c r="B161" s="40">
        <v>20.079999999999998</v>
      </c>
      <c r="C161" s="44">
        <f t="shared" si="79"/>
        <v>0.4</v>
      </c>
      <c r="D161" s="44">
        <v>0.6</v>
      </c>
      <c r="E161" s="44">
        <v>0.01</v>
      </c>
      <c r="F161" s="94">
        <v>29.1358122</v>
      </c>
      <c r="G161" s="40">
        <v>0</v>
      </c>
      <c r="H161" s="35">
        <v>9.2499999999999999E-2</v>
      </c>
      <c r="I161" s="45">
        <v>0.22</v>
      </c>
      <c r="J161" s="38">
        <f t="shared" si="78"/>
        <v>183.69966090227118</v>
      </c>
      <c r="K161" s="38">
        <f t="shared" si="78"/>
        <v>176.32811466931852</v>
      </c>
      <c r="L161" s="38">
        <f t="shared" si="78"/>
        <v>164.81594861732938</v>
      </c>
      <c r="M161" s="38">
        <f t="shared" si="78"/>
        <v>186.63825075514018</v>
      </c>
      <c r="N161" s="38">
        <f t="shared" si="78"/>
        <v>59.273952373674021</v>
      </c>
      <c r="O161" s="38">
        <f t="shared" si="78"/>
        <v>59.273952373674021</v>
      </c>
      <c r="P161" s="38">
        <f t="shared" si="78"/>
        <v>59.273952373674021</v>
      </c>
      <c r="Q161" s="38">
        <f t="shared" si="78"/>
        <v>59.273952373674021</v>
      </c>
      <c r="R161" s="38">
        <f t="shared" si="78"/>
        <v>59.273952373674021</v>
      </c>
      <c r="S161" s="38">
        <f t="shared" si="78"/>
        <v>59.273952373674021</v>
      </c>
      <c r="T161" s="38">
        <f t="shared" si="78"/>
        <v>59.273952373674021</v>
      </c>
      <c r="U161" s="38">
        <f t="shared" si="78"/>
        <v>59.273952373674021</v>
      </c>
      <c r="V161" s="38">
        <f t="shared" si="80"/>
        <v>259.5177804651708</v>
      </c>
      <c r="W161" s="38">
        <f t="shared" si="81"/>
        <v>249.1037856457138</v>
      </c>
      <c r="X161" s="38">
        <f t="shared" si="82"/>
        <v>232.84021843233648</v>
      </c>
      <c r="Y161" s="38">
        <f t="shared" si="83"/>
        <v>263.66921064510865</v>
      </c>
      <c r="Z161" s="38">
        <f t="shared" si="84"/>
        <v>83.738012818639575</v>
      </c>
      <c r="AA161" s="38">
        <f t="shared" si="85"/>
        <v>83.738012818639575</v>
      </c>
      <c r="AB161" s="38">
        <f t="shared" si="86"/>
        <v>83.738012818639575</v>
      </c>
      <c r="AC161" s="38">
        <f t="shared" si="87"/>
        <v>83.738012818639575</v>
      </c>
      <c r="AD161" s="38">
        <f t="shared" si="88"/>
        <v>83.738012818639575</v>
      </c>
      <c r="AE161" s="38">
        <f t="shared" si="89"/>
        <v>83.738012818639575</v>
      </c>
      <c r="AF161" s="38">
        <f t="shared" si="90"/>
        <v>83.738012818639575</v>
      </c>
      <c r="AG161" s="38">
        <f t="shared" si="91"/>
        <v>83.738012818639575</v>
      </c>
    </row>
    <row r="162" spans="1:33" ht="13" customHeight="1" x14ac:dyDescent="0.25">
      <c r="A162" s="40" t="s">
        <v>37</v>
      </c>
      <c r="B162" s="40">
        <v>20.079999999999998</v>
      </c>
      <c r="C162" s="44">
        <f t="shared" si="79"/>
        <v>0.6</v>
      </c>
      <c r="D162" s="44">
        <v>0.4</v>
      </c>
      <c r="E162" s="44">
        <v>0.01</v>
      </c>
      <c r="F162" s="94">
        <v>29.1358122</v>
      </c>
      <c r="G162" s="40">
        <v>0</v>
      </c>
      <c r="H162" s="35">
        <v>9.2499999999999999E-2</v>
      </c>
      <c r="I162" s="45">
        <v>0.22</v>
      </c>
      <c r="J162" s="38">
        <f t="shared" si="78"/>
        <v>176.22500502759041</v>
      </c>
      <c r="K162" s="38">
        <f t="shared" si="78"/>
        <v>170.97668624959002</v>
      </c>
      <c r="L162" s="38">
        <f t="shared" si="78"/>
        <v>162.42193802874914</v>
      </c>
      <c r="M162" s="38">
        <f t="shared" si="78"/>
        <v>190.87275446884385</v>
      </c>
      <c r="N162" s="38">
        <f t="shared" si="78"/>
        <v>49.227905649116011</v>
      </c>
      <c r="O162" s="38">
        <f t="shared" si="78"/>
        <v>49.227905649116011</v>
      </c>
      <c r="P162" s="38">
        <f t="shared" si="78"/>
        <v>49.227905649116011</v>
      </c>
      <c r="Q162" s="38">
        <f t="shared" si="78"/>
        <v>49.227905649116011</v>
      </c>
      <c r="R162" s="38">
        <f t="shared" si="78"/>
        <v>49.227905649116011</v>
      </c>
      <c r="S162" s="38">
        <f t="shared" si="78"/>
        <v>49.227905649116011</v>
      </c>
      <c r="T162" s="38">
        <f t="shared" si="78"/>
        <v>49.227905649116011</v>
      </c>
      <c r="U162" s="38">
        <f t="shared" si="78"/>
        <v>49.227905649116011</v>
      </c>
      <c r="V162" s="38">
        <f t="shared" si="80"/>
        <v>248.95811969709743</v>
      </c>
      <c r="W162" s="38">
        <f t="shared" si="81"/>
        <v>241.54366920899912</v>
      </c>
      <c r="X162" s="38">
        <f t="shared" si="82"/>
        <v>229.45813100056387</v>
      </c>
      <c r="Y162" s="38">
        <f t="shared" si="83"/>
        <v>269.65141551012766</v>
      </c>
      <c r="Z162" s="38">
        <f t="shared" si="84"/>
        <v>69.545674435425596</v>
      </c>
      <c r="AA162" s="38">
        <f t="shared" si="85"/>
        <v>69.545674435425596</v>
      </c>
      <c r="AB162" s="38">
        <f t="shared" si="86"/>
        <v>69.545674435425596</v>
      </c>
      <c r="AC162" s="38">
        <f t="shared" si="87"/>
        <v>69.545674435425596</v>
      </c>
      <c r="AD162" s="38">
        <f t="shared" si="88"/>
        <v>69.545674435425596</v>
      </c>
      <c r="AE162" s="38">
        <f t="shared" si="89"/>
        <v>69.545674435425596</v>
      </c>
      <c r="AF162" s="38">
        <f t="shared" si="90"/>
        <v>69.545674435425596</v>
      </c>
      <c r="AG162" s="38">
        <f t="shared" si="91"/>
        <v>69.545674435425596</v>
      </c>
    </row>
    <row r="163" spans="1:33" ht="13" customHeight="1" x14ac:dyDescent="0.25">
      <c r="A163" s="40" t="s">
        <v>37</v>
      </c>
      <c r="B163" s="40">
        <v>20.079999999999998</v>
      </c>
      <c r="C163" s="44">
        <f t="shared" si="79"/>
        <v>1</v>
      </c>
      <c r="D163" s="44">
        <v>0</v>
      </c>
      <c r="E163" s="44">
        <v>0.01</v>
      </c>
      <c r="F163" s="94">
        <v>29.1358122</v>
      </c>
      <c r="G163" s="40">
        <v>0</v>
      </c>
      <c r="H163" s="35">
        <v>9.2499999999999999E-2</v>
      </c>
      <c r="I163" s="45">
        <v>0.22</v>
      </c>
      <c r="J163" s="38">
        <f t="shared" si="78"/>
        <v>161.27569327822889</v>
      </c>
      <c r="K163" s="38">
        <f t="shared" si="78"/>
        <v>160.273829410133</v>
      </c>
      <c r="L163" s="38">
        <f t="shared" si="78"/>
        <v>157.63391685158868</v>
      </c>
      <c r="M163" s="38">
        <f t="shared" si="78"/>
        <v>199.34176189625123</v>
      </c>
      <c r="N163" s="38">
        <f t="shared" si="78"/>
        <v>29.1358122</v>
      </c>
      <c r="O163" s="38">
        <f t="shared" si="78"/>
        <v>29.1358122</v>
      </c>
      <c r="P163" s="38">
        <f t="shared" si="78"/>
        <v>29.1358122</v>
      </c>
      <c r="Q163" s="38">
        <f t="shared" si="78"/>
        <v>29.1358122</v>
      </c>
      <c r="R163" s="38">
        <f t="shared" si="78"/>
        <v>29.1358122</v>
      </c>
      <c r="S163" s="38">
        <f t="shared" si="78"/>
        <v>29.1358122</v>
      </c>
      <c r="T163" s="38">
        <f t="shared" si="78"/>
        <v>29.1358122</v>
      </c>
      <c r="U163" s="38">
        <f t="shared" si="78"/>
        <v>29.1358122</v>
      </c>
      <c r="V163" s="38">
        <f t="shared" si="80"/>
        <v>227.8387981609506</v>
      </c>
      <c r="W163" s="38">
        <f t="shared" si="81"/>
        <v>226.42343633556968</v>
      </c>
      <c r="X163" s="38">
        <f t="shared" si="82"/>
        <v>222.69395613701869</v>
      </c>
      <c r="Y163" s="38">
        <f t="shared" si="83"/>
        <v>281.61582524016558</v>
      </c>
      <c r="Z163" s="38">
        <f t="shared" si="84"/>
        <v>41.160997668997666</v>
      </c>
      <c r="AA163" s="38">
        <f t="shared" si="85"/>
        <v>41.160997668997666</v>
      </c>
      <c r="AB163" s="38">
        <f t="shared" si="86"/>
        <v>41.160997668997666</v>
      </c>
      <c r="AC163" s="38">
        <f t="shared" si="87"/>
        <v>41.160997668997666</v>
      </c>
      <c r="AD163" s="38">
        <f t="shared" si="88"/>
        <v>41.160997668997666</v>
      </c>
      <c r="AE163" s="38">
        <f t="shared" si="89"/>
        <v>41.160997668997666</v>
      </c>
      <c r="AF163" s="38">
        <f t="shared" si="90"/>
        <v>41.160997668997666</v>
      </c>
      <c r="AG163" s="38">
        <f t="shared" si="91"/>
        <v>41.160997668997666</v>
      </c>
    </row>
    <row r="164" spans="1:33" ht="13" customHeight="1" x14ac:dyDescent="0.25">
      <c r="A164" s="40" t="s">
        <v>37</v>
      </c>
      <c r="B164" s="40">
        <v>20.079999999999998</v>
      </c>
      <c r="C164" s="44">
        <f t="shared" si="79"/>
        <v>0</v>
      </c>
      <c r="D164" s="44">
        <v>1</v>
      </c>
      <c r="E164" s="44">
        <v>0.01</v>
      </c>
      <c r="F164" s="194">
        <v>29.1358122</v>
      </c>
      <c r="G164" s="40">
        <v>0</v>
      </c>
      <c r="H164" s="35">
        <v>9.2499999999999999E-2</v>
      </c>
      <c r="I164" s="45">
        <v>0.12</v>
      </c>
      <c r="J164" s="38">
        <f t="shared" si="78"/>
        <v>198.64897265163273</v>
      </c>
      <c r="K164" s="38">
        <f t="shared" si="78"/>
        <v>187.03097150877556</v>
      </c>
      <c r="L164" s="38">
        <f t="shared" si="78"/>
        <v>169.60396979448984</v>
      </c>
      <c r="M164" s="38">
        <f t="shared" si="78"/>
        <v>178.16924332773277</v>
      </c>
      <c r="N164" s="38">
        <f t="shared" si="78"/>
        <v>79.366045822790028</v>
      </c>
      <c r="O164" s="38">
        <f t="shared" si="78"/>
        <v>79.366045822790028</v>
      </c>
      <c r="P164" s="38">
        <f t="shared" si="78"/>
        <v>79.366045822790028</v>
      </c>
      <c r="Q164" s="38">
        <f t="shared" si="78"/>
        <v>79.366045822790028</v>
      </c>
      <c r="R164" s="38">
        <f t="shared" si="78"/>
        <v>79.366045822790028</v>
      </c>
      <c r="S164" s="38">
        <f t="shared" si="78"/>
        <v>79.366045822790028</v>
      </c>
      <c r="T164" s="38">
        <f t="shared" si="78"/>
        <v>79.366045822790028</v>
      </c>
      <c r="U164" s="38">
        <f t="shared" si="78"/>
        <v>79.366045822790028</v>
      </c>
      <c r="V164" s="38">
        <f t="shared" si="80"/>
        <v>248.74652222844068</v>
      </c>
      <c r="W164" s="38">
        <f t="shared" si="81"/>
        <v>234.19856186924065</v>
      </c>
      <c r="X164" s="38">
        <f t="shared" si="82"/>
        <v>212.3766213304406</v>
      </c>
      <c r="Y164" s="38">
        <f t="shared" si="83"/>
        <v>223.10198262926718</v>
      </c>
      <c r="Z164" s="38">
        <f t="shared" si="84"/>
        <v>99.381474859491647</v>
      </c>
      <c r="AA164" s="38">
        <f t="shared" si="85"/>
        <v>99.381474859491647</v>
      </c>
      <c r="AB164" s="38">
        <f t="shared" si="86"/>
        <v>99.381474859491647</v>
      </c>
      <c r="AC164" s="38">
        <f t="shared" si="87"/>
        <v>99.381474859491647</v>
      </c>
      <c r="AD164" s="38">
        <f t="shared" si="88"/>
        <v>99.381474859491647</v>
      </c>
      <c r="AE164" s="38">
        <f t="shared" si="89"/>
        <v>99.381474859491647</v>
      </c>
      <c r="AF164" s="38">
        <f t="shared" si="90"/>
        <v>99.381474859491647</v>
      </c>
      <c r="AG164" s="38">
        <f t="shared" si="91"/>
        <v>99.381474859491647</v>
      </c>
    </row>
    <row r="165" spans="1:33" ht="13" customHeight="1" x14ac:dyDescent="0.25">
      <c r="A165" s="40" t="s">
        <v>37</v>
      </c>
      <c r="B165" s="40">
        <v>20.079999999999998</v>
      </c>
      <c r="C165" s="44">
        <f t="shared" si="79"/>
        <v>0.4</v>
      </c>
      <c r="D165" s="44">
        <v>0.6</v>
      </c>
      <c r="E165" s="44">
        <v>0.01</v>
      </c>
      <c r="F165" s="194">
        <v>29.1358122</v>
      </c>
      <c r="G165" s="40">
        <v>0</v>
      </c>
      <c r="H165" s="35">
        <v>9.2499999999999999E-2</v>
      </c>
      <c r="I165" s="45">
        <v>0.12</v>
      </c>
      <c r="J165" s="38">
        <f t="shared" si="78"/>
        <v>183.69966090227118</v>
      </c>
      <c r="K165" s="38">
        <f t="shared" si="78"/>
        <v>176.32811466931852</v>
      </c>
      <c r="L165" s="38">
        <f t="shared" si="78"/>
        <v>164.81594861732938</v>
      </c>
      <c r="M165" s="38">
        <f t="shared" si="78"/>
        <v>186.63825075514018</v>
      </c>
      <c r="N165" s="38">
        <f t="shared" si="78"/>
        <v>59.273952373674021</v>
      </c>
      <c r="O165" s="38">
        <f t="shared" si="78"/>
        <v>59.273952373674021</v>
      </c>
      <c r="P165" s="38">
        <f t="shared" si="78"/>
        <v>59.273952373674021</v>
      </c>
      <c r="Q165" s="38">
        <f t="shared" si="78"/>
        <v>59.273952373674021</v>
      </c>
      <c r="R165" s="38">
        <f t="shared" si="78"/>
        <v>59.273952373674021</v>
      </c>
      <c r="S165" s="38">
        <f t="shared" si="78"/>
        <v>59.273952373674021</v>
      </c>
      <c r="T165" s="38">
        <f t="shared" si="78"/>
        <v>59.273952373674021</v>
      </c>
      <c r="U165" s="38">
        <f t="shared" si="78"/>
        <v>59.273952373674021</v>
      </c>
      <c r="V165" s="38">
        <f t="shared" si="80"/>
        <v>230.02712359412868</v>
      </c>
      <c r="W165" s="38">
        <f t="shared" si="81"/>
        <v>220.7965372768827</v>
      </c>
      <c r="X165" s="38">
        <f t="shared" si="82"/>
        <v>206.38110270138915</v>
      </c>
      <c r="Y165" s="38">
        <f t="shared" si="83"/>
        <v>233.70680034452815</v>
      </c>
      <c r="Z165" s="38">
        <f t="shared" si="84"/>
        <v>74.222329543794174</v>
      </c>
      <c r="AA165" s="38">
        <f t="shared" si="85"/>
        <v>74.222329543794174</v>
      </c>
      <c r="AB165" s="38">
        <f t="shared" si="86"/>
        <v>74.222329543794174</v>
      </c>
      <c r="AC165" s="38">
        <f t="shared" si="87"/>
        <v>74.222329543794174</v>
      </c>
      <c r="AD165" s="38">
        <f t="shared" si="88"/>
        <v>74.222329543794174</v>
      </c>
      <c r="AE165" s="38">
        <f t="shared" si="89"/>
        <v>74.222329543794174</v>
      </c>
      <c r="AF165" s="38">
        <f t="shared" si="90"/>
        <v>74.222329543794174</v>
      </c>
      <c r="AG165" s="38">
        <f t="shared" si="91"/>
        <v>74.222329543794174</v>
      </c>
    </row>
    <row r="166" spans="1:33" ht="13" customHeight="1" x14ac:dyDescent="0.25">
      <c r="A166" s="40" t="s">
        <v>37</v>
      </c>
      <c r="B166" s="40">
        <v>20.079999999999998</v>
      </c>
      <c r="C166" s="44">
        <f t="shared" si="79"/>
        <v>0.6</v>
      </c>
      <c r="D166" s="44">
        <v>0.4</v>
      </c>
      <c r="E166" s="44">
        <v>0.01</v>
      </c>
      <c r="F166" s="194">
        <v>29.1358122</v>
      </c>
      <c r="G166" s="40">
        <v>0</v>
      </c>
      <c r="H166" s="35">
        <v>9.2499999999999999E-2</v>
      </c>
      <c r="I166" s="45">
        <v>0.12</v>
      </c>
      <c r="J166" s="38">
        <f t="shared" ref="J166:U175" si="92">(((((J$18*$C166)+(J$19*$D166))*(1+$E166))*($B166/1000))+$F166+($G166*J$5))*(1+J$27)</f>
        <v>176.22500502759041</v>
      </c>
      <c r="K166" s="38">
        <f t="shared" si="92"/>
        <v>170.97668624959002</v>
      </c>
      <c r="L166" s="38">
        <f t="shared" si="92"/>
        <v>162.42193802874914</v>
      </c>
      <c r="M166" s="38">
        <f t="shared" si="92"/>
        <v>190.87275446884385</v>
      </c>
      <c r="N166" s="38">
        <f t="shared" si="92"/>
        <v>49.227905649116011</v>
      </c>
      <c r="O166" s="38">
        <f t="shared" si="92"/>
        <v>49.227905649116011</v>
      </c>
      <c r="P166" s="38">
        <f t="shared" si="92"/>
        <v>49.227905649116011</v>
      </c>
      <c r="Q166" s="38">
        <f t="shared" si="92"/>
        <v>49.227905649116011</v>
      </c>
      <c r="R166" s="38">
        <f t="shared" si="92"/>
        <v>49.227905649116011</v>
      </c>
      <c r="S166" s="38">
        <f t="shared" si="92"/>
        <v>49.227905649116011</v>
      </c>
      <c r="T166" s="38">
        <f t="shared" si="92"/>
        <v>49.227905649116011</v>
      </c>
      <c r="U166" s="38">
        <f t="shared" si="92"/>
        <v>49.227905649116011</v>
      </c>
      <c r="V166" s="38">
        <f t="shared" si="80"/>
        <v>220.66742427697272</v>
      </c>
      <c r="W166" s="38">
        <f t="shared" si="81"/>
        <v>214.09552498070377</v>
      </c>
      <c r="X166" s="38">
        <f t="shared" si="82"/>
        <v>203.38334338686343</v>
      </c>
      <c r="Y166" s="38">
        <f t="shared" si="83"/>
        <v>239.00920920215859</v>
      </c>
      <c r="Z166" s="38">
        <f t="shared" si="84"/>
        <v>61.642756885945417</v>
      </c>
      <c r="AA166" s="38">
        <f t="shared" si="85"/>
        <v>61.642756885945417</v>
      </c>
      <c r="AB166" s="38">
        <f t="shared" si="86"/>
        <v>61.642756885945417</v>
      </c>
      <c r="AC166" s="38">
        <f t="shared" si="87"/>
        <v>61.642756885945417</v>
      </c>
      <c r="AD166" s="38">
        <f t="shared" si="88"/>
        <v>61.642756885945417</v>
      </c>
      <c r="AE166" s="38">
        <f t="shared" si="89"/>
        <v>61.642756885945417</v>
      </c>
      <c r="AF166" s="38">
        <f t="shared" si="90"/>
        <v>61.642756885945417</v>
      </c>
      <c r="AG166" s="38">
        <f t="shared" si="91"/>
        <v>61.642756885945417</v>
      </c>
    </row>
    <row r="167" spans="1:33" ht="13" customHeight="1" x14ac:dyDescent="0.25">
      <c r="A167" s="40" t="s">
        <v>37</v>
      </c>
      <c r="B167" s="40">
        <v>20.079999999999998</v>
      </c>
      <c r="C167" s="44">
        <f t="shared" si="79"/>
        <v>1</v>
      </c>
      <c r="D167" s="44">
        <v>0</v>
      </c>
      <c r="E167" s="44">
        <v>0.01</v>
      </c>
      <c r="F167" s="194">
        <v>29.1358122</v>
      </c>
      <c r="G167" s="40">
        <v>0</v>
      </c>
      <c r="H167" s="35">
        <v>9.2499999999999999E-2</v>
      </c>
      <c r="I167" s="45">
        <v>0.12</v>
      </c>
      <c r="J167" s="38">
        <f t="shared" si="92"/>
        <v>161.27569327822889</v>
      </c>
      <c r="K167" s="38">
        <f t="shared" si="92"/>
        <v>160.273829410133</v>
      </c>
      <c r="L167" s="38">
        <f t="shared" si="92"/>
        <v>157.63391685158868</v>
      </c>
      <c r="M167" s="38">
        <f t="shared" si="92"/>
        <v>199.34176189625123</v>
      </c>
      <c r="N167" s="38">
        <f t="shared" si="92"/>
        <v>29.1358122</v>
      </c>
      <c r="O167" s="38">
        <f t="shared" si="92"/>
        <v>29.1358122</v>
      </c>
      <c r="P167" s="38">
        <f t="shared" si="92"/>
        <v>29.1358122</v>
      </c>
      <c r="Q167" s="38">
        <f t="shared" si="92"/>
        <v>29.1358122</v>
      </c>
      <c r="R167" s="38">
        <f t="shared" si="92"/>
        <v>29.1358122</v>
      </c>
      <c r="S167" s="38">
        <f t="shared" si="92"/>
        <v>29.1358122</v>
      </c>
      <c r="T167" s="38">
        <f t="shared" si="92"/>
        <v>29.1358122</v>
      </c>
      <c r="U167" s="38">
        <f t="shared" si="92"/>
        <v>29.1358122</v>
      </c>
      <c r="V167" s="38">
        <f t="shared" si="80"/>
        <v>201.94802564266075</v>
      </c>
      <c r="W167" s="38">
        <f t="shared" si="81"/>
        <v>200.69350038834585</v>
      </c>
      <c r="X167" s="38">
        <f t="shared" si="82"/>
        <v>197.38782475781204</v>
      </c>
      <c r="Y167" s="38">
        <f t="shared" si="83"/>
        <v>249.61402691741952</v>
      </c>
      <c r="Z167" s="38">
        <f t="shared" si="84"/>
        <v>36.48361157024793</v>
      </c>
      <c r="AA167" s="38">
        <f t="shared" si="85"/>
        <v>36.48361157024793</v>
      </c>
      <c r="AB167" s="38">
        <f t="shared" si="86"/>
        <v>36.48361157024793</v>
      </c>
      <c r="AC167" s="38">
        <f t="shared" si="87"/>
        <v>36.48361157024793</v>
      </c>
      <c r="AD167" s="38">
        <f t="shared" si="88"/>
        <v>36.48361157024793</v>
      </c>
      <c r="AE167" s="38">
        <f t="shared" si="89"/>
        <v>36.48361157024793</v>
      </c>
      <c r="AF167" s="38">
        <f t="shared" si="90"/>
        <v>36.48361157024793</v>
      </c>
      <c r="AG167" s="38">
        <f t="shared" si="91"/>
        <v>36.48361157024793</v>
      </c>
    </row>
    <row r="168" spans="1:33" ht="13" customHeight="1" x14ac:dyDescent="0.25">
      <c r="A168" s="40" t="s">
        <v>37</v>
      </c>
      <c r="B168" s="40">
        <v>20.079999999999998</v>
      </c>
      <c r="C168" s="44">
        <f t="shared" si="79"/>
        <v>0</v>
      </c>
      <c r="D168" s="44">
        <v>1</v>
      </c>
      <c r="E168" s="44">
        <v>0.01</v>
      </c>
      <c r="F168" s="194">
        <v>29.1358122</v>
      </c>
      <c r="G168" s="40">
        <v>0</v>
      </c>
      <c r="H168" s="35">
        <v>9.2499999999999999E-2</v>
      </c>
      <c r="I168" s="45">
        <v>7.0000000000000007E-2</v>
      </c>
      <c r="J168" s="38">
        <f t="shared" si="92"/>
        <v>198.64897265163273</v>
      </c>
      <c r="K168" s="38">
        <f t="shared" si="92"/>
        <v>187.03097150877556</v>
      </c>
      <c r="L168" s="38">
        <f t="shared" si="92"/>
        <v>169.60396979448984</v>
      </c>
      <c r="M168" s="38">
        <f t="shared" si="92"/>
        <v>178.16924332773277</v>
      </c>
      <c r="N168" s="38">
        <f t="shared" si="92"/>
        <v>79.366045822790028</v>
      </c>
      <c r="O168" s="38">
        <f t="shared" si="92"/>
        <v>79.366045822790028</v>
      </c>
      <c r="P168" s="38">
        <f t="shared" si="92"/>
        <v>79.366045822790028</v>
      </c>
      <c r="Q168" s="38">
        <f t="shared" si="92"/>
        <v>79.366045822790028</v>
      </c>
      <c r="R168" s="38">
        <f t="shared" si="92"/>
        <v>79.366045822790028</v>
      </c>
      <c r="S168" s="38">
        <f t="shared" si="92"/>
        <v>79.366045822790028</v>
      </c>
      <c r="T168" s="38">
        <f t="shared" si="92"/>
        <v>79.366045822790028</v>
      </c>
      <c r="U168" s="38">
        <f t="shared" si="92"/>
        <v>79.366045822790028</v>
      </c>
      <c r="V168" s="38">
        <f t="shared" si="80"/>
        <v>235.37305329142777</v>
      </c>
      <c r="W168" s="38">
        <f t="shared" si="81"/>
        <v>221.60724133863633</v>
      </c>
      <c r="X168" s="38">
        <f t="shared" si="82"/>
        <v>200.95852340944919</v>
      </c>
      <c r="Y168" s="38">
        <f t="shared" si="83"/>
        <v>211.10725238038188</v>
      </c>
      <c r="Z168" s="38">
        <f t="shared" si="84"/>
        <v>94.03838481328242</v>
      </c>
      <c r="AA168" s="38">
        <f t="shared" si="85"/>
        <v>94.03838481328242</v>
      </c>
      <c r="AB168" s="38">
        <f t="shared" si="86"/>
        <v>94.03838481328242</v>
      </c>
      <c r="AC168" s="38">
        <f t="shared" si="87"/>
        <v>94.03838481328242</v>
      </c>
      <c r="AD168" s="38">
        <f t="shared" si="88"/>
        <v>94.03838481328242</v>
      </c>
      <c r="AE168" s="38">
        <f t="shared" si="89"/>
        <v>94.03838481328242</v>
      </c>
      <c r="AF168" s="38">
        <f t="shared" si="90"/>
        <v>94.03838481328242</v>
      </c>
      <c r="AG168" s="38">
        <f t="shared" si="91"/>
        <v>94.03838481328242</v>
      </c>
    </row>
    <row r="169" spans="1:33" ht="13" customHeight="1" x14ac:dyDescent="0.25">
      <c r="A169" s="40" t="s">
        <v>37</v>
      </c>
      <c r="B169" s="40">
        <v>20.079999999999998</v>
      </c>
      <c r="C169" s="44">
        <f t="shared" si="79"/>
        <v>0.4</v>
      </c>
      <c r="D169" s="44">
        <v>0.6</v>
      </c>
      <c r="E169" s="44">
        <v>0.01</v>
      </c>
      <c r="F169" s="194">
        <v>29.1358122</v>
      </c>
      <c r="G169" s="40">
        <v>0</v>
      </c>
      <c r="H169" s="35">
        <v>9.2499999999999999E-2</v>
      </c>
      <c r="I169" s="45">
        <v>7.0000000000000007E-2</v>
      </c>
      <c r="J169" s="38">
        <f t="shared" si="92"/>
        <v>183.69966090227118</v>
      </c>
      <c r="K169" s="38">
        <f t="shared" si="92"/>
        <v>176.32811466931852</v>
      </c>
      <c r="L169" s="38">
        <f t="shared" si="92"/>
        <v>164.81594861732938</v>
      </c>
      <c r="M169" s="38">
        <f t="shared" si="92"/>
        <v>186.63825075514018</v>
      </c>
      <c r="N169" s="38">
        <f t="shared" si="92"/>
        <v>59.273952373674021</v>
      </c>
      <c r="O169" s="38">
        <f t="shared" si="92"/>
        <v>59.273952373674021</v>
      </c>
      <c r="P169" s="38">
        <f t="shared" si="92"/>
        <v>59.273952373674021</v>
      </c>
      <c r="Q169" s="38">
        <f t="shared" si="92"/>
        <v>59.273952373674021</v>
      </c>
      <c r="R169" s="38">
        <f t="shared" si="92"/>
        <v>59.273952373674021</v>
      </c>
      <c r="S169" s="38">
        <f t="shared" si="92"/>
        <v>59.273952373674021</v>
      </c>
      <c r="T169" s="38">
        <f t="shared" si="92"/>
        <v>59.273952373674021</v>
      </c>
      <c r="U169" s="38">
        <f t="shared" si="92"/>
        <v>59.273952373674021</v>
      </c>
      <c r="V169" s="38">
        <f t="shared" si="80"/>
        <v>217.66007393853039</v>
      </c>
      <c r="W169" s="38">
        <f t="shared" si="81"/>
        <v>208.92575570285675</v>
      </c>
      <c r="X169" s="38">
        <f t="shared" si="82"/>
        <v>195.28534449163706</v>
      </c>
      <c r="Y169" s="38">
        <f t="shared" si="83"/>
        <v>221.14191860557503</v>
      </c>
      <c r="Z169" s="38">
        <f t="shared" si="84"/>
        <v>70.231881718859015</v>
      </c>
      <c r="AA169" s="38">
        <f t="shared" si="85"/>
        <v>70.231881718859015</v>
      </c>
      <c r="AB169" s="38">
        <f t="shared" si="86"/>
        <v>70.231881718859015</v>
      </c>
      <c r="AC169" s="38">
        <f t="shared" si="87"/>
        <v>70.231881718859015</v>
      </c>
      <c r="AD169" s="38">
        <f t="shared" si="88"/>
        <v>70.231881718859015</v>
      </c>
      <c r="AE169" s="38">
        <f t="shared" si="89"/>
        <v>70.231881718859015</v>
      </c>
      <c r="AF169" s="38">
        <f t="shared" si="90"/>
        <v>70.231881718859015</v>
      </c>
      <c r="AG169" s="38">
        <f t="shared" si="91"/>
        <v>70.231881718859015</v>
      </c>
    </row>
    <row r="170" spans="1:33" ht="13" customHeight="1" x14ac:dyDescent="0.25">
      <c r="A170" s="40" t="s">
        <v>37</v>
      </c>
      <c r="B170" s="40">
        <v>20.079999999999998</v>
      </c>
      <c r="C170" s="44">
        <f t="shared" si="79"/>
        <v>0.6</v>
      </c>
      <c r="D170" s="44">
        <v>0.4</v>
      </c>
      <c r="E170" s="44">
        <v>0.01</v>
      </c>
      <c r="F170" s="194">
        <v>29.1358122</v>
      </c>
      <c r="G170" s="40">
        <v>0</v>
      </c>
      <c r="H170" s="35">
        <v>9.2499999999999999E-2</v>
      </c>
      <c r="I170" s="45">
        <v>7.0000000000000007E-2</v>
      </c>
      <c r="J170" s="38">
        <f t="shared" si="92"/>
        <v>176.22500502759041</v>
      </c>
      <c r="K170" s="38">
        <f t="shared" si="92"/>
        <v>170.97668624959002</v>
      </c>
      <c r="L170" s="38">
        <f t="shared" si="92"/>
        <v>162.42193802874914</v>
      </c>
      <c r="M170" s="38">
        <f t="shared" si="92"/>
        <v>190.87275446884385</v>
      </c>
      <c r="N170" s="38">
        <f t="shared" si="92"/>
        <v>49.227905649116011</v>
      </c>
      <c r="O170" s="38">
        <f t="shared" si="92"/>
        <v>49.227905649116011</v>
      </c>
      <c r="P170" s="38">
        <f t="shared" si="92"/>
        <v>49.227905649116011</v>
      </c>
      <c r="Q170" s="38">
        <f t="shared" si="92"/>
        <v>49.227905649116011</v>
      </c>
      <c r="R170" s="38">
        <f t="shared" si="92"/>
        <v>49.227905649116011</v>
      </c>
      <c r="S170" s="38">
        <f t="shared" si="92"/>
        <v>49.227905649116011</v>
      </c>
      <c r="T170" s="38">
        <f t="shared" si="92"/>
        <v>49.227905649116011</v>
      </c>
      <c r="U170" s="38">
        <f t="shared" si="92"/>
        <v>49.227905649116011</v>
      </c>
      <c r="V170" s="38">
        <f t="shared" si="80"/>
        <v>208.80358426208173</v>
      </c>
      <c r="W170" s="38">
        <f t="shared" si="81"/>
        <v>202.58501288496703</v>
      </c>
      <c r="X170" s="38">
        <f t="shared" si="82"/>
        <v>192.44875503273101</v>
      </c>
      <c r="Y170" s="38">
        <f t="shared" si="83"/>
        <v>226.15925171817159</v>
      </c>
      <c r="Z170" s="38">
        <f t="shared" si="84"/>
        <v>58.328630171647276</v>
      </c>
      <c r="AA170" s="38">
        <f t="shared" si="85"/>
        <v>58.328630171647276</v>
      </c>
      <c r="AB170" s="38">
        <f t="shared" si="86"/>
        <v>58.328630171647276</v>
      </c>
      <c r="AC170" s="38">
        <f t="shared" si="87"/>
        <v>58.328630171647276</v>
      </c>
      <c r="AD170" s="38">
        <f t="shared" si="88"/>
        <v>58.328630171647276</v>
      </c>
      <c r="AE170" s="38">
        <f t="shared" si="89"/>
        <v>58.328630171647276</v>
      </c>
      <c r="AF170" s="38">
        <f t="shared" si="90"/>
        <v>58.328630171647276</v>
      </c>
      <c r="AG170" s="38">
        <f t="shared" si="91"/>
        <v>58.328630171647276</v>
      </c>
    </row>
    <row r="171" spans="1:33" ht="13" customHeight="1" x14ac:dyDescent="0.25">
      <c r="A171" s="40" t="s">
        <v>37</v>
      </c>
      <c r="B171" s="40">
        <v>20.079999999999998</v>
      </c>
      <c r="C171" s="44">
        <f t="shared" si="79"/>
        <v>1</v>
      </c>
      <c r="D171" s="44">
        <v>0</v>
      </c>
      <c r="E171" s="44">
        <v>0.01</v>
      </c>
      <c r="F171" s="194">
        <v>29.1358122</v>
      </c>
      <c r="G171" s="40">
        <v>0</v>
      </c>
      <c r="H171" s="35">
        <v>9.2499999999999999E-2</v>
      </c>
      <c r="I171" s="45">
        <v>7.0000000000000007E-2</v>
      </c>
      <c r="J171" s="38">
        <f t="shared" si="92"/>
        <v>161.27569327822889</v>
      </c>
      <c r="K171" s="38">
        <f t="shared" si="92"/>
        <v>160.273829410133</v>
      </c>
      <c r="L171" s="38">
        <f t="shared" si="92"/>
        <v>157.63391685158868</v>
      </c>
      <c r="M171" s="38">
        <f t="shared" si="92"/>
        <v>199.34176189625123</v>
      </c>
      <c r="N171" s="38">
        <f t="shared" si="92"/>
        <v>29.1358122</v>
      </c>
      <c r="O171" s="38">
        <f t="shared" si="92"/>
        <v>29.1358122</v>
      </c>
      <c r="P171" s="38">
        <f t="shared" si="92"/>
        <v>29.1358122</v>
      </c>
      <c r="Q171" s="38">
        <f t="shared" si="92"/>
        <v>29.1358122</v>
      </c>
      <c r="R171" s="38">
        <f t="shared" si="92"/>
        <v>29.1358122</v>
      </c>
      <c r="S171" s="38">
        <f t="shared" si="92"/>
        <v>29.1358122</v>
      </c>
      <c r="T171" s="38">
        <f t="shared" si="92"/>
        <v>29.1358122</v>
      </c>
      <c r="U171" s="38">
        <f t="shared" si="92"/>
        <v>29.1358122</v>
      </c>
      <c r="V171" s="38">
        <f t="shared" si="80"/>
        <v>191.09060490918441</v>
      </c>
      <c r="W171" s="38">
        <f t="shared" si="81"/>
        <v>189.9035272491875</v>
      </c>
      <c r="X171" s="38">
        <f t="shared" si="82"/>
        <v>186.77557611491892</v>
      </c>
      <c r="Y171" s="38">
        <f t="shared" si="83"/>
        <v>236.19391794336471</v>
      </c>
      <c r="Z171" s="38">
        <f t="shared" si="84"/>
        <v>34.52212707722385</v>
      </c>
      <c r="AA171" s="38">
        <f t="shared" si="85"/>
        <v>34.52212707722385</v>
      </c>
      <c r="AB171" s="38">
        <f t="shared" si="86"/>
        <v>34.52212707722385</v>
      </c>
      <c r="AC171" s="38">
        <f t="shared" si="87"/>
        <v>34.52212707722385</v>
      </c>
      <c r="AD171" s="38">
        <f t="shared" si="88"/>
        <v>34.52212707722385</v>
      </c>
      <c r="AE171" s="38">
        <f t="shared" si="89"/>
        <v>34.52212707722385</v>
      </c>
      <c r="AF171" s="38">
        <f t="shared" si="90"/>
        <v>34.52212707722385</v>
      </c>
      <c r="AG171" s="38">
        <f t="shared" si="91"/>
        <v>34.52212707722385</v>
      </c>
    </row>
    <row r="172" spans="1:33" ht="13" customHeight="1" x14ac:dyDescent="0.25">
      <c r="A172" s="40" t="s">
        <v>37</v>
      </c>
      <c r="B172" s="40">
        <v>38.89</v>
      </c>
      <c r="C172" s="44">
        <f t="shared" si="79"/>
        <v>0</v>
      </c>
      <c r="D172" s="44">
        <v>1</v>
      </c>
      <c r="E172" s="44">
        <v>0.01</v>
      </c>
      <c r="F172" s="193">
        <v>47.956524571999999</v>
      </c>
      <c r="G172" s="40">
        <v>0</v>
      </c>
      <c r="H172" s="35">
        <v>9.2499999999999999E-2</v>
      </c>
      <c r="I172" s="45">
        <v>0.22</v>
      </c>
      <c r="J172" s="38">
        <f t="shared" si="92"/>
        <v>376.24046372321345</v>
      </c>
      <c r="K172" s="38">
        <f t="shared" si="92"/>
        <v>353.73926529464205</v>
      </c>
      <c r="L172" s="38">
        <f t="shared" si="92"/>
        <v>319.98746765178481</v>
      </c>
      <c r="M172" s="38">
        <f t="shared" si="92"/>
        <v>336.58334704971122</v>
      </c>
      <c r="N172" s="38">
        <f t="shared" si="92"/>
        <v>145.24007963127812</v>
      </c>
      <c r="O172" s="38">
        <f t="shared" si="92"/>
        <v>145.24007963127812</v>
      </c>
      <c r="P172" s="38">
        <f t="shared" si="92"/>
        <v>145.24007963127812</v>
      </c>
      <c r="Q172" s="38">
        <f t="shared" si="92"/>
        <v>145.24007963127812</v>
      </c>
      <c r="R172" s="38">
        <f t="shared" si="92"/>
        <v>145.24007963127812</v>
      </c>
      <c r="S172" s="38">
        <f t="shared" si="92"/>
        <v>145.24007963127812</v>
      </c>
      <c r="T172" s="38">
        <f t="shared" si="92"/>
        <v>145.24007963127812</v>
      </c>
      <c r="U172" s="38">
        <f t="shared" si="92"/>
        <v>145.24007963127812</v>
      </c>
      <c r="V172" s="38">
        <f t="shared" si="80"/>
        <v>531.5256957310354</v>
      </c>
      <c r="W172" s="38">
        <f t="shared" si="81"/>
        <v>499.73760725385614</v>
      </c>
      <c r="X172" s="38">
        <f t="shared" si="82"/>
        <v>452.05547453808686</v>
      </c>
      <c r="Y172" s="38">
        <f t="shared" si="83"/>
        <v>475.50094942390513</v>
      </c>
      <c r="Z172" s="38">
        <f t="shared" si="84"/>
        <v>205.18482677301421</v>
      </c>
      <c r="AA172" s="38">
        <f t="shared" si="85"/>
        <v>205.18482677301421</v>
      </c>
      <c r="AB172" s="38">
        <f t="shared" si="86"/>
        <v>205.18482677301421</v>
      </c>
      <c r="AC172" s="38">
        <f t="shared" si="87"/>
        <v>205.18482677301421</v>
      </c>
      <c r="AD172" s="38">
        <f t="shared" si="88"/>
        <v>205.18482677301421</v>
      </c>
      <c r="AE172" s="38">
        <f t="shared" si="89"/>
        <v>205.18482677301421</v>
      </c>
      <c r="AF172" s="38">
        <f t="shared" si="90"/>
        <v>205.18482677301421</v>
      </c>
      <c r="AG172" s="38">
        <f t="shared" si="91"/>
        <v>205.18482677301421</v>
      </c>
    </row>
    <row r="173" spans="1:33" ht="13" customHeight="1" x14ac:dyDescent="0.25">
      <c r="A173" s="40" t="s">
        <v>37</v>
      </c>
      <c r="B173" s="40">
        <v>38.89</v>
      </c>
      <c r="C173" s="44">
        <f t="shared" si="79"/>
        <v>0.4</v>
      </c>
      <c r="D173" s="44">
        <v>0.6</v>
      </c>
      <c r="E173" s="44">
        <v>0.01</v>
      </c>
      <c r="F173" s="193">
        <v>47.956524571999999</v>
      </c>
      <c r="G173" s="40">
        <v>0</v>
      </c>
      <c r="H173" s="35">
        <v>9.2499999999999999E-2</v>
      </c>
      <c r="I173" s="45">
        <v>0.22</v>
      </c>
      <c r="J173" s="38">
        <f t="shared" si="92"/>
        <v>347.28733952337927</v>
      </c>
      <c r="K173" s="38">
        <f t="shared" si="92"/>
        <v>333.01047533017567</v>
      </c>
      <c r="L173" s="38">
        <f t="shared" si="92"/>
        <v>310.71425333008312</v>
      </c>
      <c r="M173" s="38">
        <f t="shared" si="92"/>
        <v>352.98572249054155</v>
      </c>
      <c r="N173" s="38">
        <f t="shared" si="92"/>
        <v>106.32665760756687</v>
      </c>
      <c r="O173" s="38">
        <f t="shared" si="92"/>
        <v>106.32665760756687</v>
      </c>
      <c r="P173" s="38">
        <f t="shared" si="92"/>
        <v>106.32665760756687</v>
      </c>
      <c r="Q173" s="38">
        <f t="shared" si="92"/>
        <v>106.32665760756687</v>
      </c>
      <c r="R173" s="38">
        <f t="shared" si="92"/>
        <v>106.32665760756687</v>
      </c>
      <c r="S173" s="38">
        <f t="shared" si="92"/>
        <v>106.32665760756687</v>
      </c>
      <c r="T173" s="38">
        <f t="shared" si="92"/>
        <v>106.32665760756687</v>
      </c>
      <c r="U173" s="38">
        <f t="shared" si="92"/>
        <v>106.32665760756687</v>
      </c>
      <c r="V173" s="38">
        <f t="shared" si="80"/>
        <v>490.62278664036063</v>
      </c>
      <c r="W173" s="38">
        <f t="shared" si="81"/>
        <v>470.45345105626285</v>
      </c>
      <c r="X173" s="38">
        <f t="shared" si="82"/>
        <v>438.95493865943791</v>
      </c>
      <c r="Y173" s="38">
        <f t="shared" si="83"/>
        <v>498.67305571878444</v>
      </c>
      <c r="Z173" s="38">
        <f t="shared" si="84"/>
        <v>150.2107192308637</v>
      </c>
      <c r="AA173" s="38">
        <f t="shared" si="85"/>
        <v>150.2107192308637</v>
      </c>
      <c r="AB173" s="38">
        <f t="shared" si="86"/>
        <v>150.2107192308637</v>
      </c>
      <c r="AC173" s="38">
        <f t="shared" si="87"/>
        <v>150.2107192308637</v>
      </c>
      <c r="AD173" s="38">
        <f t="shared" si="88"/>
        <v>150.2107192308637</v>
      </c>
      <c r="AE173" s="38">
        <f t="shared" si="89"/>
        <v>150.2107192308637</v>
      </c>
      <c r="AF173" s="38">
        <f t="shared" si="90"/>
        <v>150.2107192308637</v>
      </c>
      <c r="AG173" s="38">
        <f t="shared" si="91"/>
        <v>150.2107192308637</v>
      </c>
    </row>
    <row r="174" spans="1:33" ht="13" customHeight="1" x14ac:dyDescent="0.25">
      <c r="A174" s="40" t="s">
        <v>37</v>
      </c>
      <c r="B174" s="40">
        <v>38.89</v>
      </c>
      <c r="C174" s="44">
        <f t="shared" si="79"/>
        <v>0.6</v>
      </c>
      <c r="D174" s="44">
        <v>0.4</v>
      </c>
      <c r="E174" s="44">
        <v>0.01</v>
      </c>
      <c r="F174" s="193">
        <v>47.956524571999999</v>
      </c>
      <c r="G174" s="40">
        <v>0</v>
      </c>
      <c r="H174" s="35">
        <v>9.2499999999999999E-2</v>
      </c>
      <c r="I174" s="45">
        <v>0.22</v>
      </c>
      <c r="J174" s="38">
        <f t="shared" si="92"/>
        <v>332.81077742346218</v>
      </c>
      <c r="K174" s="38">
        <f t="shared" si="92"/>
        <v>322.64608034794253</v>
      </c>
      <c r="L174" s="38">
        <f t="shared" si="92"/>
        <v>306.07764616923225</v>
      </c>
      <c r="M174" s="38">
        <f t="shared" si="92"/>
        <v>361.18691021095668</v>
      </c>
      <c r="N174" s="38">
        <f t="shared" si="92"/>
        <v>86.869946595711241</v>
      </c>
      <c r="O174" s="38">
        <f t="shared" si="92"/>
        <v>86.869946595711241</v>
      </c>
      <c r="P174" s="38">
        <f t="shared" si="92"/>
        <v>86.869946595711241</v>
      </c>
      <c r="Q174" s="38">
        <f t="shared" si="92"/>
        <v>86.869946595711241</v>
      </c>
      <c r="R174" s="38">
        <f t="shared" si="92"/>
        <v>86.869946595711241</v>
      </c>
      <c r="S174" s="38">
        <f t="shared" si="92"/>
        <v>86.869946595711241</v>
      </c>
      <c r="T174" s="38">
        <f t="shared" si="92"/>
        <v>86.869946595711241</v>
      </c>
      <c r="U174" s="38">
        <f t="shared" si="92"/>
        <v>86.869946595711241</v>
      </c>
      <c r="V174" s="38">
        <f t="shared" si="80"/>
        <v>470.17133209502322</v>
      </c>
      <c r="W174" s="38">
        <f t="shared" si="81"/>
        <v>455.81137295746635</v>
      </c>
      <c r="X174" s="38">
        <f t="shared" si="82"/>
        <v>432.40467072011336</v>
      </c>
      <c r="Y174" s="38">
        <f t="shared" si="83"/>
        <v>510.25910886622398</v>
      </c>
      <c r="Z174" s="38">
        <f t="shared" si="84"/>
        <v>122.72366545978844</v>
      </c>
      <c r="AA174" s="38">
        <f t="shared" si="85"/>
        <v>122.72366545978844</v>
      </c>
      <c r="AB174" s="38">
        <f t="shared" si="86"/>
        <v>122.72366545978844</v>
      </c>
      <c r="AC174" s="38">
        <f t="shared" si="87"/>
        <v>122.72366545978844</v>
      </c>
      <c r="AD174" s="38">
        <f t="shared" si="88"/>
        <v>122.72366545978844</v>
      </c>
      <c r="AE174" s="38">
        <f t="shared" si="89"/>
        <v>122.72366545978844</v>
      </c>
      <c r="AF174" s="38">
        <f t="shared" si="90"/>
        <v>122.72366545978844</v>
      </c>
      <c r="AG174" s="38">
        <f t="shared" si="91"/>
        <v>122.72366545978844</v>
      </c>
    </row>
    <row r="175" spans="1:33" ht="13" customHeight="1" x14ac:dyDescent="0.25">
      <c r="A175" s="40" t="s">
        <v>37</v>
      </c>
      <c r="B175" s="40">
        <v>38.89</v>
      </c>
      <c r="C175" s="44">
        <f t="shared" si="79"/>
        <v>1</v>
      </c>
      <c r="D175" s="44">
        <v>0</v>
      </c>
      <c r="E175" s="44">
        <v>0.01</v>
      </c>
      <c r="F175" s="193">
        <v>47.956524571999999</v>
      </c>
      <c r="G175" s="40">
        <v>0</v>
      </c>
      <c r="H175" s="35">
        <v>9.2499999999999999E-2</v>
      </c>
      <c r="I175" s="45">
        <v>0.22</v>
      </c>
      <c r="J175" s="38">
        <f t="shared" si="92"/>
        <v>303.85765322362806</v>
      </c>
      <c r="K175" s="38">
        <f t="shared" si="92"/>
        <v>301.91729038347626</v>
      </c>
      <c r="L175" s="38">
        <f t="shared" si="92"/>
        <v>296.80443184753057</v>
      </c>
      <c r="M175" s="38">
        <f t="shared" si="92"/>
        <v>377.58928565178707</v>
      </c>
      <c r="N175" s="38">
        <f t="shared" si="92"/>
        <v>47.956524571999999</v>
      </c>
      <c r="O175" s="38">
        <f t="shared" si="92"/>
        <v>47.956524571999999</v>
      </c>
      <c r="P175" s="38">
        <f t="shared" si="92"/>
        <v>47.956524571999999</v>
      </c>
      <c r="Q175" s="38">
        <f t="shared" si="92"/>
        <v>47.956524571999999</v>
      </c>
      <c r="R175" s="38">
        <f t="shared" si="92"/>
        <v>47.956524571999999</v>
      </c>
      <c r="S175" s="38">
        <f t="shared" si="92"/>
        <v>47.956524571999999</v>
      </c>
      <c r="T175" s="38">
        <f t="shared" si="92"/>
        <v>47.956524571999999</v>
      </c>
      <c r="U175" s="38">
        <f t="shared" si="92"/>
        <v>47.956524571999999</v>
      </c>
      <c r="V175" s="38">
        <f t="shared" si="80"/>
        <v>429.26842300434851</v>
      </c>
      <c r="W175" s="38">
        <f t="shared" si="81"/>
        <v>426.52721675987317</v>
      </c>
      <c r="X175" s="38">
        <f t="shared" si="82"/>
        <v>419.30413484146436</v>
      </c>
      <c r="Y175" s="38">
        <f t="shared" si="83"/>
        <v>533.43121516110352</v>
      </c>
      <c r="Z175" s="38">
        <f t="shared" si="84"/>
        <v>67.749557917637915</v>
      </c>
      <c r="AA175" s="38">
        <f t="shared" si="85"/>
        <v>67.749557917637915</v>
      </c>
      <c r="AB175" s="38">
        <f t="shared" si="86"/>
        <v>67.749557917637915</v>
      </c>
      <c r="AC175" s="38">
        <f t="shared" si="87"/>
        <v>67.749557917637915</v>
      </c>
      <c r="AD175" s="38">
        <f t="shared" si="88"/>
        <v>67.749557917637915</v>
      </c>
      <c r="AE175" s="38">
        <f t="shared" si="89"/>
        <v>67.749557917637915</v>
      </c>
      <c r="AF175" s="38">
        <f t="shared" si="90"/>
        <v>67.749557917637915</v>
      </c>
      <c r="AG175" s="38">
        <f t="shared" si="91"/>
        <v>67.749557917637915</v>
      </c>
    </row>
    <row r="176" spans="1:33" ht="13" customHeight="1" x14ac:dyDescent="0.25">
      <c r="A176" s="40" t="s">
        <v>37</v>
      </c>
      <c r="B176" s="40">
        <v>38.89</v>
      </c>
      <c r="C176" s="44">
        <f t="shared" si="79"/>
        <v>0</v>
      </c>
      <c r="D176" s="44">
        <v>1</v>
      </c>
      <c r="E176" s="44">
        <v>0.01</v>
      </c>
      <c r="F176" s="193">
        <v>47.956524571999999</v>
      </c>
      <c r="G176" s="40">
        <v>0</v>
      </c>
      <c r="H176" s="35">
        <v>9.2499999999999999E-2</v>
      </c>
      <c r="I176" s="45">
        <v>0.12</v>
      </c>
      <c r="J176" s="38">
        <f t="shared" ref="J176:U185" si="93">(((((J$18*$C176)+(J$19*$D176))*(1+$E176))*($B176/1000))+$F176+($G176*J$5))*(1+J$27)</f>
        <v>376.24046372321345</v>
      </c>
      <c r="K176" s="38">
        <f t="shared" si="93"/>
        <v>353.73926529464205</v>
      </c>
      <c r="L176" s="38">
        <f t="shared" si="93"/>
        <v>319.98746765178481</v>
      </c>
      <c r="M176" s="38">
        <f t="shared" si="93"/>
        <v>336.58334704971122</v>
      </c>
      <c r="N176" s="38">
        <f t="shared" si="93"/>
        <v>145.24007963127812</v>
      </c>
      <c r="O176" s="38">
        <f t="shared" si="93"/>
        <v>145.24007963127812</v>
      </c>
      <c r="P176" s="38">
        <f t="shared" si="93"/>
        <v>145.24007963127812</v>
      </c>
      <c r="Q176" s="38">
        <f t="shared" si="93"/>
        <v>145.24007963127812</v>
      </c>
      <c r="R176" s="38">
        <f t="shared" si="93"/>
        <v>145.24007963127812</v>
      </c>
      <c r="S176" s="38">
        <f t="shared" si="93"/>
        <v>145.24007963127812</v>
      </c>
      <c r="T176" s="38">
        <f t="shared" si="93"/>
        <v>145.24007963127812</v>
      </c>
      <c r="U176" s="38">
        <f t="shared" si="93"/>
        <v>145.24007963127812</v>
      </c>
      <c r="V176" s="38">
        <f t="shared" si="80"/>
        <v>471.12504848887232</v>
      </c>
      <c r="W176" s="38">
        <f t="shared" si="81"/>
        <v>442.94924279319065</v>
      </c>
      <c r="X176" s="38">
        <f t="shared" si="82"/>
        <v>400.68553424966791</v>
      </c>
      <c r="Y176" s="38">
        <f t="shared" si="83"/>
        <v>421.46675062573411</v>
      </c>
      <c r="Z176" s="38">
        <f t="shared" si="84"/>
        <v>181.8683691851717</v>
      </c>
      <c r="AA176" s="38">
        <f t="shared" si="85"/>
        <v>181.8683691851717</v>
      </c>
      <c r="AB176" s="38">
        <f t="shared" si="86"/>
        <v>181.8683691851717</v>
      </c>
      <c r="AC176" s="38">
        <f t="shared" si="87"/>
        <v>181.8683691851717</v>
      </c>
      <c r="AD176" s="38">
        <f t="shared" si="88"/>
        <v>181.8683691851717</v>
      </c>
      <c r="AE176" s="38">
        <f t="shared" si="89"/>
        <v>181.8683691851717</v>
      </c>
      <c r="AF176" s="38">
        <f t="shared" si="90"/>
        <v>181.8683691851717</v>
      </c>
      <c r="AG176" s="38">
        <f t="shared" si="91"/>
        <v>181.8683691851717</v>
      </c>
    </row>
    <row r="177" spans="1:33" ht="13" customHeight="1" x14ac:dyDescent="0.25">
      <c r="A177" s="40" t="s">
        <v>37</v>
      </c>
      <c r="B177" s="40">
        <v>38.89</v>
      </c>
      <c r="C177" s="44">
        <f t="shared" si="79"/>
        <v>0.4</v>
      </c>
      <c r="D177" s="44">
        <v>0.6</v>
      </c>
      <c r="E177" s="44">
        <v>0.01</v>
      </c>
      <c r="F177" s="193">
        <v>47.956524571999999</v>
      </c>
      <c r="G177" s="40">
        <v>0</v>
      </c>
      <c r="H177" s="35">
        <v>9.2499999999999999E-2</v>
      </c>
      <c r="I177" s="45">
        <v>0.12</v>
      </c>
      <c r="J177" s="38">
        <f t="shared" si="93"/>
        <v>347.28733952337927</v>
      </c>
      <c r="K177" s="38">
        <f t="shared" si="93"/>
        <v>333.01047533017567</v>
      </c>
      <c r="L177" s="38">
        <f t="shared" si="93"/>
        <v>310.71425333008312</v>
      </c>
      <c r="M177" s="38">
        <f t="shared" si="93"/>
        <v>352.98572249054155</v>
      </c>
      <c r="N177" s="38">
        <f t="shared" si="93"/>
        <v>106.32665760756687</v>
      </c>
      <c r="O177" s="38">
        <f t="shared" si="93"/>
        <v>106.32665760756687</v>
      </c>
      <c r="P177" s="38">
        <f t="shared" si="93"/>
        <v>106.32665760756687</v>
      </c>
      <c r="Q177" s="38">
        <f t="shared" si="93"/>
        <v>106.32665760756687</v>
      </c>
      <c r="R177" s="38">
        <f t="shared" si="93"/>
        <v>106.32665760756687</v>
      </c>
      <c r="S177" s="38">
        <f t="shared" si="93"/>
        <v>106.32665760756687</v>
      </c>
      <c r="T177" s="38">
        <f t="shared" si="93"/>
        <v>106.32665760756687</v>
      </c>
      <c r="U177" s="38">
        <f t="shared" si="93"/>
        <v>106.32665760756687</v>
      </c>
      <c r="V177" s="38">
        <f t="shared" si="80"/>
        <v>434.87019724941058</v>
      </c>
      <c r="W177" s="38">
        <f t="shared" si="81"/>
        <v>416.99283161805118</v>
      </c>
      <c r="X177" s="38">
        <f t="shared" si="82"/>
        <v>389.07369562995632</v>
      </c>
      <c r="Y177" s="38">
        <f t="shared" si="83"/>
        <v>442.005663023468</v>
      </c>
      <c r="Z177" s="38">
        <f t="shared" si="84"/>
        <v>133.14131931826557</v>
      </c>
      <c r="AA177" s="38">
        <f t="shared" si="85"/>
        <v>133.14131931826557</v>
      </c>
      <c r="AB177" s="38">
        <f t="shared" si="86"/>
        <v>133.14131931826557</v>
      </c>
      <c r="AC177" s="38">
        <f t="shared" si="87"/>
        <v>133.14131931826557</v>
      </c>
      <c r="AD177" s="38">
        <f t="shared" si="88"/>
        <v>133.14131931826557</v>
      </c>
      <c r="AE177" s="38">
        <f t="shared" si="89"/>
        <v>133.14131931826557</v>
      </c>
      <c r="AF177" s="38">
        <f t="shared" si="90"/>
        <v>133.14131931826557</v>
      </c>
      <c r="AG177" s="38">
        <f t="shared" si="91"/>
        <v>133.14131931826557</v>
      </c>
    </row>
    <row r="178" spans="1:33" ht="13" customHeight="1" x14ac:dyDescent="0.25">
      <c r="A178" s="40" t="s">
        <v>37</v>
      </c>
      <c r="B178" s="40">
        <v>38.89</v>
      </c>
      <c r="C178" s="44">
        <f t="shared" si="79"/>
        <v>0.6</v>
      </c>
      <c r="D178" s="44">
        <v>0.4</v>
      </c>
      <c r="E178" s="44">
        <v>0.01</v>
      </c>
      <c r="F178" s="193">
        <v>47.956524571999999</v>
      </c>
      <c r="G178" s="40">
        <v>0</v>
      </c>
      <c r="H178" s="35">
        <v>9.2499999999999999E-2</v>
      </c>
      <c r="I178" s="45">
        <v>0.12</v>
      </c>
      <c r="J178" s="38">
        <f t="shared" si="93"/>
        <v>332.81077742346218</v>
      </c>
      <c r="K178" s="38">
        <f t="shared" si="93"/>
        <v>322.64608034794253</v>
      </c>
      <c r="L178" s="38">
        <f t="shared" si="93"/>
        <v>306.07764616923225</v>
      </c>
      <c r="M178" s="38">
        <f t="shared" si="93"/>
        <v>361.18691021095668</v>
      </c>
      <c r="N178" s="38">
        <f t="shared" si="93"/>
        <v>86.869946595711241</v>
      </c>
      <c r="O178" s="38">
        <f t="shared" si="93"/>
        <v>86.869946595711241</v>
      </c>
      <c r="P178" s="38">
        <f t="shared" si="93"/>
        <v>86.869946595711241</v>
      </c>
      <c r="Q178" s="38">
        <f t="shared" si="93"/>
        <v>86.869946595711241</v>
      </c>
      <c r="R178" s="38">
        <f t="shared" si="93"/>
        <v>86.869946595711241</v>
      </c>
      <c r="S178" s="38">
        <f t="shared" si="93"/>
        <v>86.869946595711241</v>
      </c>
      <c r="T178" s="38">
        <f t="shared" si="93"/>
        <v>86.869946595711241</v>
      </c>
      <c r="U178" s="38">
        <f t="shared" si="93"/>
        <v>86.869946595711241</v>
      </c>
      <c r="V178" s="38">
        <f t="shared" si="80"/>
        <v>416.74277162967968</v>
      </c>
      <c r="W178" s="38">
        <f t="shared" si="81"/>
        <v>404.01462603048151</v>
      </c>
      <c r="X178" s="38">
        <f t="shared" si="82"/>
        <v>383.2677763201005</v>
      </c>
      <c r="Y178" s="38">
        <f t="shared" si="83"/>
        <v>452.27511922233492</v>
      </c>
      <c r="Z178" s="38">
        <f t="shared" si="84"/>
        <v>108.77779438481248</v>
      </c>
      <c r="AA178" s="38">
        <f t="shared" si="85"/>
        <v>108.77779438481248</v>
      </c>
      <c r="AB178" s="38">
        <f t="shared" si="86"/>
        <v>108.77779438481248</v>
      </c>
      <c r="AC178" s="38">
        <f t="shared" si="87"/>
        <v>108.77779438481248</v>
      </c>
      <c r="AD178" s="38">
        <f t="shared" si="88"/>
        <v>108.77779438481248</v>
      </c>
      <c r="AE178" s="38">
        <f t="shared" si="89"/>
        <v>108.77779438481248</v>
      </c>
      <c r="AF178" s="38">
        <f t="shared" si="90"/>
        <v>108.77779438481248</v>
      </c>
      <c r="AG178" s="38">
        <f t="shared" si="91"/>
        <v>108.77779438481248</v>
      </c>
    </row>
    <row r="179" spans="1:33" ht="13" customHeight="1" x14ac:dyDescent="0.25">
      <c r="A179" s="40" t="s">
        <v>37</v>
      </c>
      <c r="B179" s="40">
        <v>38.89</v>
      </c>
      <c r="C179" s="44">
        <f t="shared" si="79"/>
        <v>1</v>
      </c>
      <c r="D179" s="44">
        <v>0</v>
      </c>
      <c r="E179" s="44">
        <v>0.01</v>
      </c>
      <c r="F179" s="193">
        <v>47.956524571999999</v>
      </c>
      <c r="G179" s="40">
        <v>0</v>
      </c>
      <c r="H179" s="35">
        <v>9.2499999999999999E-2</v>
      </c>
      <c r="I179" s="45">
        <v>0.12</v>
      </c>
      <c r="J179" s="38">
        <f t="shared" si="93"/>
        <v>303.85765322362806</v>
      </c>
      <c r="K179" s="38">
        <f t="shared" si="93"/>
        <v>301.91729038347626</v>
      </c>
      <c r="L179" s="38">
        <f t="shared" si="93"/>
        <v>296.80443184753057</v>
      </c>
      <c r="M179" s="38">
        <f t="shared" si="93"/>
        <v>377.58928565178707</v>
      </c>
      <c r="N179" s="38">
        <f t="shared" si="93"/>
        <v>47.956524571999999</v>
      </c>
      <c r="O179" s="38">
        <f t="shared" si="93"/>
        <v>47.956524571999999</v>
      </c>
      <c r="P179" s="38">
        <f t="shared" si="93"/>
        <v>47.956524571999999</v>
      </c>
      <c r="Q179" s="38">
        <f t="shared" si="93"/>
        <v>47.956524571999999</v>
      </c>
      <c r="R179" s="38">
        <f t="shared" si="93"/>
        <v>47.956524571999999</v>
      </c>
      <c r="S179" s="38">
        <f t="shared" si="93"/>
        <v>47.956524571999999</v>
      </c>
      <c r="T179" s="38">
        <f t="shared" si="93"/>
        <v>47.956524571999999</v>
      </c>
      <c r="U179" s="38">
        <f t="shared" si="93"/>
        <v>47.956524571999999</v>
      </c>
      <c r="V179" s="38">
        <f t="shared" si="80"/>
        <v>380.48792039021799</v>
      </c>
      <c r="W179" s="38">
        <f t="shared" si="81"/>
        <v>378.05821485534216</v>
      </c>
      <c r="X179" s="38">
        <f t="shared" si="82"/>
        <v>371.6559377003889</v>
      </c>
      <c r="Y179" s="38">
        <f t="shared" si="83"/>
        <v>472.81403162006899</v>
      </c>
      <c r="Z179" s="38">
        <f t="shared" si="84"/>
        <v>60.050744517906331</v>
      </c>
      <c r="AA179" s="38">
        <f t="shared" si="85"/>
        <v>60.050744517906331</v>
      </c>
      <c r="AB179" s="38">
        <f t="shared" si="86"/>
        <v>60.050744517906331</v>
      </c>
      <c r="AC179" s="38">
        <f t="shared" si="87"/>
        <v>60.050744517906331</v>
      </c>
      <c r="AD179" s="38">
        <f t="shared" si="88"/>
        <v>60.050744517906331</v>
      </c>
      <c r="AE179" s="38">
        <f t="shared" si="89"/>
        <v>60.050744517906331</v>
      </c>
      <c r="AF179" s="38">
        <f t="shared" si="90"/>
        <v>60.050744517906331</v>
      </c>
      <c r="AG179" s="38">
        <f t="shared" si="91"/>
        <v>60.050744517906331</v>
      </c>
    </row>
    <row r="180" spans="1:33" ht="13" customHeight="1" x14ac:dyDescent="0.25">
      <c r="A180" s="40" t="s">
        <v>37</v>
      </c>
      <c r="B180" s="40">
        <v>38.89</v>
      </c>
      <c r="C180" s="44">
        <f t="shared" si="79"/>
        <v>0</v>
      </c>
      <c r="D180" s="44">
        <v>1</v>
      </c>
      <c r="E180" s="44">
        <v>0.01</v>
      </c>
      <c r="F180" s="38">
        <v>47.956524571999999</v>
      </c>
      <c r="G180" s="40">
        <v>0</v>
      </c>
      <c r="H180" s="35">
        <v>9.2499999999999999E-2</v>
      </c>
      <c r="I180" s="45">
        <v>7.0000000000000007E-2</v>
      </c>
      <c r="J180" s="38">
        <f t="shared" si="93"/>
        <v>376.24046372321345</v>
      </c>
      <c r="K180" s="38">
        <f t="shared" si="93"/>
        <v>353.73926529464205</v>
      </c>
      <c r="L180" s="38">
        <f t="shared" si="93"/>
        <v>319.98746765178481</v>
      </c>
      <c r="M180" s="38">
        <f t="shared" si="93"/>
        <v>336.58334704971122</v>
      </c>
      <c r="N180" s="38">
        <f t="shared" si="93"/>
        <v>145.24007963127812</v>
      </c>
      <c r="O180" s="38">
        <f t="shared" si="93"/>
        <v>145.24007963127812</v>
      </c>
      <c r="P180" s="38">
        <f t="shared" si="93"/>
        <v>145.24007963127812</v>
      </c>
      <c r="Q180" s="38">
        <f t="shared" si="93"/>
        <v>145.24007963127812</v>
      </c>
      <c r="R180" s="38">
        <f t="shared" si="93"/>
        <v>145.24007963127812</v>
      </c>
      <c r="S180" s="38">
        <f t="shared" si="93"/>
        <v>145.24007963127812</v>
      </c>
      <c r="T180" s="38">
        <f t="shared" si="93"/>
        <v>145.24007963127812</v>
      </c>
      <c r="U180" s="38">
        <f t="shared" si="93"/>
        <v>145.24007963127812</v>
      </c>
      <c r="V180" s="38">
        <f t="shared" si="80"/>
        <v>445.79574480667492</v>
      </c>
      <c r="W180" s="38">
        <f t="shared" si="81"/>
        <v>419.13476737420194</v>
      </c>
      <c r="X180" s="38">
        <f t="shared" si="82"/>
        <v>379.14330122549228</v>
      </c>
      <c r="Y180" s="38">
        <f t="shared" si="83"/>
        <v>398.80724790392048</v>
      </c>
      <c r="Z180" s="38">
        <f t="shared" si="84"/>
        <v>172.09049987414096</v>
      </c>
      <c r="AA180" s="38">
        <f t="shared" si="85"/>
        <v>172.09049987414096</v>
      </c>
      <c r="AB180" s="38">
        <f t="shared" si="86"/>
        <v>172.09049987414096</v>
      </c>
      <c r="AC180" s="38">
        <f t="shared" si="87"/>
        <v>172.09049987414096</v>
      </c>
      <c r="AD180" s="38">
        <f t="shared" si="88"/>
        <v>172.09049987414096</v>
      </c>
      <c r="AE180" s="38">
        <f t="shared" si="89"/>
        <v>172.09049987414096</v>
      </c>
      <c r="AF180" s="38">
        <f t="shared" si="90"/>
        <v>172.09049987414096</v>
      </c>
      <c r="AG180" s="38">
        <f t="shared" si="91"/>
        <v>172.09049987414096</v>
      </c>
    </row>
    <row r="181" spans="1:33" ht="13" customHeight="1" x14ac:dyDescent="0.25">
      <c r="A181" s="40" t="s">
        <v>37</v>
      </c>
      <c r="B181" s="40">
        <v>38.89</v>
      </c>
      <c r="C181" s="44">
        <f t="shared" si="79"/>
        <v>0.4</v>
      </c>
      <c r="D181" s="44">
        <v>0.6</v>
      </c>
      <c r="E181" s="44">
        <v>0.01</v>
      </c>
      <c r="F181" s="38">
        <v>47.956524571999999</v>
      </c>
      <c r="G181" s="40">
        <v>0</v>
      </c>
      <c r="H181" s="35">
        <v>9.2499999999999999E-2</v>
      </c>
      <c r="I181" s="45">
        <v>7.0000000000000007E-2</v>
      </c>
      <c r="J181" s="38">
        <f t="shared" si="93"/>
        <v>347.28733952337927</v>
      </c>
      <c r="K181" s="38">
        <f t="shared" si="93"/>
        <v>333.01047533017567</v>
      </c>
      <c r="L181" s="38">
        <f t="shared" si="93"/>
        <v>310.71425333008312</v>
      </c>
      <c r="M181" s="38">
        <f t="shared" si="93"/>
        <v>352.98572249054155</v>
      </c>
      <c r="N181" s="38">
        <f t="shared" si="93"/>
        <v>106.32665760756687</v>
      </c>
      <c r="O181" s="38">
        <f t="shared" si="93"/>
        <v>106.32665760756687</v>
      </c>
      <c r="P181" s="38">
        <f t="shared" si="93"/>
        <v>106.32665760756687</v>
      </c>
      <c r="Q181" s="38">
        <f t="shared" si="93"/>
        <v>106.32665760756687</v>
      </c>
      <c r="R181" s="38">
        <f t="shared" si="93"/>
        <v>106.32665760756687</v>
      </c>
      <c r="S181" s="38">
        <f t="shared" si="93"/>
        <v>106.32665760756687</v>
      </c>
      <c r="T181" s="38">
        <f t="shared" si="93"/>
        <v>106.32665760756687</v>
      </c>
      <c r="U181" s="38">
        <f t="shared" si="93"/>
        <v>106.32665760756687</v>
      </c>
      <c r="V181" s="38">
        <f t="shared" si="80"/>
        <v>411.49007911772185</v>
      </c>
      <c r="W181" s="38">
        <f t="shared" si="81"/>
        <v>394.57386217622047</v>
      </c>
      <c r="X181" s="38">
        <f t="shared" si="82"/>
        <v>368.15575500468987</v>
      </c>
      <c r="Y181" s="38">
        <f t="shared" si="83"/>
        <v>418.24191769962567</v>
      </c>
      <c r="Z181" s="38">
        <f t="shared" si="84"/>
        <v>125.98318387104699</v>
      </c>
      <c r="AA181" s="38">
        <f t="shared" si="85"/>
        <v>125.98318387104699</v>
      </c>
      <c r="AB181" s="38">
        <f t="shared" si="86"/>
        <v>125.98318387104699</v>
      </c>
      <c r="AC181" s="38">
        <f t="shared" si="87"/>
        <v>125.98318387104699</v>
      </c>
      <c r="AD181" s="38">
        <f t="shared" si="88"/>
        <v>125.98318387104699</v>
      </c>
      <c r="AE181" s="38">
        <f t="shared" si="89"/>
        <v>125.98318387104699</v>
      </c>
      <c r="AF181" s="38">
        <f t="shared" si="90"/>
        <v>125.98318387104699</v>
      </c>
      <c r="AG181" s="38">
        <f t="shared" si="91"/>
        <v>125.98318387104699</v>
      </c>
    </row>
    <row r="182" spans="1:33" ht="13" customHeight="1" x14ac:dyDescent="0.25">
      <c r="A182" s="40" t="s">
        <v>37</v>
      </c>
      <c r="B182" s="40">
        <v>38.89</v>
      </c>
      <c r="C182" s="44">
        <f t="shared" si="79"/>
        <v>0.6</v>
      </c>
      <c r="D182" s="44">
        <v>0.4</v>
      </c>
      <c r="E182" s="44">
        <v>0.01</v>
      </c>
      <c r="F182" s="38">
        <v>47.956524571999999</v>
      </c>
      <c r="G182" s="40">
        <v>0</v>
      </c>
      <c r="H182" s="35">
        <v>9.2499999999999999E-2</v>
      </c>
      <c r="I182" s="45">
        <v>7.0000000000000007E-2</v>
      </c>
      <c r="J182" s="38">
        <f t="shared" si="93"/>
        <v>332.81077742346218</v>
      </c>
      <c r="K182" s="38">
        <f t="shared" si="93"/>
        <v>322.64608034794253</v>
      </c>
      <c r="L182" s="38">
        <f t="shared" si="93"/>
        <v>306.07764616923225</v>
      </c>
      <c r="M182" s="38">
        <f t="shared" si="93"/>
        <v>361.18691021095668</v>
      </c>
      <c r="N182" s="38">
        <f t="shared" si="93"/>
        <v>86.869946595711241</v>
      </c>
      <c r="O182" s="38">
        <f t="shared" si="93"/>
        <v>86.869946595711241</v>
      </c>
      <c r="P182" s="38">
        <f t="shared" si="93"/>
        <v>86.869946595711241</v>
      </c>
      <c r="Q182" s="38">
        <f t="shared" si="93"/>
        <v>86.869946595711241</v>
      </c>
      <c r="R182" s="38">
        <f t="shared" si="93"/>
        <v>86.869946595711241</v>
      </c>
      <c r="S182" s="38">
        <f t="shared" si="93"/>
        <v>86.869946595711241</v>
      </c>
      <c r="T182" s="38">
        <f t="shared" si="93"/>
        <v>86.869946595711241</v>
      </c>
      <c r="U182" s="38">
        <f t="shared" si="93"/>
        <v>86.869946595711241</v>
      </c>
      <c r="V182" s="38">
        <f t="shared" si="80"/>
        <v>394.33724627324534</v>
      </c>
      <c r="W182" s="38">
        <f t="shared" si="81"/>
        <v>382.29340957722985</v>
      </c>
      <c r="X182" s="38">
        <f t="shared" si="82"/>
        <v>362.66198189428866</v>
      </c>
      <c r="Y182" s="38">
        <f t="shared" si="83"/>
        <v>427.95925259747827</v>
      </c>
      <c r="Z182" s="38">
        <f t="shared" si="84"/>
        <v>102.92952586949998</v>
      </c>
      <c r="AA182" s="38">
        <f t="shared" si="85"/>
        <v>102.92952586949998</v>
      </c>
      <c r="AB182" s="38">
        <f t="shared" si="86"/>
        <v>102.92952586949998</v>
      </c>
      <c r="AC182" s="38">
        <f t="shared" si="87"/>
        <v>102.92952586949998</v>
      </c>
      <c r="AD182" s="38">
        <f t="shared" si="88"/>
        <v>102.92952586949998</v>
      </c>
      <c r="AE182" s="38">
        <f t="shared" si="89"/>
        <v>102.92952586949998</v>
      </c>
      <c r="AF182" s="38">
        <f t="shared" si="90"/>
        <v>102.92952586949998</v>
      </c>
      <c r="AG182" s="38">
        <f t="shared" si="91"/>
        <v>102.92952586949998</v>
      </c>
    </row>
    <row r="183" spans="1:33" ht="13" customHeight="1" x14ac:dyDescent="0.25">
      <c r="A183" s="40" t="s">
        <v>37</v>
      </c>
      <c r="B183" s="40">
        <v>38.89</v>
      </c>
      <c r="C183" s="44">
        <f t="shared" si="79"/>
        <v>1</v>
      </c>
      <c r="D183" s="44">
        <v>0</v>
      </c>
      <c r="E183" s="44">
        <v>0.01</v>
      </c>
      <c r="F183" s="38">
        <v>47.956524571999999</v>
      </c>
      <c r="G183" s="40">
        <v>0</v>
      </c>
      <c r="H183" s="35">
        <v>9.2499999999999999E-2</v>
      </c>
      <c r="I183" s="45">
        <v>7.0000000000000007E-2</v>
      </c>
      <c r="J183" s="38">
        <f t="shared" si="93"/>
        <v>303.85765322362806</v>
      </c>
      <c r="K183" s="38">
        <f t="shared" si="93"/>
        <v>301.91729038347626</v>
      </c>
      <c r="L183" s="38">
        <f t="shared" si="93"/>
        <v>296.80443184753057</v>
      </c>
      <c r="M183" s="38">
        <f t="shared" si="93"/>
        <v>377.58928565178707</v>
      </c>
      <c r="N183" s="38">
        <f t="shared" si="93"/>
        <v>47.956524571999999</v>
      </c>
      <c r="O183" s="38">
        <f t="shared" si="93"/>
        <v>47.956524571999999</v>
      </c>
      <c r="P183" s="38">
        <f t="shared" si="93"/>
        <v>47.956524571999999</v>
      </c>
      <c r="Q183" s="38">
        <f t="shared" si="93"/>
        <v>47.956524571999999</v>
      </c>
      <c r="R183" s="38">
        <f t="shared" si="93"/>
        <v>47.956524571999999</v>
      </c>
      <c r="S183" s="38">
        <f t="shared" si="93"/>
        <v>47.956524571999999</v>
      </c>
      <c r="T183" s="38">
        <f t="shared" si="93"/>
        <v>47.956524571999999</v>
      </c>
      <c r="U183" s="38">
        <f t="shared" si="93"/>
        <v>47.956524571999999</v>
      </c>
      <c r="V183" s="38">
        <f t="shared" si="80"/>
        <v>360.03158058429233</v>
      </c>
      <c r="W183" s="38">
        <f t="shared" si="81"/>
        <v>357.7325043792485</v>
      </c>
      <c r="X183" s="38">
        <f t="shared" si="82"/>
        <v>351.6744356734863</v>
      </c>
      <c r="Y183" s="38">
        <f t="shared" si="83"/>
        <v>447.39392239318357</v>
      </c>
      <c r="Z183" s="38">
        <f t="shared" si="84"/>
        <v>56.822209866405998</v>
      </c>
      <c r="AA183" s="38">
        <f t="shared" si="85"/>
        <v>56.822209866405998</v>
      </c>
      <c r="AB183" s="38">
        <f t="shared" si="86"/>
        <v>56.822209866405998</v>
      </c>
      <c r="AC183" s="38">
        <f t="shared" si="87"/>
        <v>56.822209866405998</v>
      </c>
      <c r="AD183" s="38">
        <f t="shared" si="88"/>
        <v>56.822209866405998</v>
      </c>
      <c r="AE183" s="38">
        <f t="shared" si="89"/>
        <v>56.822209866405998</v>
      </c>
      <c r="AF183" s="38">
        <f t="shared" si="90"/>
        <v>56.822209866405998</v>
      </c>
      <c r="AG183" s="38">
        <f t="shared" si="91"/>
        <v>56.822209866405998</v>
      </c>
    </row>
    <row r="184" spans="1:33" ht="13" customHeight="1" x14ac:dyDescent="0.25">
      <c r="A184" s="40" t="s">
        <v>37</v>
      </c>
      <c r="B184" s="40">
        <v>40</v>
      </c>
      <c r="C184" s="44">
        <f t="shared" si="79"/>
        <v>0</v>
      </c>
      <c r="D184" s="44">
        <v>1</v>
      </c>
      <c r="E184" s="44">
        <v>0.01</v>
      </c>
      <c r="F184" s="38">
        <v>47.956524571999999</v>
      </c>
      <c r="G184" s="40">
        <v>0</v>
      </c>
      <c r="H184" s="35">
        <v>9.2499999999999999E-2</v>
      </c>
      <c r="I184" s="45">
        <v>0.22</v>
      </c>
      <c r="J184" s="38">
        <f t="shared" si="93"/>
        <v>385.60693564664263</v>
      </c>
      <c r="K184" s="38">
        <f t="shared" si="93"/>
        <v>362.46350707521401</v>
      </c>
      <c r="L184" s="38">
        <f t="shared" si="93"/>
        <v>327.74836421807117</v>
      </c>
      <c r="M184" s="38">
        <f t="shared" si="93"/>
        <v>344.81906454469191</v>
      </c>
      <c r="N184" s="38">
        <f t="shared" si="93"/>
        <v>148.01675091221921</v>
      </c>
      <c r="O184" s="38">
        <f t="shared" si="93"/>
        <v>148.01675091221921</v>
      </c>
      <c r="P184" s="38">
        <f t="shared" si="93"/>
        <v>148.01675091221921</v>
      </c>
      <c r="Q184" s="38">
        <f t="shared" si="93"/>
        <v>148.01675091221921</v>
      </c>
      <c r="R184" s="38">
        <f t="shared" si="93"/>
        <v>148.01675091221921</v>
      </c>
      <c r="S184" s="38">
        <f t="shared" si="93"/>
        <v>148.01675091221921</v>
      </c>
      <c r="T184" s="38">
        <f t="shared" si="93"/>
        <v>148.01675091221921</v>
      </c>
      <c r="U184" s="38">
        <f t="shared" si="93"/>
        <v>148.01675091221921</v>
      </c>
      <c r="V184" s="38">
        <f t="shared" si="80"/>
        <v>544.75797929878172</v>
      </c>
      <c r="W184" s="38">
        <f t="shared" si="81"/>
        <v>512.06259387612351</v>
      </c>
      <c r="X184" s="38">
        <f t="shared" si="82"/>
        <v>463.01951574213626</v>
      </c>
      <c r="Y184" s="38">
        <f t="shared" si="83"/>
        <v>487.1357837743758</v>
      </c>
      <c r="Z184" s="38">
        <f t="shared" si="84"/>
        <v>209.10750994168143</v>
      </c>
      <c r="AA184" s="38">
        <f t="shared" si="85"/>
        <v>209.10750994168143</v>
      </c>
      <c r="AB184" s="38">
        <f t="shared" si="86"/>
        <v>209.10750994168143</v>
      </c>
      <c r="AC184" s="38">
        <f t="shared" si="87"/>
        <v>209.10750994168143</v>
      </c>
      <c r="AD184" s="38">
        <f t="shared" si="88"/>
        <v>209.10750994168143</v>
      </c>
      <c r="AE184" s="38">
        <f t="shared" si="89"/>
        <v>209.10750994168143</v>
      </c>
      <c r="AF184" s="38">
        <f t="shared" si="90"/>
        <v>209.10750994168143</v>
      </c>
      <c r="AG184" s="38">
        <f t="shared" si="91"/>
        <v>209.10750994168143</v>
      </c>
    </row>
    <row r="185" spans="1:33" ht="13" customHeight="1" x14ac:dyDescent="0.25">
      <c r="A185" s="40" t="s">
        <v>37</v>
      </c>
      <c r="B185" s="40">
        <v>40</v>
      </c>
      <c r="C185" s="44">
        <f t="shared" si="79"/>
        <v>0.4</v>
      </c>
      <c r="D185" s="44">
        <v>0.6</v>
      </c>
      <c r="E185" s="44">
        <v>0.01</v>
      </c>
      <c r="F185" s="38">
        <v>47.956524571999999</v>
      </c>
      <c r="G185" s="40">
        <v>0</v>
      </c>
      <c r="H185" s="35">
        <v>9.2499999999999999E-2</v>
      </c>
      <c r="I185" s="45">
        <v>0.22</v>
      </c>
      <c r="J185" s="38">
        <f t="shared" si="93"/>
        <v>355.82743016982681</v>
      </c>
      <c r="K185" s="38">
        <f t="shared" si="93"/>
        <v>341.14307512410437</v>
      </c>
      <c r="L185" s="38">
        <f t="shared" si="93"/>
        <v>318.2104734269148</v>
      </c>
      <c r="M185" s="38">
        <f t="shared" si="93"/>
        <v>361.68959726861107</v>
      </c>
      <c r="N185" s="38">
        <f t="shared" si="93"/>
        <v>107.99266037613151</v>
      </c>
      <c r="O185" s="38">
        <f t="shared" si="93"/>
        <v>107.99266037613151</v>
      </c>
      <c r="P185" s="38">
        <f t="shared" si="93"/>
        <v>107.99266037613151</v>
      </c>
      <c r="Q185" s="38">
        <f t="shared" si="93"/>
        <v>107.99266037613151</v>
      </c>
      <c r="R185" s="38">
        <f t="shared" si="93"/>
        <v>107.99266037613151</v>
      </c>
      <c r="S185" s="38">
        <f t="shared" si="93"/>
        <v>107.99266037613151</v>
      </c>
      <c r="T185" s="38">
        <f t="shared" si="93"/>
        <v>107.99266037613151</v>
      </c>
      <c r="U185" s="38">
        <f t="shared" si="93"/>
        <v>107.99266037613151</v>
      </c>
      <c r="V185" s="38">
        <f t="shared" si="80"/>
        <v>502.68761767299117</v>
      </c>
      <c r="W185" s="38">
        <f t="shared" si="81"/>
        <v>481.94260807247917</v>
      </c>
      <c r="X185" s="38">
        <f t="shared" si="82"/>
        <v>449.54506382272342</v>
      </c>
      <c r="Y185" s="38">
        <f t="shared" si="83"/>
        <v>510.96926929237986</v>
      </c>
      <c r="Z185" s="38">
        <f t="shared" si="84"/>
        <v>152.56432913206402</v>
      </c>
      <c r="AA185" s="38">
        <f t="shared" si="85"/>
        <v>152.56432913206402</v>
      </c>
      <c r="AB185" s="38">
        <f t="shared" si="86"/>
        <v>152.56432913206402</v>
      </c>
      <c r="AC185" s="38">
        <f t="shared" si="87"/>
        <v>152.56432913206402</v>
      </c>
      <c r="AD185" s="38">
        <f t="shared" si="88"/>
        <v>152.56432913206402</v>
      </c>
      <c r="AE185" s="38">
        <f t="shared" si="89"/>
        <v>152.56432913206402</v>
      </c>
      <c r="AF185" s="38">
        <f t="shared" si="90"/>
        <v>152.56432913206402</v>
      </c>
      <c r="AG185" s="38">
        <f t="shared" si="91"/>
        <v>152.56432913206402</v>
      </c>
    </row>
    <row r="186" spans="1:33" ht="13" customHeight="1" x14ac:dyDescent="0.25">
      <c r="A186" s="40" t="s">
        <v>37</v>
      </c>
      <c r="B186" s="40">
        <v>40</v>
      </c>
      <c r="C186" s="44">
        <f t="shared" si="79"/>
        <v>0.6</v>
      </c>
      <c r="D186" s="44">
        <v>0.4</v>
      </c>
      <c r="E186" s="44">
        <v>0.01</v>
      </c>
      <c r="F186" s="38">
        <v>47.956524571999999</v>
      </c>
      <c r="G186" s="40">
        <v>0</v>
      </c>
      <c r="H186" s="35">
        <v>9.2499999999999999E-2</v>
      </c>
      <c r="I186" s="45">
        <v>0.22</v>
      </c>
      <c r="J186" s="38">
        <f t="shared" ref="J186:U195" si="94">(((((J$18*$C186)+(J$19*$D186))*(1+$E186))*($B186/1000))+$F186+($G186*J$5))*(1+J$27)</f>
        <v>340.93767743141893</v>
      </c>
      <c r="K186" s="38">
        <f t="shared" si="94"/>
        <v>330.48285914854961</v>
      </c>
      <c r="L186" s="38">
        <f t="shared" si="94"/>
        <v>313.44152803133665</v>
      </c>
      <c r="M186" s="38">
        <f t="shared" si="94"/>
        <v>370.12486363057059</v>
      </c>
      <c r="N186" s="38">
        <f t="shared" si="94"/>
        <v>87.980615108087676</v>
      </c>
      <c r="O186" s="38">
        <f t="shared" si="94"/>
        <v>87.980615108087676</v>
      </c>
      <c r="P186" s="38">
        <f t="shared" si="94"/>
        <v>87.980615108087676</v>
      </c>
      <c r="Q186" s="38">
        <f t="shared" si="94"/>
        <v>87.980615108087676</v>
      </c>
      <c r="R186" s="38">
        <f t="shared" si="94"/>
        <v>87.980615108087676</v>
      </c>
      <c r="S186" s="38">
        <f t="shared" si="94"/>
        <v>87.980615108087676</v>
      </c>
      <c r="T186" s="38">
        <f t="shared" si="94"/>
        <v>87.980615108087676</v>
      </c>
      <c r="U186" s="38">
        <f t="shared" si="94"/>
        <v>87.980615108087676</v>
      </c>
      <c r="V186" s="38">
        <f t="shared" si="80"/>
        <v>481.65243686009597</v>
      </c>
      <c r="W186" s="38">
        <f t="shared" si="81"/>
        <v>466.88261517065706</v>
      </c>
      <c r="X186" s="38">
        <f t="shared" si="82"/>
        <v>442.80783786301708</v>
      </c>
      <c r="Y186" s="38">
        <f t="shared" si="83"/>
        <v>522.88601205138173</v>
      </c>
      <c r="Z186" s="38">
        <f t="shared" si="84"/>
        <v>124.29273872725531</v>
      </c>
      <c r="AA186" s="38">
        <f t="shared" si="85"/>
        <v>124.29273872725531</v>
      </c>
      <c r="AB186" s="38">
        <f t="shared" si="86"/>
        <v>124.29273872725531</v>
      </c>
      <c r="AC186" s="38">
        <f t="shared" si="87"/>
        <v>124.29273872725531</v>
      </c>
      <c r="AD186" s="38">
        <f t="shared" si="88"/>
        <v>124.29273872725531</v>
      </c>
      <c r="AE186" s="38">
        <f t="shared" si="89"/>
        <v>124.29273872725531</v>
      </c>
      <c r="AF186" s="38">
        <f t="shared" si="90"/>
        <v>124.29273872725531</v>
      </c>
      <c r="AG186" s="38">
        <f t="shared" si="91"/>
        <v>124.29273872725531</v>
      </c>
    </row>
    <row r="187" spans="1:33" ht="13" customHeight="1" x14ac:dyDescent="0.25">
      <c r="A187" s="40" t="s">
        <v>37</v>
      </c>
      <c r="B187" s="40">
        <v>40</v>
      </c>
      <c r="C187" s="44">
        <f t="shared" si="79"/>
        <v>1</v>
      </c>
      <c r="D187" s="44">
        <v>0</v>
      </c>
      <c r="E187" s="44">
        <v>0.01</v>
      </c>
      <c r="F187" s="38">
        <v>47.956524571999999</v>
      </c>
      <c r="G187" s="40">
        <v>0</v>
      </c>
      <c r="H187" s="35">
        <v>9.2499999999999999E-2</v>
      </c>
      <c r="I187" s="45">
        <v>0.22</v>
      </c>
      <c r="J187" s="38">
        <f t="shared" si="94"/>
        <v>311.15817195460312</v>
      </c>
      <c r="K187" s="38">
        <f t="shared" si="94"/>
        <v>309.16242719744002</v>
      </c>
      <c r="L187" s="38">
        <f t="shared" si="94"/>
        <v>303.90363724018033</v>
      </c>
      <c r="M187" s="38">
        <f t="shared" si="94"/>
        <v>386.99539635448969</v>
      </c>
      <c r="N187" s="38">
        <f t="shared" si="94"/>
        <v>47.956524571999999</v>
      </c>
      <c r="O187" s="38">
        <f t="shared" si="94"/>
        <v>47.956524571999999</v>
      </c>
      <c r="P187" s="38">
        <f t="shared" si="94"/>
        <v>47.956524571999999</v>
      </c>
      <c r="Q187" s="38">
        <f t="shared" si="94"/>
        <v>47.956524571999999</v>
      </c>
      <c r="R187" s="38">
        <f t="shared" si="94"/>
        <v>47.956524571999999</v>
      </c>
      <c r="S187" s="38">
        <f t="shared" si="94"/>
        <v>47.956524571999999</v>
      </c>
      <c r="T187" s="38">
        <f t="shared" si="94"/>
        <v>47.956524571999999</v>
      </c>
      <c r="U187" s="38">
        <f t="shared" si="94"/>
        <v>47.956524571999999</v>
      </c>
      <c r="V187" s="38">
        <f t="shared" si="80"/>
        <v>439.58207523430548</v>
      </c>
      <c r="W187" s="38">
        <f t="shared" si="81"/>
        <v>436.76262936701283</v>
      </c>
      <c r="X187" s="38">
        <f t="shared" si="82"/>
        <v>429.33338594360436</v>
      </c>
      <c r="Y187" s="38">
        <f t="shared" si="83"/>
        <v>546.71949756938579</v>
      </c>
      <c r="Z187" s="38">
        <f t="shared" si="84"/>
        <v>67.749557917637915</v>
      </c>
      <c r="AA187" s="38">
        <f t="shared" si="85"/>
        <v>67.749557917637915</v>
      </c>
      <c r="AB187" s="38">
        <f t="shared" si="86"/>
        <v>67.749557917637915</v>
      </c>
      <c r="AC187" s="38">
        <f t="shared" si="87"/>
        <v>67.749557917637915</v>
      </c>
      <c r="AD187" s="38">
        <f t="shared" si="88"/>
        <v>67.749557917637915</v>
      </c>
      <c r="AE187" s="38">
        <f t="shared" si="89"/>
        <v>67.749557917637915</v>
      </c>
      <c r="AF187" s="38">
        <f t="shared" si="90"/>
        <v>67.749557917637915</v>
      </c>
      <c r="AG187" s="38">
        <f t="shared" si="91"/>
        <v>67.749557917637915</v>
      </c>
    </row>
    <row r="188" spans="1:33" ht="13" customHeight="1" x14ac:dyDescent="0.25">
      <c r="A188" s="40" t="s">
        <v>37</v>
      </c>
      <c r="B188" s="40">
        <v>40</v>
      </c>
      <c r="C188" s="44">
        <f t="shared" si="79"/>
        <v>0</v>
      </c>
      <c r="D188" s="44">
        <v>1</v>
      </c>
      <c r="E188" s="44">
        <v>0.01</v>
      </c>
      <c r="F188" s="38">
        <v>47.956524571999999</v>
      </c>
      <c r="G188" s="40">
        <v>0</v>
      </c>
      <c r="H188" s="35">
        <v>9.2499999999999999E-2</v>
      </c>
      <c r="I188" s="45">
        <v>0.12</v>
      </c>
      <c r="J188" s="38">
        <f t="shared" si="94"/>
        <v>385.60693564664263</v>
      </c>
      <c r="K188" s="38">
        <f t="shared" si="94"/>
        <v>362.46350707521401</v>
      </c>
      <c r="L188" s="38">
        <f t="shared" si="94"/>
        <v>327.74836421807117</v>
      </c>
      <c r="M188" s="38">
        <f t="shared" si="94"/>
        <v>344.81906454469191</v>
      </c>
      <c r="N188" s="38">
        <f t="shared" si="94"/>
        <v>148.01675091221921</v>
      </c>
      <c r="O188" s="38">
        <f t="shared" si="94"/>
        <v>148.01675091221921</v>
      </c>
      <c r="P188" s="38">
        <f t="shared" si="94"/>
        <v>148.01675091221921</v>
      </c>
      <c r="Q188" s="38">
        <f t="shared" si="94"/>
        <v>148.01675091221921</v>
      </c>
      <c r="R188" s="38">
        <f t="shared" si="94"/>
        <v>148.01675091221921</v>
      </c>
      <c r="S188" s="38">
        <f t="shared" si="94"/>
        <v>148.01675091221921</v>
      </c>
      <c r="T188" s="38">
        <f t="shared" si="94"/>
        <v>148.01675091221921</v>
      </c>
      <c r="U188" s="38">
        <f t="shared" si="94"/>
        <v>148.01675091221921</v>
      </c>
      <c r="V188" s="38">
        <f t="shared" si="80"/>
        <v>482.85366346937474</v>
      </c>
      <c r="W188" s="38">
        <f t="shared" si="81"/>
        <v>453.8736627538367</v>
      </c>
      <c r="X188" s="38">
        <f t="shared" si="82"/>
        <v>410.40366168052986</v>
      </c>
      <c r="Y188" s="38">
        <f t="shared" si="83"/>
        <v>431.77944470910586</v>
      </c>
      <c r="Z188" s="38">
        <f t="shared" si="84"/>
        <v>185.345292902854</v>
      </c>
      <c r="AA188" s="38">
        <f t="shared" si="85"/>
        <v>185.345292902854</v>
      </c>
      <c r="AB188" s="38">
        <f t="shared" si="86"/>
        <v>185.345292902854</v>
      </c>
      <c r="AC188" s="38">
        <f t="shared" si="87"/>
        <v>185.345292902854</v>
      </c>
      <c r="AD188" s="38">
        <f t="shared" si="88"/>
        <v>185.345292902854</v>
      </c>
      <c r="AE188" s="38">
        <f t="shared" si="89"/>
        <v>185.345292902854</v>
      </c>
      <c r="AF188" s="38">
        <f t="shared" si="90"/>
        <v>185.345292902854</v>
      </c>
      <c r="AG188" s="38">
        <f t="shared" si="91"/>
        <v>185.345292902854</v>
      </c>
    </row>
    <row r="189" spans="1:33" ht="13" customHeight="1" x14ac:dyDescent="0.25">
      <c r="A189" s="40" t="s">
        <v>37</v>
      </c>
      <c r="B189" s="40">
        <v>40</v>
      </c>
      <c r="C189" s="44">
        <f t="shared" si="79"/>
        <v>0.4</v>
      </c>
      <c r="D189" s="44">
        <v>0.6</v>
      </c>
      <c r="E189" s="44">
        <v>0.01</v>
      </c>
      <c r="F189" s="38">
        <v>47.956524571999999</v>
      </c>
      <c r="G189" s="40">
        <v>0</v>
      </c>
      <c r="H189" s="35">
        <v>9.2499999999999999E-2</v>
      </c>
      <c r="I189" s="45">
        <v>0.12</v>
      </c>
      <c r="J189" s="38">
        <f t="shared" si="94"/>
        <v>355.82743016982681</v>
      </c>
      <c r="K189" s="38">
        <f t="shared" si="94"/>
        <v>341.14307512410437</v>
      </c>
      <c r="L189" s="38">
        <f t="shared" si="94"/>
        <v>318.2104734269148</v>
      </c>
      <c r="M189" s="38">
        <f t="shared" si="94"/>
        <v>361.68959726861107</v>
      </c>
      <c r="N189" s="38">
        <f t="shared" si="94"/>
        <v>107.99266037613151</v>
      </c>
      <c r="O189" s="38">
        <f t="shared" si="94"/>
        <v>107.99266037613151</v>
      </c>
      <c r="P189" s="38">
        <f t="shared" si="94"/>
        <v>107.99266037613151</v>
      </c>
      <c r="Q189" s="38">
        <f t="shared" si="94"/>
        <v>107.99266037613151</v>
      </c>
      <c r="R189" s="38">
        <f t="shared" si="94"/>
        <v>107.99266037613151</v>
      </c>
      <c r="S189" s="38">
        <f t="shared" si="94"/>
        <v>107.99266037613151</v>
      </c>
      <c r="T189" s="38">
        <f t="shared" si="94"/>
        <v>107.99266037613151</v>
      </c>
      <c r="U189" s="38">
        <f t="shared" si="94"/>
        <v>107.99266037613151</v>
      </c>
      <c r="V189" s="38">
        <f t="shared" si="80"/>
        <v>445.56402475560583</v>
      </c>
      <c r="W189" s="38">
        <f t="shared" si="81"/>
        <v>427.17640260969745</v>
      </c>
      <c r="X189" s="38">
        <f t="shared" si="82"/>
        <v>398.46039747923214</v>
      </c>
      <c r="Y189" s="38">
        <f t="shared" si="83"/>
        <v>452.90457960006398</v>
      </c>
      <c r="Z189" s="38">
        <f t="shared" si="84"/>
        <v>135.22747354887491</v>
      </c>
      <c r="AA189" s="38">
        <f t="shared" si="85"/>
        <v>135.22747354887491</v>
      </c>
      <c r="AB189" s="38">
        <f t="shared" si="86"/>
        <v>135.22747354887491</v>
      </c>
      <c r="AC189" s="38">
        <f t="shared" si="87"/>
        <v>135.22747354887491</v>
      </c>
      <c r="AD189" s="38">
        <f t="shared" si="88"/>
        <v>135.22747354887491</v>
      </c>
      <c r="AE189" s="38">
        <f t="shared" si="89"/>
        <v>135.22747354887491</v>
      </c>
      <c r="AF189" s="38">
        <f t="shared" si="90"/>
        <v>135.22747354887491</v>
      </c>
      <c r="AG189" s="38">
        <f t="shared" si="91"/>
        <v>135.22747354887491</v>
      </c>
    </row>
    <row r="190" spans="1:33" ht="13" customHeight="1" x14ac:dyDescent="0.25">
      <c r="A190" s="40" t="s">
        <v>37</v>
      </c>
      <c r="B190" s="40">
        <v>40</v>
      </c>
      <c r="C190" s="44">
        <f t="shared" si="79"/>
        <v>0.6</v>
      </c>
      <c r="D190" s="44">
        <v>0.4</v>
      </c>
      <c r="E190" s="44">
        <v>0.01</v>
      </c>
      <c r="F190" s="38">
        <v>47.956524571999999</v>
      </c>
      <c r="G190" s="40">
        <v>0</v>
      </c>
      <c r="H190" s="35">
        <v>9.2499999999999999E-2</v>
      </c>
      <c r="I190" s="45">
        <v>0.12</v>
      </c>
      <c r="J190" s="38">
        <f t="shared" si="94"/>
        <v>340.93767743141893</v>
      </c>
      <c r="K190" s="38">
        <f t="shared" si="94"/>
        <v>330.48285914854961</v>
      </c>
      <c r="L190" s="38">
        <f t="shared" si="94"/>
        <v>313.44152803133665</v>
      </c>
      <c r="M190" s="38">
        <f t="shared" si="94"/>
        <v>370.12486363057059</v>
      </c>
      <c r="N190" s="38">
        <f t="shared" si="94"/>
        <v>87.980615108087676</v>
      </c>
      <c r="O190" s="38">
        <f t="shared" si="94"/>
        <v>87.980615108087676</v>
      </c>
      <c r="P190" s="38">
        <f t="shared" si="94"/>
        <v>87.980615108087676</v>
      </c>
      <c r="Q190" s="38">
        <f t="shared" si="94"/>
        <v>87.980615108087676</v>
      </c>
      <c r="R190" s="38">
        <f t="shared" si="94"/>
        <v>87.980615108087676</v>
      </c>
      <c r="S190" s="38">
        <f t="shared" si="94"/>
        <v>87.980615108087676</v>
      </c>
      <c r="T190" s="38">
        <f t="shared" si="94"/>
        <v>87.980615108087676</v>
      </c>
      <c r="U190" s="38">
        <f t="shared" si="94"/>
        <v>87.980615108087676</v>
      </c>
      <c r="V190" s="38">
        <f t="shared" si="80"/>
        <v>426.91920539872149</v>
      </c>
      <c r="W190" s="38">
        <f t="shared" si="81"/>
        <v>413.82777253762788</v>
      </c>
      <c r="X190" s="38">
        <f t="shared" si="82"/>
        <v>392.48876537858337</v>
      </c>
      <c r="Y190" s="38">
        <f t="shared" si="83"/>
        <v>463.46714704554296</v>
      </c>
      <c r="Z190" s="38">
        <f t="shared" si="84"/>
        <v>110.1685638718854</v>
      </c>
      <c r="AA190" s="38">
        <f t="shared" si="85"/>
        <v>110.1685638718854</v>
      </c>
      <c r="AB190" s="38">
        <f t="shared" si="86"/>
        <v>110.1685638718854</v>
      </c>
      <c r="AC190" s="38">
        <f t="shared" si="87"/>
        <v>110.1685638718854</v>
      </c>
      <c r="AD190" s="38">
        <f t="shared" si="88"/>
        <v>110.1685638718854</v>
      </c>
      <c r="AE190" s="38">
        <f t="shared" si="89"/>
        <v>110.1685638718854</v>
      </c>
      <c r="AF190" s="38">
        <f t="shared" si="90"/>
        <v>110.1685638718854</v>
      </c>
      <c r="AG190" s="38">
        <f t="shared" si="91"/>
        <v>110.1685638718854</v>
      </c>
    </row>
    <row r="191" spans="1:33" ht="13" customHeight="1" x14ac:dyDescent="0.25">
      <c r="A191" s="40" t="s">
        <v>37</v>
      </c>
      <c r="B191" s="40">
        <v>40</v>
      </c>
      <c r="C191" s="44">
        <f t="shared" ref="C191:C219" si="95">100%-D191</f>
        <v>1</v>
      </c>
      <c r="D191" s="44">
        <v>0</v>
      </c>
      <c r="E191" s="44">
        <v>0.01</v>
      </c>
      <c r="F191" s="38">
        <v>47.956524571999999</v>
      </c>
      <c r="G191" s="40">
        <v>0</v>
      </c>
      <c r="H191" s="35">
        <v>9.2499999999999999E-2</v>
      </c>
      <c r="I191" s="45">
        <v>0.12</v>
      </c>
      <c r="J191" s="38">
        <f t="shared" si="94"/>
        <v>311.15817195460312</v>
      </c>
      <c r="K191" s="38">
        <f t="shared" si="94"/>
        <v>309.16242719744002</v>
      </c>
      <c r="L191" s="38">
        <f t="shared" si="94"/>
        <v>303.90363724018033</v>
      </c>
      <c r="M191" s="38">
        <f t="shared" si="94"/>
        <v>386.99539635448969</v>
      </c>
      <c r="N191" s="38">
        <f t="shared" si="94"/>
        <v>47.956524571999999</v>
      </c>
      <c r="O191" s="38">
        <f t="shared" si="94"/>
        <v>47.956524571999999</v>
      </c>
      <c r="P191" s="38">
        <f t="shared" si="94"/>
        <v>47.956524571999999</v>
      </c>
      <c r="Q191" s="38">
        <f t="shared" si="94"/>
        <v>47.956524571999999</v>
      </c>
      <c r="R191" s="38">
        <f t="shared" si="94"/>
        <v>47.956524571999999</v>
      </c>
      <c r="S191" s="38">
        <f t="shared" si="94"/>
        <v>47.956524571999999</v>
      </c>
      <c r="T191" s="38">
        <f t="shared" si="94"/>
        <v>47.956524571999999</v>
      </c>
      <c r="U191" s="38">
        <f t="shared" si="94"/>
        <v>47.956524571999999</v>
      </c>
      <c r="V191" s="38">
        <f t="shared" ref="V191:V219" si="96">(J191/(1-$H191))/(1-$I191)</f>
        <v>389.62956668495258</v>
      </c>
      <c r="W191" s="38">
        <f t="shared" ref="W191:W219" si="97">(K191/(1-$H191))/(1-$I191)</f>
        <v>387.13051239348869</v>
      </c>
      <c r="X191" s="38">
        <f t="shared" ref="X191:X219" si="98">(L191/(1-$H191))/(1-$I191)</f>
        <v>380.54550117728564</v>
      </c>
      <c r="Y191" s="38">
        <f t="shared" ref="Y191:Y219" si="99">(M191/(1-$H191))/(1-$I191)</f>
        <v>484.59228193650102</v>
      </c>
      <c r="Z191" s="38">
        <f t="shared" ref="Z191:Z219" si="100">(N191/(1-$H191))/(1-$I191)</f>
        <v>60.050744517906331</v>
      </c>
      <c r="AA191" s="38">
        <f t="shared" ref="AA191:AA219" si="101">(O191/(1-$H191))/(1-$I191)</f>
        <v>60.050744517906331</v>
      </c>
      <c r="AB191" s="38">
        <f t="shared" ref="AB191:AB219" si="102">(P191/(1-$H191))/(1-$I191)</f>
        <v>60.050744517906331</v>
      </c>
      <c r="AC191" s="38">
        <f t="shared" ref="AC191:AC219" si="103">(Q191/(1-$H191))/(1-$I191)</f>
        <v>60.050744517906331</v>
      </c>
      <c r="AD191" s="38">
        <f t="shared" ref="AD191:AD219" si="104">(R191/(1-$H191))/(1-$I191)</f>
        <v>60.050744517906331</v>
      </c>
      <c r="AE191" s="38">
        <f t="shared" ref="AE191:AE219" si="105">(S191/(1-$H191))/(1-$I191)</f>
        <v>60.050744517906331</v>
      </c>
      <c r="AF191" s="38">
        <f t="shared" ref="AF191:AF219" si="106">(T191/(1-$H191))/(1-$I191)</f>
        <v>60.050744517906331</v>
      </c>
      <c r="AG191" s="38">
        <f t="shared" ref="AG191:AG219" si="107">(U191/(1-$H191))/(1-$I191)</f>
        <v>60.050744517906331</v>
      </c>
    </row>
    <row r="192" spans="1:33" ht="13" customHeight="1" x14ac:dyDescent="0.25">
      <c r="A192" s="40" t="s">
        <v>37</v>
      </c>
      <c r="B192" s="40">
        <v>40</v>
      </c>
      <c r="C192" s="44">
        <f t="shared" si="95"/>
        <v>0</v>
      </c>
      <c r="D192" s="44">
        <v>1</v>
      </c>
      <c r="E192" s="44">
        <v>0.01</v>
      </c>
      <c r="F192" s="38">
        <v>47.956524571999999</v>
      </c>
      <c r="G192" s="40">
        <v>0</v>
      </c>
      <c r="H192" s="35">
        <v>9.2499999999999999E-2</v>
      </c>
      <c r="I192" s="45">
        <v>7.0000000000000007E-2</v>
      </c>
      <c r="J192" s="38">
        <f t="shared" si="94"/>
        <v>385.60693564664263</v>
      </c>
      <c r="K192" s="38">
        <f t="shared" si="94"/>
        <v>362.46350707521401</v>
      </c>
      <c r="L192" s="38">
        <f t="shared" si="94"/>
        <v>327.74836421807117</v>
      </c>
      <c r="M192" s="38">
        <f t="shared" si="94"/>
        <v>344.81906454469191</v>
      </c>
      <c r="N192" s="38">
        <f t="shared" si="94"/>
        <v>148.01675091221921</v>
      </c>
      <c r="O192" s="38">
        <f t="shared" si="94"/>
        <v>148.01675091221921</v>
      </c>
      <c r="P192" s="38">
        <f t="shared" si="94"/>
        <v>148.01675091221921</v>
      </c>
      <c r="Q192" s="38">
        <f t="shared" si="94"/>
        <v>148.01675091221921</v>
      </c>
      <c r="R192" s="38">
        <f t="shared" si="94"/>
        <v>148.01675091221921</v>
      </c>
      <c r="S192" s="38">
        <f t="shared" si="94"/>
        <v>148.01675091221921</v>
      </c>
      <c r="T192" s="38">
        <f t="shared" si="94"/>
        <v>148.01675091221921</v>
      </c>
      <c r="U192" s="38">
        <f t="shared" si="94"/>
        <v>148.01675091221921</v>
      </c>
      <c r="V192" s="38">
        <f t="shared" si="96"/>
        <v>456.89378908930087</v>
      </c>
      <c r="W192" s="38">
        <f t="shared" si="97"/>
        <v>429.47185292836167</v>
      </c>
      <c r="X192" s="38">
        <f t="shared" si="98"/>
        <v>388.33894868695302</v>
      </c>
      <c r="Y192" s="38">
        <f t="shared" si="99"/>
        <v>408.56549606883135</v>
      </c>
      <c r="Z192" s="38">
        <f t="shared" si="100"/>
        <v>175.38049220915218</v>
      </c>
      <c r="AA192" s="38">
        <f t="shared" si="101"/>
        <v>175.38049220915218</v>
      </c>
      <c r="AB192" s="38">
        <f t="shared" si="102"/>
        <v>175.38049220915218</v>
      </c>
      <c r="AC192" s="38">
        <f t="shared" si="103"/>
        <v>175.38049220915218</v>
      </c>
      <c r="AD192" s="38">
        <f t="shared" si="104"/>
        <v>175.38049220915218</v>
      </c>
      <c r="AE192" s="38">
        <f t="shared" si="105"/>
        <v>175.38049220915218</v>
      </c>
      <c r="AF192" s="38">
        <f t="shared" si="106"/>
        <v>175.38049220915218</v>
      </c>
      <c r="AG192" s="38">
        <f t="shared" si="107"/>
        <v>175.38049220915218</v>
      </c>
    </row>
    <row r="193" spans="1:33" ht="13" customHeight="1" x14ac:dyDescent="0.25">
      <c r="A193" s="40" t="s">
        <v>37</v>
      </c>
      <c r="B193" s="40">
        <v>40</v>
      </c>
      <c r="C193" s="44">
        <f t="shared" si="95"/>
        <v>0.4</v>
      </c>
      <c r="D193" s="44">
        <v>0.6</v>
      </c>
      <c r="E193" s="44">
        <v>0.01</v>
      </c>
      <c r="F193" s="38">
        <v>47.956524571999999</v>
      </c>
      <c r="G193" s="40">
        <v>0</v>
      </c>
      <c r="H193" s="35">
        <v>9.2499999999999999E-2</v>
      </c>
      <c r="I193" s="45">
        <v>7.0000000000000007E-2</v>
      </c>
      <c r="J193" s="38">
        <f t="shared" si="94"/>
        <v>355.82743016982681</v>
      </c>
      <c r="K193" s="38">
        <f t="shared" si="94"/>
        <v>341.14307512410437</v>
      </c>
      <c r="L193" s="38">
        <f t="shared" si="94"/>
        <v>318.2104734269148</v>
      </c>
      <c r="M193" s="38">
        <f t="shared" si="94"/>
        <v>361.68959726861107</v>
      </c>
      <c r="N193" s="38">
        <f t="shared" si="94"/>
        <v>107.99266037613151</v>
      </c>
      <c r="O193" s="38">
        <f t="shared" si="94"/>
        <v>107.99266037613151</v>
      </c>
      <c r="P193" s="38">
        <f t="shared" si="94"/>
        <v>107.99266037613151</v>
      </c>
      <c r="Q193" s="38">
        <f t="shared" si="94"/>
        <v>107.99266037613151</v>
      </c>
      <c r="R193" s="38">
        <f t="shared" si="94"/>
        <v>107.99266037613151</v>
      </c>
      <c r="S193" s="38">
        <f t="shared" si="94"/>
        <v>107.99266037613151</v>
      </c>
      <c r="T193" s="38">
        <f t="shared" si="94"/>
        <v>107.99266037613151</v>
      </c>
      <c r="U193" s="38">
        <f t="shared" si="94"/>
        <v>107.99266037613151</v>
      </c>
      <c r="V193" s="38">
        <f t="shared" si="96"/>
        <v>421.60896966121845</v>
      </c>
      <c r="W193" s="38">
        <f t="shared" si="97"/>
        <v>404.20992935111161</v>
      </c>
      <c r="X193" s="38">
        <f t="shared" si="98"/>
        <v>377.0377954642197</v>
      </c>
      <c r="Y193" s="38">
        <f t="shared" si="99"/>
        <v>428.55487101941543</v>
      </c>
      <c r="Z193" s="38">
        <f t="shared" si="100"/>
        <v>127.95717927205369</v>
      </c>
      <c r="AA193" s="38">
        <f t="shared" si="101"/>
        <v>127.95717927205369</v>
      </c>
      <c r="AB193" s="38">
        <f t="shared" si="102"/>
        <v>127.95717927205369</v>
      </c>
      <c r="AC193" s="38">
        <f t="shared" si="103"/>
        <v>127.95717927205369</v>
      </c>
      <c r="AD193" s="38">
        <f t="shared" si="104"/>
        <v>127.95717927205369</v>
      </c>
      <c r="AE193" s="38">
        <f t="shared" si="105"/>
        <v>127.95717927205369</v>
      </c>
      <c r="AF193" s="38">
        <f t="shared" si="106"/>
        <v>127.95717927205369</v>
      </c>
      <c r="AG193" s="38">
        <f t="shared" si="107"/>
        <v>127.95717927205369</v>
      </c>
    </row>
    <row r="194" spans="1:33" ht="13" customHeight="1" x14ac:dyDescent="0.25">
      <c r="A194" s="40" t="s">
        <v>37</v>
      </c>
      <c r="B194" s="40">
        <v>40</v>
      </c>
      <c r="C194" s="44">
        <f t="shared" si="95"/>
        <v>0.6</v>
      </c>
      <c r="D194" s="44">
        <v>0.4</v>
      </c>
      <c r="E194" s="44">
        <v>0.01</v>
      </c>
      <c r="F194" s="38">
        <v>47.956524571999999</v>
      </c>
      <c r="G194" s="40">
        <v>0</v>
      </c>
      <c r="H194" s="35">
        <v>9.2499999999999999E-2</v>
      </c>
      <c r="I194" s="45">
        <v>7.0000000000000007E-2</v>
      </c>
      <c r="J194" s="38">
        <f t="shared" si="94"/>
        <v>340.93767743141893</v>
      </c>
      <c r="K194" s="38">
        <f t="shared" si="94"/>
        <v>330.48285914854961</v>
      </c>
      <c r="L194" s="38">
        <f t="shared" si="94"/>
        <v>313.44152803133665</v>
      </c>
      <c r="M194" s="38">
        <f t="shared" si="94"/>
        <v>370.12486363057059</v>
      </c>
      <c r="N194" s="38">
        <f t="shared" si="94"/>
        <v>87.980615108087676</v>
      </c>
      <c r="O194" s="38">
        <f t="shared" si="94"/>
        <v>87.980615108087676</v>
      </c>
      <c r="P194" s="38">
        <f t="shared" si="94"/>
        <v>87.980615108087676</v>
      </c>
      <c r="Q194" s="38">
        <f t="shared" si="94"/>
        <v>87.980615108087676</v>
      </c>
      <c r="R194" s="38">
        <f t="shared" si="94"/>
        <v>87.980615108087676</v>
      </c>
      <c r="S194" s="38">
        <f t="shared" si="94"/>
        <v>87.980615108087676</v>
      </c>
      <c r="T194" s="38">
        <f t="shared" si="94"/>
        <v>87.980615108087676</v>
      </c>
      <c r="U194" s="38">
        <f t="shared" si="94"/>
        <v>87.980615108087676</v>
      </c>
      <c r="V194" s="38">
        <f t="shared" si="96"/>
        <v>403.96655994717736</v>
      </c>
      <c r="W194" s="38">
        <f t="shared" si="97"/>
        <v>391.57896756248664</v>
      </c>
      <c r="X194" s="38">
        <f t="shared" si="98"/>
        <v>371.3872188528531</v>
      </c>
      <c r="Y194" s="38">
        <f t="shared" si="99"/>
        <v>438.54955849470736</v>
      </c>
      <c r="Z194" s="38">
        <f t="shared" si="100"/>
        <v>104.24552280350447</v>
      </c>
      <c r="AA194" s="38">
        <f t="shared" si="101"/>
        <v>104.24552280350447</v>
      </c>
      <c r="AB194" s="38">
        <f t="shared" si="102"/>
        <v>104.24552280350447</v>
      </c>
      <c r="AC194" s="38">
        <f t="shared" si="103"/>
        <v>104.24552280350447</v>
      </c>
      <c r="AD194" s="38">
        <f t="shared" si="104"/>
        <v>104.24552280350447</v>
      </c>
      <c r="AE194" s="38">
        <f t="shared" si="105"/>
        <v>104.24552280350447</v>
      </c>
      <c r="AF194" s="38">
        <f t="shared" si="106"/>
        <v>104.24552280350447</v>
      </c>
      <c r="AG194" s="38">
        <f t="shared" si="107"/>
        <v>104.24552280350447</v>
      </c>
    </row>
    <row r="195" spans="1:33" ht="13" customHeight="1" x14ac:dyDescent="0.25">
      <c r="A195" s="40" t="s">
        <v>37</v>
      </c>
      <c r="B195" s="40">
        <v>40</v>
      </c>
      <c r="C195" s="44">
        <f t="shared" si="95"/>
        <v>1</v>
      </c>
      <c r="D195" s="44">
        <v>0</v>
      </c>
      <c r="E195" s="44">
        <v>0.01</v>
      </c>
      <c r="F195" s="38">
        <v>47.956524571999999</v>
      </c>
      <c r="G195" s="40">
        <v>0</v>
      </c>
      <c r="H195" s="35">
        <v>9.2499999999999999E-2</v>
      </c>
      <c r="I195" s="45">
        <v>7.0000000000000007E-2</v>
      </c>
      <c r="J195" s="38">
        <f t="shared" si="94"/>
        <v>311.15817195460312</v>
      </c>
      <c r="K195" s="38">
        <f t="shared" si="94"/>
        <v>309.16242719744002</v>
      </c>
      <c r="L195" s="38">
        <f t="shared" si="94"/>
        <v>303.90363724018033</v>
      </c>
      <c r="M195" s="38">
        <f t="shared" si="94"/>
        <v>386.99539635448969</v>
      </c>
      <c r="N195" s="38">
        <f t="shared" si="94"/>
        <v>47.956524571999999</v>
      </c>
      <c r="O195" s="38">
        <f t="shared" si="94"/>
        <v>47.956524571999999</v>
      </c>
      <c r="P195" s="38">
        <f t="shared" si="94"/>
        <v>47.956524571999999</v>
      </c>
      <c r="Q195" s="38">
        <f t="shared" si="94"/>
        <v>47.956524571999999</v>
      </c>
      <c r="R195" s="38">
        <f t="shared" si="94"/>
        <v>47.956524571999999</v>
      </c>
      <c r="S195" s="38">
        <f t="shared" si="94"/>
        <v>47.956524571999999</v>
      </c>
      <c r="T195" s="38">
        <f t="shared" si="94"/>
        <v>47.956524571999999</v>
      </c>
      <c r="U195" s="38">
        <f t="shared" si="94"/>
        <v>47.956524571999999</v>
      </c>
      <c r="V195" s="38">
        <f t="shared" si="96"/>
        <v>368.68174051909494</v>
      </c>
      <c r="W195" s="38">
        <f t="shared" si="97"/>
        <v>366.31704398523664</v>
      </c>
      <c r="X195" s="38">
        <f t="shared" si="98"/>
        <v>360.08606563011978</v>
      </c>
      <c r="Y195" s="38">
        <f t="shared" si="99"/>
        <v>458.53893344529132</v>
      </c>
      <c r="Z195" s="38">
        <f t="shared" si="100"/>
        <v>56.822209866405998</v>
      </c>
      <c r="AA195" s="38">
        <f t="shared" si="101"/>
        <v>56.822209866405998</v>
      </c>
      <c r="AB195" s="38">
        <f t="shared" si="102"/>
        <v>56.822209866405998</v>
      </c>
      <c r="AC195" s="38">
        <f t="shared" si="103"/>
        <v>56.822209866405998</v>
      </c>
      <c r="AD195" s="38">
        <f t="shared" si="104"/>
        <v>56.822209866405998</v>
      </c>
      <c r="AE195" s="38">
        <f t="shared" si="105"/>
        <v>56.822209866405998</v>
      </c>
      <c r="AF195" s="38">
        <f t="shared" si="106"/>
        <v>56.822209866405998</v>
      </c>
      <c r="AG195" s="38">
        <f t="shared" si="107"/>
        <v>56.822209866405998</v>
      </c>
    </row>
    <row r="196" spans="1:33" ht="13" customHeight="1" x14ac:dyDescent="0.25">
      <c r="A196" s="40" t="s">
        <v>37</v>
      </c>
      <c r="B196" s="40">
        <v>42.65</v>
      </c>
      <c r="C196" s="44">
        <f t="shared" si="95"/>
        <v>0</v>
      </c>
      <c r="D196" s="44">
        <v>1</v>
      </c>
      <c r="E196" s="44">
        <v>0.01</v>
      </c>
      <c r="F196" s="193">
        <v>47.956524571999999</v>
      </c>
      <c r="G196" s="40">
        <v>0</v>
      </c>
      <c r="H196" s="35">
        <v>9.2499999999999999E-2</v>
      </c>
      <c r="I196" s="45">
        <v>0.12</v>
      </c>
      <c r="J196" s="38">
        <f t="shared" ref="J196:U205" si="108">(((((J$18*$C196)+(J$19*$D196))*(1+$E196))*($B196/1000))+$F196+($G196*J$5))*(1+J$27)</f>
        <v>407.96833258095546</v>
      </c>
      <c r="K196" s="38">
        <f t="shared" si="108"/>
        <v>383.29165186666972</v>
      </c>
      <c r="L196" s="38">
        <f t="shared" si="108"/>
        <v>346.27663079524115</v>
      </c>
      <c r="M196" s="38">
        <f t="shared" si="108"/>
        <v>364.48091261829467</v>
      </c>
      <c r="N196" s="38">
        <f t="shared" si="108"/>
        <v>154.64574090725873</v>
      </c>
      <c r="O196" s="38">
        <f t="shared" si="108"/>
        <v>154.64574090725873</v>
      </c>
      <c r="P196" s="38">
        <f t="shared" si="108"/>
        <v>154.64574090725873</v>
      </c>
      <c r="Q196" s="38">
        <f t="shared" si="108"/>
        <v>154.64574090725873</v>
      </c>
      <c r="R196" s="38">
        <f t="shared" si="108"/>
        <v>154.64574090725873</v>
      </c>
      <c r="S196" s="38">
        <f t="shared" si="108"/>
        <v>154.64574090725873</v>
      </c>
      <c r="T196" s="38">
        <f t="shared" si="108"/>
        <v>154.64574090725873</v>
      </c>
      <c r="U196" s="38">
        <f t="shared" si="108"/>
        <v>154.64574090725873</v>
      </c>
      <c r="V196" s="38">
        <f t="shared" si="96"/>
        <v>510.85441094534866</v>
      </c>
      <c r="W196" s="38">
        <f t="shared" si="97"/>
        <v>479.95448518240636</v>
      </c>
      <c r="X196" s="38">
        <f t="shared" si="98"/>
        <v>433.6045965379929</v>
      </c>
      <c r="Y196" s="38">
        <f t="shared" si="99"/>
        <v>456.39984049373237</v>
      </c>
      <c r="Z196" s="38">
        <f t="shared" si="100"/>
        <v>193.6460567333568</v>
      </c>
      <c r="AA196" s="38">
        <f t="shared" si="101"/>
        <v>193.6460567333568</v>
      </c>
      <c r="AB196" s="38">
        <f t="shared" si="102"/>
        <v>193.6460567333568</v>
      </c>
      <c r="AC196" s="38">
        <f t="shared" si="103"/>
        <v>193.6460567333568</v>
      </c>
      <c r="AD196" s="38">
        <f t="shared" si="104"/>
        <v>193.6460567333568</v>
      </c>
      <c r="AE196" s="38">
        <f t="shared" si="105"/>
        <v>193.6460567333568</v>
      </c>
      <c r="AF196" s="38">
        <f t="shared" si="106"/>
        <v>193.6460567333568</v>
      </c>
      <c r="AG196" s="38">
        <f t="shared" si="107"/>
        <v>193.6460567333568</v>
      </c>
    </row>
    <row r="197" spans="1:33" ht="13" customHeight="1" x14ac:dyDescent="0.25">
      <c r="A197" s="40" t="s">
        <v>37</v>
      </c>
      <c r="B197" s="40">
        <v>42.65</v>
      </c>
      <c r="C197" s="44">
        <f t="shared" si="95"/>
        <v>0.4</v>
      </c>
      <c r="D197" s="44">
        <v>0.6</v>
      </c>
      <c r="E197" s="44">
        <v>0.01</v>
      </c>
      <c r="F197" s="193">
        <v>47.956524571999999</v>
      </c>
      <c r="G197" s="40">
        <v>0</v>
      </c>
      <c r="H197" s="35">
        <v>9.2499999999999999E-2</v>
      </c>
      <c r="I197" s="45">
        <v>0.12</v>
      </c>
      <c r="J197" s="38">
        <f t="shared" si="108"/>
        <v>376.21593486630053</v>
      </c>
      <c r="K197" s="38">
        <f t="shared" si="108"/>
        <v>360.55874129879908</v>
      </c>
      <c r="L197" s="38">
        <f t="shared" si="108"/>
        <v>336.10685473917067</v>
      </c>
      <c r="M197" s="38">
        <f t="shared" si="108"/>
        <v>382.4691181351734</v>
      </c>
      <c r="N197" s="38">
        <f t="shared" si="108"/>
        <v>111.97005437315522</v>
      </c>
      <c r="O197" s="38">
        <f t="shared" si="108"/>
        <v>111.97005437315522</v>
      </c>
      <c r="P197" s="38">
        <f t="shared" si="108"/>
        <v>111.97005437315522</v>
      </c>
      <c r="Q197" s="38">
        <f t="shared" si="108"/>
        <v>111.97005437315522</v>
      </c>
      <c r="R197" s="38">
        <f t="shared" si="108"/>
        <v>111.97005437315522</v>
      </c>
      <c r="S197" s="38">
        <f t="shared" si="108"/>
        <v>111.97005437315522</v>
      </c>
      <c r="T197" s="38">
        <f t="shared" si="108"/>
        <v>111.97005437315522</v>
      </c>
      <c r="U197" s="38">
        <f t="shared" si="108"/>
        <v>111.97005437315522</v>
      </c>
      <c r="V197" s="38">
        <f t="shared" si="96"/>
        <v>471.09433366679252</v>
      </c>
      <c r="W197" s="38">
        <f t="shared" si="97"/>
        <v>451.48853155371791</v>
      </c>
      <c r="X197" s="38">
        <f t="shared" si="98"/>
        <v>420.87009108335917</v>
      </c>
      <c r="Y197" s="38">
        <f t="shared" si="99"/>
        <v>478.92451557121643</v>
      </c>
      <c r="Z197" s="38">
        <f t="shared" si="100"/>
        <v>140.20793184717658</v>
      </c>
      <c r="AA197" s="38">
        <f t="shared" si="101"/>
        <v>140.20793184717658</v>
      </c>
      <c r="AB197" s="38">
        <f t="shared" si="102"/>
        <v>140.20793184717658</v>
      </c>
      <c r="AC197" s="38">
        <f t="shared" si="103"/>
        <v>140.20793184717658</v>
      </c>
      <c r="AD197" s="38">
        <f t="shared" si="104"/>
        <v>140.20793184717658</v>
      </c>
      <c r="AE197" s="38">
        <f t="shared" si="105"/>
        <v>140.20793184717658</v>
      </c>
      <c r="AF197" s="38">
        <f t="shared" si="106"/>
        <v>140.20793184717658</v>
      </c>
      <c r="AG197" s="38">
        <f t="shared" si="107"/>
        <v>140.20793184717658</v>
      </c>
    </row>
    <row r="198" spans="1:33" ht="13" customHeight="1" x14ac:dyDescent="0.25">
      <c r="A198" s="40" t="s">
        <v>37</v>
      </c>
      <c r="B198" s="40">
        <v>42.65</v>
      </c>
      <c r="C198" s="44">
        <f t="shared" si="95"/>
        <v>0.6</v>
      </c>
      <c r="D198" s="44">
        <v>0.4</v>
      </c>
      <c r="E198" s="44">
        <v>0.01</v>
      </c>
      <c r="F198" s="193">
        <v>47.956524571999999</v>
      </c>
      <c r="G198" s="40">
        <v>0</v>
      </c>
      <c r="H198" s="35">
        <v>9.2499999999999999E-2</v>
      </c>
      <c r="I198" s="45">
        <v>0.12</v>
      </c>
      <c r="J198" s="38">
        <f t="shared" si="108"/>
        <v>360.3397360089732</v>
      </c>
      <c r="K198" s="38">
        <f t="shared" si="108"/>
        <v>349.19228601486378</v>
      </c>
      <c r="L198" s="38">
        <f t="shared" si="108"/>
        <v>331.02196671113546</v>
      </c>
      <c r="M198" s="38">
        <f t="shared" si="108"/>
        <v>391.46322089361274</v>
      </c>
      <c r="N198" s="38">
        <f t="shared" si="108"/>
        <v>90.632211106103483</v>
      </c>
      <c r="O198" s="38">
        <f t="shared" si="108"/>
        <v>90.632211106103483</v>
      </c>
      <c r="P198" s="38">
        <f t="shared" si="108"/>
        <v>90.632211106103483</v>
      </c>
      <c r="Q198" s="38">
        <f t="shared" si="108"/>
        <v>90.632211106103483</v>
      </c>
      <c r="R198" s="38">
        <f t="shared" si="108"/>
        <v>90.632211106103483</v>
      </c>
      <c r="S198" s="38">
        <f t="shared" si="108"/>
        <v>90.632211106103483</v>
      </c>
      <c r="T198" s="38">
        <f t="shared" si="108"/>
        <v>90.632211106103483</v>
      </c>
      <c r="U198" s="38">
        <f t="shared" si="108"/>
        <v>90.632211106103483</v>
      </c>
      <c r="V198" s="38">
        <f t="shared" si="96"/>
        <v>451.21429502751471</v>
      </c>
      <c r="W198" s="38">
        <f t="shared" si="97"/>
        <v>437.25555473937362</v>
      </c>
      <c r="X198" s="38">
        <f t="shared" si="98"/>
        <v>414.50283835604245</v>
      </c>
      <c r="Y198" s="38">
        <f t="shared" si="99"/>
        <v>490.18685310995841</v>
      </c>
      <c r="Z198" s="38">
        <f t="shared" si="100"/>
        <v>113.48886940408651</v>
      </c>
      <c r="AA198" s="38">
        <f t="shared" si="101"/>
        <v>113.48886940408651</v>
      </c>
      <c r="AB198" s="38">
        <f t="shared" si="102"/>
        <v>113.48886940408651</v>
      </c>
      <c r="AC198" s="38">
        <f t="shared" si="103"/>
        <v>113.48886940408651</v>
      </c>
      <c r="AD198" s="38">
        <f t="shared" si="104"/>
        <v>113.48886940408651</v>
      </c>
      <c r="AE198" s="38">
        <f t="shared" si="105"/>
        <v>113.48886940408651</v>
      </c>
      <c r="AF198" s="38">
        <f t="shared" si="106"/>
        <v>113.48886940408651</v>
      </c>
      <c r="AG198" s="38">
        <f t="shared" si="107"/>
        <v>113.48886940408651</v>
      </c>
    </row>
    <row r="199" spans="1:33" ht="13" customHeight="1" x14ac:dyDescent="0.25">
      <c r="A199" s="40" t="s">
        <v>37</v>
      </c>
      <c r="B199" s="40">
        <v>42.65</v>
      </c>
      <c r="C199" s="44">
        <f t="shared" si="95"/>
        <v>1</v>
      </c>
      <c r="D199" s="44">
        <v>0</v>
      </c>
      <c r="E199" s="44">
        <v>0.01</v>
      </c>
      <c r="F199" s="193">
        <v>47.956524571999999</v>
      </c>
      <c r="G199" s="40">
        <v>0</v>
      </c>
      <c r="H199" s="35">
        <v>9.2499999999999999E-2</v>
      </c>
      <c r="I199" s="45">
        <v>0.12</v>
      </c>
      <c r="J199" s="38">
        <f t="shared" si="108"/>
        <v>328.58733829431827</v>
      </c>
      <c r="K199" s="38">
        <f t="shared" si="108"/>
        <v>326.45937544699314</v>
      </c>
      <c r="L199" s="38">
        <f t="shared" si="108"/>
        <v>320.85219065506504</v>
      </c>
      <c r="M199" s="38">
        <f t="shared" si="108"/>
        <v>409.45142641049148</v>
      </c>
      <c r="N199" s="38">
        <f t="shared" si="108"/>
        <v>47.956524571999999</v>
      </c>
      <c r="O199" s="38">
        <f t="shared" si="108"/>
        <v>47.956524571999999</v>
      </c>
      <c r="P199" s="38">
        <f t="shared" si="108"/>
        <v>47.956524571999999</v>
      </c>
      <c r="Q199" s="38">
        <f t="shared" si="108"/>
        <v>47.956524571999999</v>
      </c>
      <c r="R199" s="38">
        <f t="shared" si="108"/>
        <v>47.956524571999999</v>
      </c>
      <c r="S199" s="38">
        <f t="shared" si="108"/>
        <v>47.956524571999999</v>
      </c>
      <c r="T199" s="38">
        <f t="shared" si="108"/>
        <v>47.956524571999999</v>
      </c>
      <c r="U199" s="38">
        <f t="shared" si="108"/>
        <v>47.956524571999999</v>
      </c>
      <c r="V199" s="38">
        <f t="shared" si="96"/>
        <v>411.45421774895857</v>
      </c>
      <c r="W199" s="38">
        <f t="shared" si="97"/>
        <v>408.78960111068511</v>
      </c>
      <c r="X199" s="38">
        <f t="shared" si="98"/>
        <v>401.76833290140877</v>
      </c>
      <c r="Y199" s="38">
        <f t="shared" si="99"/>
        <v>512.71152818744235</v>
      </c>
      <c r="Z199" s="38">
        <f t="shared" si="100"/>
        <v>60.050744517906331</v>
      </c>
      <c r="AA199" s="38">
        <f t="shared" si="101"/>
        <v>60.050744517906331</v>
      </c>
      <c r="AB199" s="38">
        <f t="shared" si="102"/>
        <v>60.050744517906331</v>
      </c>
      <c r="AC199" s="38">
        <f t="shared" si="103"/>
        <v>60.050744517906331</v>
      </c>
      <c r="AD199" s="38">
        <f t="shared" si="104"/>
        <v>60.050744517906331</v>
      </c>
      <c r="AE199" s="38">
        <f t="shared" si="105"/>
        <v>60.050744517906331</v>
      </c>
      <c r="AF199" s="38">
        <f t="shared" si="106"/>
        <v>60.050744517906331</v>
      </c>
      <c r="AG199" s="38">
        <f t="shared" si="107"/>
        <v>60.050744517906331</v>
      </c>
    </row>
    <row r="200" spans="1:33" ht="13" customHeight="1" x14ac:dyDescent="0.25">
      <c r="A200" s="40" t="s">
        <v>37</v>
      </c>
      <c r="B200" s="40">
        <v>48</v>
      </c>
      <c r="C200" s="44">
        <f t="shared" si="95"/>
        <v>0</v>
      </c>
      <c r="D200" s="44">
        <v>1</v>
      </c>
      <c r="E200" s="44">
        <v>0.01</v>
      </c>
      <c r="F200" s="193">
        <v>47.956524571999999</v>
      </c>
      <c r="G200" s="40">
        <v>0</v>
      </c>
      <c r="H200" s="35">
        <v>9.2499999999999999E-2</v>
      </c>
      <c r="I200" s="45">
        <v>0.22</v>
      </c>
      <c r="J200" s="38">
        <f t="shared" si="108"/>
        <v>453.11303959928517</v>
      </c>
      <c r="K200" s="38">
        <f t="shared" si="108"/>
        <v>425.34092531357084</v>
      </c>
      <c r="L200" s="38">
        <f t="shared" si="108"/>
        <v>383.68275388499939</v>
      </c>
      <c r="M200" s="38">
        <f t="shared" si="108"/>
        <v>404.1755870310397</v>
      </c>
      <c r="N200" s="38">
        <f t="shared" si="108"/>
        <v>168.02879618026304</v>
      </c>
      <c r="O200" s="38">
        <f t="shared" si="108"/>
        <v>168.02879618026304</v>
      </c>
      <c r="P200" s="38">
        <f t="shared" si="108"/>
        <v>168.02879618026304</v>
      </c>
      <c r="Q200" s="38">
        <f t="shared" si="108"/>
        <v>168.02879618026304</v>
      </c>
      <c r="R200" s="38">
        <f t="shared" si="108"/>
        <v>168.02879618026304</v>
      </c>
      <c r="S200" s="38">
        <f t="shared" si="108"/>
        <v>168.02879618026304</v>
      </c>
      <c r="T200" s="38">
        <f t="shared" si="108"/>
        <v>168.02879618026304</v>
      </c>
      <c r="U200" s="38">
        <f t="shared" si="108"/>
        <v>168.02879618026304</v>
      </c>
      <c r="V200" s="38">
        <f t="shared" si="96"/>
        <v>640.12578879605167</v>
      </c>
      <c r="W200" s="38">
        <f t="shared" si="97"/>
        <v>600.89132628886182</v>
      </c>
      <c r="X200" s="38">
        <f t="shared" si="98"/>
        <v>542.03963252807716</v>
      </c>
      <c r="Y200" s="38">
        <f t="shared" si="99"/>
        <v>570.99044575975097</v>
      </c>
      <c r="Z200" s="38">
        <f t="shared" si="100"/>
        <v>237.37910034649013</v>
      </c>
      <c r="AA200" s="38">
        <f t="shared" si="101"/>
        <v>237.37910034649013</v>
      </c>
      <c r="AB200" s="38">
        <f t="shared" si="102"/>
        <v>237.37910034649013</v>
      </c>
      <c r="AC200" s="38">
        <f t="shared" si="103"/>
        <v>237.37910034649013</v>
      </c>
      <c r="AD200" s="38">
        <f t="shared" si="104"/>
        <v>237.37910034649013</v>
      </c>
      <c r="AE200" s="38">
        <f t="shared" si="105"/>
        <v>237.37910034649013</v>
      </c>
      <c r="AF200" s="38">
        <f t="shared" si="106"/>
        <v>237.37910034649013</v>
      </c>
      <c r="AG200" s="38">
        <f t="shared" si="107"/>
        <v>237.37910034649013</v>
      </c>
    </row>
    <row r="201" spans="1:33" ht="13" customHeight="1" x14ac:dyDescent="0.25">
      <c r="A201" s="40" t="s">
        <v>37</v>
      </c>
      <c r="B201" s="40">
        <v>48</v>
      </c>
      <c r="C201" s="44">
        <f t="shared" si="95"/>
        <v>0.4</v>
      </c>
      <c r="D201" s="44">
        <v>0.6</v>
      </c>
      <c r="E201" s="44">
        <v>0.01</v>
      </c>
      <c r="F201" s="193">
        <v>47.956524571999999</v>
      </c>
      <c r="G201" s="40">
        <v>0</v>
      </c>
      <c r="H201" s="35">
        <v>9.2499999999999999E-2</v>
      </c>
      <c r="I201" s="45">
        <v>0.22</v>
      </c>
      <c r="J201" s="38">
        <f t="shared" si="108"/>
        <v>417.37763302710613</v>
      </c>
      <c r="K201" s="38">
        <f t="shared" si="108"/>
        <v>399.75640697223923</v>
      </c>
      <c r="L201" s="38">
        <f t="shared" si="108"/>
        <v>372.2372849356118</v>
      </c>
      <c r="M201" s="38">
        <f t="shared" si="108"/>
        <v>424.42022629974258</v>
      </c>
      <c r="N201" s="38">
        <f t="shared" si="108"/>
        <v>119.99988753695783</v>
      </c>
      <c r="O201" s="38">
        <f t="shared" si="108"/>
        <v>119.99988753695783</v>
      </c>
      <c r="P201" s="38">
        <f t="shared" si="108"/>
        <v>119.99988753695783</v>
      </c>
      <c r="Q201" s="38">
        <f t="shared" si="108"/>
        <v>119.99988753695783</v>
      </c>
      <c r="R201" s="38">
        <f t="shared" si="108"/>
        <v>119.99988753695783</v>
      </c>
      <c r="S201" s="38">
        <f t="shared" si="108"/>
        <v>119.99988753695783</v>
      </c>
      <c r="T201" s="38">
        <f t="shared" si="108"/>
        <v>119.99988753695783</v>
      </c>
      <c r="U201" s="38">
        <f t="shared" si="108"/>
        <v>119.99988753695783</v>
      </c>
      <c r="V201" s="38">
        <f t="shared" si="96"/>
        <v>589.64135484510291</v>
      </c>
      <c r="W201" s="38">
        <f t="shared" si="97"/>
        <v>564.74734332448861</v>
      </c>
      <c r="X201" s="38">
        <f t="shared" si="98"/>
        <v>525.8702902247818</v>
      </c>
      <c r="Y201" s="38">
        <f t="shared" si="99"/>
        <v>599.5906283813556</v>
      </c>
      <c r="Z201" s="38">
        <f t="shared" si="100"/>
        <v>169.52728337494926</v>
      </c>
      <c r="AA201" s="38">
        <f t="shared" si="101"/>
        <v>169.52728337494926</v>
      </c>
      <c r="AB201" s="38">
        <f t="shared" si="102"/>
        <v>169.52728337494926</v>
      </c>
      <c r="AC201" s="38">
        <f t="shared" si="103"/>
        <v>169.52728337494926</v>
      </c>
      <c r="AD201" s="38">
        <f t="shared" si="104"/>
        <v>169.52728337494926</v>
      </c>
      <c r="AE201" s="38">
        <f t="shared" si="105"/>
        <v>169.52728337494926</v>
      </c>
      <c r="AF201" s="38">
        <f t="shared" si="106"/>
        <v>169.52728337494926</v>
      </c>
      <c r="AG201" s="38">
        <f t="shared" si="107"/>
        <v>169.52728337494926</v>
      </c>
    </row>
    <row r="202" spans="1:33" ht="13" customHeight="1" x14ac:dyDescent="0.25">
      <c r="A202" s="40" t="s">
        <v>37</v>
      </c>
      <c r="B202" s="40">
        <v>48</v>
      </c>
      <c r="C202" s="44">
        <f t="shared" si="95"/>
        <v>0.6</v>
      </c>
      <c r="D202" s="44">
        <v>0.4</v>
      </c>
      <c r="E202" s="44">
        <v>0.01</v>
      </c>
      <c r="F202" s="193">
        <v>47.956524571999999</v>
      </c>
      <c r="G202" s="40">
        <v>0</v>
      </c>
      <c r="H202" s="35">
        <v>9.2499999999999999E-2</v>
      </c>
      <c r="I202" s="45">
        <v>0.22</v>
      </c>
      <c r="J202" s="38">
        <f t="shared" si="108"/>
        <v>399.50992974101666</v>
      </c>
      <c r="K202" s="38">
        <f t="shared" si="108"/>
        <v>386.96414780157352</v>
      </c>
      <c r="L202" s="38">
        <f t="shared" si="108"/>
        <v>366.51455046091797</v>
      </c>
      <c r="M202" s="38">
        <f t="shared" si="108"/>
        <v>434.54254593409405</v>
      </c>
      <c r="N202" s="38">
        <f t="shared" si="108"/>
        <v>95.985433215305221</v>
      </c>
      <c r="O202" s="38">
        <f t="shared" si="108"/>
        <v>95.985433215305221</v>
      </c>
      <c r="P202" s="38">
        <f t="shared" si="108"/>
        <v>95.985433215305221</v>
      </c>
      <c r="Q202" s="38">
        <f t="shared" si="108"/>
        <v>95.985433215305221</v>
      </c>
      <c r="R202" s="38">
        <f t="shared" si="108"/>
        <v>95.985433215305221</v>
      </c>
      <c r="S202" s="38">
        <f t="shared" si="108"/>
        <v>95.985433215305221</v>
      </c>
      <c r="T202" s="38">
        <f t="shared" si="108"/>
        <v>95.985433215305221</v>
      </c>
      <c r="U202" s="38">
        <f t="shared" si="108"/>
        <v>95.985433215305221</v>
      </c>
      <c r="V202" s="38">
        <f t="shared" si="96"/>
        <v>564.3991378696287</v>
      </c>
      <c r="W202" s="38">
        <f t="shared" si="97"/>
        <v>546.67535184230212</v>
      </c>
      <c r="X202" s="38">
        <f t="shared" si="98"/>
        <v>517.78561907313406</v>
      </c>
      <c r="Y202" s="38">
        <f t="shared" si="99"/>
        <v>613.89071969215797</v>
      </c>
      <c r="Z202" s="38">
        <f t="shared" si="100"/>
        <v>135.6013748891788</v>
      </c>
      <c r="AA202" s="38">
        <f t="shared" si="101"/>
        <v>135.6013748891788</v>
      </c>
      <c r="AB202" s="38">
        <f t="shared" si="102"/>
        <v>135.6013748891788</v>
      </c>
      <c r="AC202" s="38">
        <f t="shared" si="103"/>
        <v>135.6013748891788</v>
      </c>
      <c r="AD202" s="38">
        <f t="shared" si="104"/>
        <v>135.6013748891788</v>
      </c>
      <c r="AE202" s="38">
        <f t="shared" si="105"/>
        <v>135.6013748891788</v>
      </c>
      <c r="AF202" s="38">
        <f t="shared" si="106"/>
        <v>135.6013748891788</v>
      </c>
      <c r="AG202" s="38">
        <f t="shared" si="107"/>
        <v>135.6013748891788</v>
      </c>
    </row>
    <row r="203" spans="1:33" ht="13" customHeight="1" x14ac:dyDescent="0.25">
      <c r="A203" s="40" t="s">
        <v>37</v>
      </c>
      <c r="B203" s="40">
        <v>48</v>
      </c>
      <c r="C203" s="44">
        <f t="shared" si="95"/>
        <v>1</v>
      </c>
      <c r="D203" s="44">
        <v>0</v>
      </c>
      <c r="E203" s="44">
        <v>0.01</v>
      </c>
      <c r="F203" s="193">
        <v>47.956524571999999</v>
      </c>
      <c r="G203" s="40">
        <v>0</v>
      </c>
      <c r="H203" s="35">
        <v>9.2499999999999999E-2</v>
      </c>
      <c r="I203" s="45">
        <v>0.22</v>
      </c>
      <c r="J203" s="38">
        <f t="shared" si="108"/>
        <v>363.77452316883773</v>
      </c>
      <c r="K203" s="38">
        <f t="shared" si="108"/>
        <v>361.37962946024197</v>
      </c>
      <c r="L203" s="38">
        <f t="shared" si="108"/>
        <v>355.06908151153044</v>
      </c>
      <c r="M203" s="38">
        <f t="shared" si="108"/>
        <v>454.78718520279693</v>
      </c>
      <c r="N203" s="38">
        <f t="shared" si="108"/>
        <v>47.956524571999999</v>
      </c>
      <c r="O203" s="38">
        <f t="shared" si="108"/>
        <v>47.956524571999999</v>
      </c>
      <c r="P203" s="38">
        <f t="shared" si="108"/>
        <v>47.956524571999999</v>
      </c>
      <c r="Q203" s="38">
        <f t="shared" si="108"/>
        <v>47.956524571999999</v>
      </c>
      <c r="R203" s="38">
        <f t="shared" si="108"/>
        <v>47.956524571999999</v>
      </c>
      <c r="S203" s="38">
        <f t="shared" si="108"/>
        <v>47.956524571999999</v>
      </c>
      <c r="T203" s="38">
        <f t="shared" si="108"/>
        <v>47.956524571999999</v>
      </c>
      <c r="U203" s="38">
        <f t="shared" si="108"/>
        <v>47.956524571999999</v>
      </c>
      <c r="V203" s="38">
        <f t="shared" si="96"/>
        <v>513.91470391868017</v>
      </c>
      <c r="W203" s="38">
        <f t="shared" si="97"/>
        <v>510.53136887792886</v>
      </c>
      <c r="X203" s="38">
        <f t="shared" si="98"/>
        <v>501.61627676983886</v>
      </c>
      <c r="Y203" s="38">
        <f t="shared" si="99"/>
        <v>642.49090231376272</v>
      </c>
      <c r="Z203" s="38">
        <f t="shared" si="100"/>
        <v>67.749557917637915</v>
      </c>
      <c r="AA203" s="38">
        <f t="shared" si="101"/>
        <v>67.749557917637915</v>
      </c>
      <c r="AB203" s="38">
        <f t="shared" si="102"/>
        <v>67.749557917637915</v>
      </c>
      <c r="AC203" s="38">
        <f t="shared" si="103"/>
        <v>67.749557917637915</v>
      </c>
      <c r="AD203" s="38">
        <f t="shared" si="104"/>
        <v>67.749557917637915</v>
      </c>
      <c r="AE203" s="38">
        <f t="shared" si="105"/>
        <v>67.749557917637915</v>
      </c>
      <c r="AF203" s="38">
        <f t="shared" si="106"/>
        <v>67.749557917637915</v>
      </c>
      <c r="AG203" s="38">
        <f t="shared" si="107"/>
        <v>67.749557917637915</v>
      </c>
    </row>
    <row r="204" spans="1:33" ht="13" customHeight="1" x14ac:dyDescent="0.25">
      <c r="A204" s="40" t="s">
        <v>37</v>
      </c>
      <c r="B204" s="40">
        <v>48</v>
      </c>
      <c r="C204" s="44">
        <f t="shared" si="95"/>
        <v>0</v>
      </c>
      <c r="D204" s="44">
        <v>1</v>
      </c>
      <c r="E204" s="44">
        <v>0.01</v>
      </c>
      <c r="F204" s="193">
        <v>47.956524571999999</v>
      </c>
      <c r="G204" s="40">
        <v>0</v>
      </c>
      <c r="H204" s="35">
        <v>9.2499999999999999E-2</v>
      </c>
      <c r="I204" s="45">
        <v>0.12</v>
      </c>
      <c r="J204" s="38">
        <f t="shared" si="108"/>
        <v>453.11303959928517</v>
      </c>
      <c r="K204" s="38">
        <f t="shared" si="108"/>
        <v>425.34092531357084</v>
      </c>
      <c r="L204" s="38">
        <f t="shared" si="108"/>
        <v>383.68275388499939</v>
      </c>
      <c r="M204" s="38">
        <f t="shared" si="108"/>
        <v>404.1755870310397</v>
      </c>
      <c r="N204" s="38">
        <f t="shared" si="108"/>
        <v>168.02879618026304</v>
      </c>
      <c r="O204" s="38">
        <f t="shared" si="108"/>
        <v>168.02879618026304</v>
      </c>
      <c r="P204" s="38">
        <f t="shared" si="108"/>
        <v>168.02879618026304</v>
      </c>
      <c r="Q204" s="38">
        <f t="shared" si="108"/>
        <v>168.02879618026304</v>
      </c>
      <c r="R204" s="38">
        <f t="shared" si="108"/>
        <v>168.02879618026304</v>
      </c>
      <c r="S204" s="38">
        <f t="shared" si="108"/>
        <v>168.02879618026304</v>
      </c>
      <c r="T204" s="38">
        <f t="shared" si="108"/>
        <v>168.02879618026304</v>
      </c>
      <c r="U204" s="38">
        <f t="shared" si="108"/>
        <v>168.02879618026304</v>
      </c>
      <c r="V204" s="38">
        <f t="shared" si="96"/>
        <v>567.38422188740947</v>
      </c>
      <c r="W204" s="38">
        <f t="shared" si="97"/>
        <v>532.60822102876386</v>
      </c>
      <c r="X204" s="38">
        <f t="shared" si="98"/>
        <v>480.44421974079563</v>
      </c>
      <c r="Y204" s="38">
        <f t="shared" si="99"/>
        <v>506.10516783250654</v>
      </c>
      <c r="Z204" s="38">
        <f t="shared" si="100"/>
        <v>210.40420257984354</v>
      </c>
      <c r="AA204" s="38">
        <f t="shared" si="101"/>
        <v>210.40420257984354</v>
      </c>
      <c r="AB204" s="38">
        <f t="shared" si="102"/>
        <v>210.40420257984354</v>
      </c>
      <c r="AC204" s="38">
        <f t="shared" si="103"/>
        <v>210.40420257984354</v>
      </c>
      <c r="AD204" s="38">
        <f t="shared" si="104"/>
        <v>210.40420257984354</v>
      </c>
      <c r="AE204" s="38">
        <f t="shared" si="105"/>
        <v>210.40420257984354</v>
      </c>
      <c r="AF204" s="38">
        <f t="shared" si="106"/>
        <v>210.40420257984354</v>
      </c>
      <c r="AG204" s="38">
        <f t="shared" si="107"/>
        <v>210.40420257984354</v>
      </c>
    </row>
    <row r="205" spans="1:33" ht="13" customHeight="1" x14ac:dyDescent="0.25">
      <c r="A205" s="40" t="s">
        <v>37</v>
      </c>
      <c r="B205" s="40">
        <v>48</v>
      </c>
      <c r="C205" s="44">
        <f t="shared" si="95"/>
        <v>0.4</v>
      </c>
      <c r="D205" s="44">
        <v>0.6</v>
      </c>
      <c r="E205" s="44">
        <v>0.01</v>
      </c>
      <c r="F205" s="193">
        <v>47.956524571999999</v>
      </c>
      <c r="G205" s="40">
        <v>0</v>
      </c>
      <c r="H205" s="35">
        <v>9.2499999999999999E-2</v>
      </c>
      <c r="I205" s="45">
        <v>0.12</v>
      </c>
      <c r="J205" s="38">
        <f t="shared" si="108"/>
        <v>417.37763302710613</v>
      </c>
      <c r="K205" s="38">
        <f t="shared" si="108"/>
        <v>399.75640697223923</v>
      </c>
      <c r="L205" s="38">
        <f t="shared" si="108"/>
        <v>372.2372849356118</v>
      </c>
      <c r="M205" s="38">
        <f t="shared" si="108"/>
        <v>424.42022629974258</v>
      </c>
      <c r="N205" s="38">
        <f t="shared" si="108"/>
        <v>119.99988753695783</v>
      </c>
      <c r="O205" s="38">
        <f t="shared" si="108"/>
        <v>119.99988753695783</v>
      </c>
      <c r="P205" s="38">
        <f t="shared" si="108"/>
        <v>119.99988753695783</v>
      </c>
      <c r="Q205" s="38">
        <f t="shared" si="108"/>
        <v>119.99988753695783</v>
      </c>
      <c r="R205" s="38">
        <f t="shared" si="108"/>
        <v>119.99988753695783</v>
      </c>
      <c r="S205" s="38">
        <f t="shared" si="108"/>
        <v>119.99988753695783</v>
      </c>
      <c r="T205" s="38">
        <f t="shared" si="108"/>
        <v>119.99988753695783</v>
      </c>
      <c r="U205" s="38">
        <f t="shared" si="108"/>
        <v>119.99988753695783</v>
      </c>
      <c r="V205" s="38">
        <f t="shared" si="96"/>
        <v>522.63665543088666</v>
      </c>
      <c r="W205" s="38">
        <f t="shared" si="97"/>
        <v>500.57150885579671</v>
      </c>
      <c r="X205" s="38">
        <f t="shared" si="98"/>
        <v>466.11230269923846</v>
      </c>
      <c r="Y205" s="38">
        <f t="shared" si="99"/>
        <v>531.45532970165618</v>
      </c>
      <c r="Z205" s="38">
        <f t="shared" si="100"/>
        <v>150.26281935506867</v>
      </c>
      <c r="AA205" s="38">
        <f t="shared" si="101"/>
        <v>150.26281935506867</v>
      </c>
      <c r="AB205" s="38">
        <f t="shared" si="102"/>
        <v>150.26281935506867</v>
      </c>
      <c r="AC205" s="38">
        <f t="shared" si="103"/>
        <v>150.26281935506867</v>
      </c>
      <c r="AD205" s="38">
        <f t="shared" si="104"/>
        <v>150.26281935506867</v>
      </c>
      <c r="AE205" s="38">
        <f t="shared" si="105"/>
        <v>150.26281935506867</v>
      </c>
      <c r="AF205" s="38">
        <f t="shared" si="106"/>
        <v>150.26281935506867</v>
      </c>
      <c r="AG205" s="38">
        <f t="shared" si="107"/>
        <v>150.26281935506867</v>
      </c>
    </row>
    <row r="206" spans="1:33" ht="13" customHeight="1" x14ac:dyDescent="0.25">
      <c r="A206" s="40" t="s">
        <v>37</v>
      </c>
      <c r="B206" s="40">
        <v>48</v>
      </c>
      <c r="C206" s="44">
        <f t="shared" si="95"/>
        <v>0.6</v>
      </c>
      <c r="D206" s="44">
        <v>0.4</v>
      </c>
      <c r="E206" s="44">
        <v>0.01</v>
      </c>
      <c r="F206" s="193">
        <v>47.956524571999999</v>
      </c>
      <c r="G206" s="40">
        <v>0</v>
      </c>
      <c r="H206" s="35">
        <v>9.2499999999999999E-2</v>
      </c>
      <c r="I206" s="45">
        <v>0.12</v>
      </c>
      <c r="J206" s="38">
        <f t="shared" ref="J206:U219" si="109">(((((J$18*$C206)+(J$19*$D206))*(1+$E206))*($B206/1000))+$F206+($G206*J$5))*(1+J$27)</f>
        <v>399.50992974101666</v>
      </c>
      <c r="K206" s="38">
        <f t="shared" si="109"/>
        <v>386.96414780157352</v>
      </c>
      <c r="L206" s="38">
        <f t="shared" si="109"/>
        <v>366.51455046091797</v>
      </c>
      <c r="M206" s="38">
        <f t="shared" si="109"/>
        <v>434.54254593409405</v>
      </c>
      <c r="N206" s="38">
        <f t="shared" si="109"/>
        <v>95.985433215305221</v>
      </c>
      <c r="O206" s="38">
        <f t="shared" si="109"/>
        <v>95.985433215305221</v>
      </c>
      <c r="P206" s="38">
        <f t="shared" si="109"/>
        <v>95.985433215305221</v>
      </c>
      <c r="Q206" s="38">
        <f t="shared" si="109"/>
        <v>95.985433215305221</v>
      </c>
      <c r="R206" s="38">
        <f t="shared" si="109"/>
        <v>95.985433215305221</v>
      </c>
      <c r="S206" s="38">
        <f t="shared" si="109"/>
        <v>95.985433215305221</v>
      </c>
      <c r="T206" s="38">
        <f t="shared" si="109"/>
        <v>95.985433215305221</v>
      </c>
      <c r="U206" s="38">
        <f t="shared" si="109"/>
        <v>95.985433215305221</v>
      </c>
      <c r="V206" s="38">
        <f t="shared" si="96"/>
        <v>500.26287220262543</v>
      </c>
      <c r="W206" s="38">
        <f t="shared" si="97"/>
        <v>484.55315276931321</v>
      </c>
      <c r="X206" s="38">
        <f t="shared" si="98"/>
        <v>458.94634417845975</v>
      </c>
      <c r="Y206" s="38">
        <f t="shared" si="99"/>
        <v>544.13041063623098</v>
      </c>
      <c r="Z206" s="38">
        <f t="shared" si="100"/>
        <v>120.19212774268122</v>
      </c>
      <c r="AA206" s="38">
        <f t="shared" si="101"/>
        <v>120.19212774268122</v>
      </c>
      <c r="AB206" s="38">
        <f t="shared" si="102"/>
        <v>120.19212774268122</v>
      </c>
      <c r="AC206" s="38">
        <f t="shared" si="103"/>
        <v>120.19212774268122</v>
      </c>
      <c r="AD206" s="38">
        <f t="shared" si="104"/>
        <v>120.19212774268122</v>
      </c>
      <c r="AE206" s="38">
        <f t="shared" si="105"/>
        <v>120.19212774268122</v>
      </c>
      <c r="AF206" s="38">
        <f t="shared" si="106"/>
        <v>120.19212774268122</v>
      </c>
      <c r="AG206" s="38">
        <f t="shared" si="107"/>
        <v>120.19212774268122</v>
      </c>
    </row>
    <row r="207" spans="1:33" ht="13" customHeight="1" x14ac:dyDescent="0.25">
      <c r="A207" s="40" t="s">
        <v>37</v>
      </c>
      <c r="B207" s="40">
        <v>48</v>
      </c>
      <c r="C207" s="44">
        <f t="shared" si="95"/>
        <v>1</v>
      </c>
      <c r="D207" s="44">
        <v>0</v>
      </c>
      <c r="E207" s="44">
        <v>0.01</v>
      </c>
      <c r="F207" s="193">
        <v>47.956524571999999</v>
      </c>
      <c r="G207" s="40">
        <v>0</v>
      </c>
      <c r="H207" s="35">
        <v>9.2499999999999999E-2</v>
      </c>
      <c r="I207" s="45">
        <v>0.12</v>
      </c>
      <c r="J207" s="38">
        <f t="shared" si="109"/>
        <v>363.77452316883773</v>
      </c>
      <c r="K207" s="38">
        <f t="shared" si="109"/>
        <v>361.37962946024197</v>
      </c>
      <c r="L207" s="38">
        <f t="shared" si="109"/>
        <v>355.06908151153044</v>
      </c>
      <c r="M207" s="38">
        <f t="shared" si="109"/>
        <v>454.78718520279693</v>
      </c>
      <c r="N207" s="38">
        <f t="shared" si="109"/>
        <v>47.956524571999999</v>
      </c>
      <c r="O207" s="38">
        <f t="shared" si="109"/>
        <v>47.956524571999999</v>
      </c>
      <c r="P207" s="38">
        <f t="shared" si="109"/>
        <v>47.956524571999999</v>
      </c>
      <c r="Q207" s="38">
        <f t="shared" si="109"/>
        <v>47.956524571999999</v>
      </c>
      <c r="R207" s="38">
        <f t="shared" si="109"/>
        <v>47.956524571999999</v>
      </c>
      <c r="S207" s="38">
        <f t="shared" si="109"/>
        <v>47.956524571999999</v>
      </c>
      <c r="T207" s="38">
        <f t="shared" si="109"/>
        <v>47.956524571999999</v>
      </c>
      <c r="U207" s="38">
        <f t="shared" si="109"/>
        <v>47.956524571999999</v>
      </c>
      <c r="V207" s="38">
        <f t="shared" si="96"/>
        <v>455.51530574610285</v>
      </c>
      <c r="W207" s="38">
        <f t="shared" si="97"/>
        <v>452.51644059634606</v>
      </c>
      <c r="X207" s="38">
        <f t="shared" si="98"/>
        <v>444.61442713690263</v>
      </c>
      <c r="Y207" s="38">
        <f t="shared" si="99"/>
        <v>569.48057250538056</v>
      </c>
      <c r="Z207" s="38">
        <f t="shared" si="100"/>
        <v>60.050744517906331</v>
      </c>
      <c r="AA207" s="38">
        <f t="shared" si="101"/>
        <v>60.050744517906331</v>
      </c>
      <c r="AB207" s="38">
        <f t="shared" si="102"/>
        <v>60.050744517906331</v>
      </c>
      <c r="AC207" s="38">
        <f t="shared" si="103"/>
        <v>60.050744517906331</v>
      </c>
      <c r="AD207" s="38">
        <f t="shared" si="104"/>
        <v>60.050744517906331</v>
      </c>
      <c r="AE207" s="38">
        <f t="shared" si="105"/>
        <v>60.050744517906331</v>
      </c>
      <c r="AF207" s="38">
        <f t="shared" si="106"/>
        <v>60.050744517906331</v>
      </c>
      <c r="AG207" s="38">
        <f t="shared" si="107"/>
        <v>60.050744517906331</v>
      </c>
    </row>
    <row r="208" spans="1:33" ht="13" customHeight="1" x14ac:dyDescent="0.25">
      <c r="A208" s="40" t="s">
        <v>37</v>
      </c>
      <c r="B208" s="40">
        <v>48</v>
      </c>
      <c r="C208" s="44">
        <f t="shared" si="95"/>
        <v>0</v>
      </c>
      <c r="D208" s="44">
        <v>1</v>
      </c>
      <c r="E208" s="44">
        <v>0.01</v>
      </c>
      <c r="F208" s="193">
        <v>47.956524571999999</v>
      </c>
      <c r="G208" s="40">
        <v>0</v>
      </c>
      <c r="H208" s="35">
        <v>9.2499999999999999E-2</v>
      </c>
      <c r="I208" s="45">
        <v>7.0000000000000007E-2</v>
      </c>
      <c r="J208" s="38">
        <f t="shared" si="109"/>
        <v>453.11303959928517</v>
      </c>
      <c r="K208" s="38">
        <f t="shared" si="109"/>
        <v>425.34092531357084</v>
      </c>
      <c r="L208" s="38">
        <f t="shared" si="109"/>
        <v>383.68275388499939</v>
      </c>
      <c r="M208" s="38">
        <f t="shared" si="109"/>
        <v>404.1755870310397</v>
      </c>
      <c r="N208" s="38">
        <f t="shared" si="109"/>
        <v>168.02879618026304</v>
      </c>
      <c r="O208" s="38">
        <f t="shared" si="109"/>
        <v>168.02879618026304</v>
      </c>
      <c r="P208" s="38">
        <f t="shared" si="109"/>
        <v>168.02879618026304</v>
      </c>
      <c r="Q208" s="38">
        <f t="shared" si="109"/>
        <v>168.02879618026304</v>
      </c>
      <c r="R208" s="38">
        <f t="shared" si="109"/>
        <v>168.02879618026304</v>
      </c>
      <c r="S208" s="38">
        <f t="shared" si="109"/>
        <v>168.02879618026304</v>
      </c>
      <c r="T208" s="38">
        <f t="shared" si="109"/>
        <v>168.02879618026304</v>
      </c>
      <c r="U208" s="38">
        <f t="shared" si="109"/>
        <v>168.02879618026304</v>
      </c>
      <c r="V208" s="38">
        <f t="shared" si="96"/>
        <v>536.87969382894664</v>
      </c>
      <c r="W208" s="38">
        <f t="shared" si="97"/>
        <v>503.97337043581962</v>
      </c>
      <c r="X208" s="38">
        <f t="shared" si="98"/>
        <v>454.61388534612922</v>
      </c>
      <c r="Y208" s="38">
        <f t="shared" si="99"/>
        <v>478.89521257269439</v>
      </c>
      <c r="Z208" s="38">
        <f t="shared" si="100"/>
        <v>199.09214867770143</v>
      </c>
      <c r="AA208" s="38">
        <f t="shared" si="101"/>
        <v>199.09214867770143</v>
      </c>
      <c r="AB208" s="38">
        <f t="shared" si="102"/>
        <v>199.09214867770143</v>
      </c>
      <c r="AC208" s="38">
        <f t="shared" si="103"/>
        <v>199.09214867770143</v>
      </c>
      <c r="AD208" s="38">
        <f t="shared" si="104"/>
        <v>199.09214867770143</v>
      </c>
      <c r="AE208" s="38">
        <f t="shared" si="105"/>
        <v>199.09214867770143</v>
      </c>
      <c r="AF208" s="38">
        <f t="shared" si="106"/>
        <v>199.09214867770143</v>
      </c>
      <c r="AG208" s="38">
        <f t="shared" si="107"/>
        <v>199.09214867770143</v>
      </c>
    </row>
    <row r="209" spans="1:33" ht="13" customHeight="1" x14ac:dyDescent="0.25">
      <c r="A209" s="40" t="s">
        <v>37</v>
      </c>
      <c r="B209" s="40">
        <v>48</v>
      </c>
      <c r="C209" s="44">
        <f t="shared" si="95"/>
        <v>0.4</v>
      </c>
      <c r="D209" s="44">
        <v>0.6</v>
      </c>
      <c r="E209" s="44">
        <v>0.01</v>
      </c>
      <c r="F209" s="193">
        <v>47.956524571999999</v>
      </c>
      <c r="G209" s="40">
        <v>0</v>
      </c>
      <c r="H209" s="35">
        <v>9.2499999999999999E-2</v>
      </c>
      <c r="I209" s="45">
        <v>7.0000000000000007E-2</v>
      </c>
      <c r="J209" s="38">
        <f t="shared" si="109"/>
        <v>417.37763302710613</v>
      </c>
      <c r="K209" s="38">
        <f t="shared" si="109"/>
        <v>399.75640697223923</v>
      </c>
      <c r="L209" s="38">
        <f t="shared" si="109"/>
        <v>372.2372849356118</v>
      </c>
      <c r="M209" s="38">
        <f t="shared" si="109"/>
        <v>424.42022629974258</v>
      </c>
      <c r="N209" s="38">
        <f t="shared" si="109"/>
        <v>119.99988753695783</v>
      </c>
      <c r="O209" s="38">
        <f t="shared" si="109"/>
        <v>119.99988753695783</v>
      </c>
      <c r="P209" s="38">
        <f t="shared" si="109"/>
        <v>119.99988753695783</v>
      </c>
      <c r="Q209" s="38">
        <f t="shared" si="109"/>
        <v>119.99988753695783</v>
      </c>
      <c r="R209" s="38">
        <f t="shared" si="109"/>
        <v>119.99988753695783</v>
      </c>
      <c r="S209" s="38">
        <f t="shared" si="109"/>
        <v>119.99988753695783</v>
      </c>
      <c r="T209" s="38">
        <f t="shared" si="109"/>
        <v>119.99988753695783</v>
      </c>
      <c r="U209" s="38">
        <f t="shared" si="109"/>
        <v>119.99988753695783</v>
      </c>
      <c r="V209" s="38">
        <f t="shared" si="96"/>
        <v>494.53791051524769</v>
      </c>
      <c r="W209" s="38">
        <f t="shared" si="97"/>
        <v>473.65906214311951</v>
      </c>
      <c r="X209" s="38">
        <f t="shared" si="98"/>
        <v>441.05250147884931</v>
      </c>
      <c r="Y209" s="38">
        <f t="shared" si="99"/>
        <v>502.88246251339513</v>
      </c>
      <c r="Z209" s="38">
        <f t="shared" si="100"/>
        <v>142.18417315318328</v>
      </c>
      <c r="AA209" s="38">
        <f t="shared" si="101"/>
        <v>142.18417315318328</v>
      </c>
      <c r="AB209" s="38">
        <f t="shared" si="102"/>
        <v>142.18417315318328</v>
      </c>
      <c r="AC209" s="38">
        <f t="shared" si="103"/>
        <v>142.18417315318328</v>
      </c>
      <c r="AD209" s="38">
        <f t="shared" si="104"/>
        <v>142.18417315318328</v>
      </c>
      <c r="AE209" s="38">
        <f t="shared" si="105"/>
        <v>142.18417315318328</v>
      </c>
      <c r="AF209" s="38">
        <f t="shared" si="106"/>
        <v>142.18417315318328</v>
      </c>
      <c r="AG209" s="38">
        <f t="shared" si="107"/>
        <v>142.18417315318328</v>
      </c>
    </row>
    <row r="210" spans="1:33" ht="13" customHeight="1" x14ac:dyDescent="0.25">
      <c r="A210" s="40" t="s">
        <v>37</v>
      </c>
      <c r="B210" s="40">
        <v>48</v>
      </c>
      <c r="C210" s="44">
        <f t="shared" si="95"/>
        <v>0.6</v>
      </c>
      <c r="D210" s="44">
        <v>0.4</v>
      </c>
      <c r="E210" s="44">
        <v>0.01</v>
      </c>
      <c r="F210" s="193">
        <v>47.956524571999999</v>
      </c>
      <c r="G210" s="40">
        <v>0</v>
      </c>
      <c r="H210" s="35">
        <v>9.2499999999999999E-2</v>
      </c>
      <c r="I210" s="45">
        <v>7.0000000000000007E-2</v>
      </c>
      <c r="J210" s="38">
        <f t="shared" si="109"/>
        <v>399.50992974101666</v>
      </c>
      <c r="K210" s="38">
        <f t="shared" si="109"/>
        <v>386.96414780157352</v>
      </c>
      <c r="L210" s="38">
        <f t="shared" si="109"/>
        <v>366.51455046091797</v>
      </c>
      <c r="M210" s="38">
        <f t="shared" si="109"/>
        <v>434.54254593409405</v>
      </c>
      <c r="N210" s="38">
        <f t="shared" si="109"/>
        <v>95.985433215305221</v>
      </c>
      <c r="O210" s="38">
        <f t="shared" si="109"/>
        <v>95.985433215305221</v>
      </c>
      <c r="P210" s="38">
        <f t="shared" si="109"/>
        <v>95.985433215305221</v>
      </c>
      <c r="Q210" s="38">
        <f t="shared" si="109"/>
        <v>95.985433215305221</v>
      </c>
      <c r="R210" s="38">
        <f t="shared" si="109"/>
        <v>95.985433215305221</v>
      </c>
      <c r="S210" s="38">
        <f t="shared" si="109"/>
        <v>95.985433215305221</v>
      </c>
      <c r="T210" s="38">
        <f t="shared" si="109"/>
        <v>95.985433215305221</v>
      </c>
      <c r="U210" s="38">
        <f t="shared" si="109"/>
        <v>95.985433215305221</v>
      </c>
      <c r="V210" s="38">
        <f t="shared" si="96"/>
        <v>473.3670188583983</v>
      </c>
      <c r="W210" s="38">
        <f t="shared" si="97"/>
        <v>458.50190799676955</v>
      </c>
      <c r="X210" s="38">
        <f t="shared" si="98"/>
        <v>434.27180954520924</v>
      </c>
      <c r="Y210" s="38">
        <f t="shared" si="99"/>
        <v>514.87608748374544</v>
      </c>
      <c r="Z210" s="38">
        <f t="shared" si="100"/>
        <v>113.73018539092416</v>
      </c>
      <c r="AA210" s="38">
        <f t="shared" si="101"/>
        <v>113.73018539092416</v>
      </c>
      <c r="AB210" s="38">
        <f t="shared" si="102"/>
        <v>113.73018539092416</v>
      </c>
      <c r="AC210" s="38">
        <f t="shared" si="103"/>
        <v>113.73018539092416</v>
      </c>
      <c r="AD210" s="38">
        <f t="shared" si="104"/>
        <v>113.73018539092416</v>
      </c>
      <c r="AE210" s="38">
        <f t="shared" si="105"/>
        <v>113.73018539092416</v>
      </c>
      <c r="AF210" s="38">
        <f t="shared" si="106"/>
        <v>113.73018539092416</v>
      </c>
      <c r="AG210" s="38">
        <f t="shared" si="107"/>
        <v>113.73018539092416</v>
      </c>
    </row>
    <row r="211" spans="1:33" ht="13" customHeight="1" x14ac:dyDescent="0.25">
      <c r="A211" s="40" t="s">
        <v>37</v>
      </c>
      <c r="B211" s="40">
        <v>48</v>
      </c>
      <c r="C211" s="44">
        <f t="shared" si="95"/>
        <v>1</v>
      </c>
      <c r="D211" s="44">
        <v>0</v>
      </c>
      <c r="E211" s="44">
        <v>0.01</v>
      </c>
      <c r="F211" s="193">
        <v>47.956524571999999</v>
      </c>
      <c r="G211" s="40">
        <v>0</v>
      </c>
      <c r="H211" s="35">
        <v>9.2499999999999999E-2</v>
      </c>
      <c r="I211" s="45">
        <v>7.0000000000000007E-2</v>
      </c>
      <c r="J211" s="38">
        <f t="shared" si="109"/>
        <v>363.77452316883773</v>
      </c>
      <c r="K211" s="38">
        <f t="shared" si="109"/>
        <v>361.37962946024197</v>
      </c>
      <c r="L211" s="38">
        <f t="shared" si="109"/>
        <v>355.06908151153044</v>
      </c>
      <c r="M211" s="38">
        <f t="shared" si="109"/>
        <v>454.78718520279693</v>
      </c>
      <c r="N211" s="38">
        <f t="shared" si="109"/>
        <v>47.956524571999999</v>
      </c>
      <c r="O211" s="38">
        <f t="shared" si="109"/>
        <v>47.956524571999999</v>
      </c>
      <c r="P211" s="38">
        <f t="shared" si="109"/>
        <v>47.956524571999999</v>
      </c>
      <c r="Q211" s="38">
        <f t="shared" si="109"/>
        <v>47.956524571999999</v>
      </c>
      <c r="R211" s="38">
        <f t="shared" si="109"/>
        <v>47.956524571999999</v>
      </c>
      <c r="S211" s="38">
        <f t="shared" si="109"/>
        <v>47.956524571999999</v>
      </c>
      <c r="T211" s="38">
        <f t="shared" si="109"/>
        <v>47.956524571999999</v>
      </c>
      <c r="U211" s="38">
        <f t="shared" si="109"/>
        <v>47.956524571999999</v>
      </c>
      <c r="V211" s="38">
        <f t="shared" si="96"/>
        <v>431.02523554469951</v>
      </c>
      <c r="W211" s="38">
        <f t="shared" si="97"/>
        <v>428.18759970406938</v>
      </c>
      <c r="X211" s="38">
        <f t="shared" si="98"/>
        <v>420.71042567792938</v>
      </c>
      <c r="Y211" s="38">
        <f t="shared" si="99"/>
        <v>538.86333742444617</v>
      </c>
      <c r="Z211" s="38">
        <f t="shared" si="100"/>
        <v>56.822209866405998</v>
      </c>
      <c r="AA211" s="38">
        <f t="shared" si="101"/>
        <v>56.822209866405998</v>
      </c>
      <c r="AB211" s="38">
        <f t="shared" si="102"/>
        <v>56.822209866405998</v>
      </c>
      <c r="AC211" s="38">
        <f t="shared" si="103"/>
        <v>56.822209866405998</v>
      </c>
      <c r="AD211" s="38">
        <f t="shared" si="104"/>
        <v>56.822209866405998</v>
      </c>
      <c r="AE211" s="38">
        <f t="shared" si="105"/>
        <v>56.822209866405998</v>
      </c>
      <c r="AF211" s="38">
        <f t="shared" si="106"/>
        <v>56.822209866405998</v>
      </c>
      <c r="AG211" s="38">
        <f t="shared" si="107"/>
        <v>56.822209866405998</v>
      </c>
    </row>
    <row r="212" spans="1:33" ht="13" customHeight="1" x14ac:dyDescent="0.25">
      <c r="A212" s="40" t="s">
        <v>37</v>
      </c>
      <c r="B212" s="40">
        <v>50</v>
      </c>
      <c r="C212" s="44">
        <f t="shared" si="95"/>
        <v>0</v>
      </c>
      <c r="D212" s="44">
        <v>1</v>
      </c>
      <c r="E212" s="44">
        <v>0.01</v>
      </c>
      <c r="F212" s="38">
        <v>47.956524571999999</v>
      </c>
      <c r="G212" s="40">
        <v>0</v>
      </c>
      <c r="H212" s="35">
        <v>9.2499999999999999E-2</v>
      </c>
      <c r="I212" s="45">
        <v>0.22</v>
      </c>
      <c r="J212" s="38">
        <f t="shared" si="109"/>
        <v>469.98956558744584</v>
      </c>
      <c r="K212" s="38">
        <f t="shared" si="109"/>
        <v>441.06027987316008</v>
      </c>
      <c r="L212" s="38">
        <f t="shared" si="109"/>
        <v>397.66635130173142</v>
      </c>
      <c r="M212" s="38">
        <f t="shared" si="109"/>
        <v>419.01471765262664</v>
      </c>
      <c r="N212" s="38">
        <f t="shared" si="109"/>
        <v>173.031807497274</v>
      </c>
      <c r="O212" s="38">
        <f t="shared" si="109"/>
        <v>173.031807497274</v>
      </c>
      <c r="P212" s="38">
        <f t="shared" si="109"/>
        <v>173.031807497274</v>
      </c>
      <c r="Q212" s="38">
        <f t="shared" si="109"/>
        <v>173.031807497274</v>
      </c>
      <c r="R212" s="38">
        <f t="shared" si="109"/>
        <v>173.031807497274</v>
      </c>
      <c r="S212" s="38">
        <f t="shared" si="109"/>
        <v>173.031807497274</v>
      </c>
      <c r="T212" s="38">
        <f t="shared" si="109"/>
        <v>173.031807497274</v>
      </c>
      <c r="U212" s="38">
        <f t="shared" si="109"/>
        <v>173.031807497274</v>
      </c>
      <c r="V212" s="38">
        <f t="shared" si="96"/>
        <v>663.96774117036921</v>
      </c>
      <c r="W212" s="38">
        <f t="shared" si="97"/>
        <v>623.09850939204648</v>
      </c>
      <c r="X212" s="38">
        <f t="shared" si="98"/>
        <v>561.79466172456227</v>
      </c>
      <c r="Y212" s="38">
        <f t="shared" si="99"/>
        <v>591.95411125609473</v>
      </c>
      <c r="Z212" s="38">
        <f t="shared" si="100"/>
        <v>244.44699794769232</v>
      </c>
      <c r="AA212" s="38">
        <f t="shared" si="101"/>
        <v>244.44699794769232</v>
      </c>
      <c r="AB212" s="38">
        <f t="shared" si="102"/>
        <v>244.44699794769232</v>
      </c>
      <c r="AC212" s="38">
        <f t="shared" si="103"/>
        <v>244.44699794769232</v>
      </c>
      <c r="AD212" s="38">
        <f t="shared" si="104"/>
        <v>244.44699794769232</v>
      </c>
      <c r="AE212" s="38">
        <f t="shared" si="105"/>
        <v>244.44699794769232</v>
      </c>
      <c r="AF212" s="38">
        <f t="shared" si="106"/>
        <v>244.44699794769232</v>
      </c>
      <c r="AG212" s="38">
        <f t="shared" si="107"/>
        <v>244.44699794769232</v>
      </c>
    </row>
    <row r="213" spans="1:33" ht="13" customHeight="1" x14ac:dyDescent="0.25">
      <c r="A213" s="40" t="s">
        <v>37</v>
      </c>
      <c r="B213" s="40">
        <v>50</v>
      </c>
      <c r="C213" s="44">
        <f t="shared" si="95"/>
        <v>0.4</v>
      </c>
      <c r="D213" s="44">
        <v>0.6</v>
      </c>
      <c r="E213" s="44">
        <v>0.01</v>
      </c>
      <c r="F213" s="38">
        <v>47.956524571999999</v>
      </c>
      <c r="G213" s="40">
        <v>0</v>
      </c>
      <c r="H213" s="35">
        <v>9.2499999999999999E-2</v>
      </c>
      <c r="I213" s="45">
        <v>0.22</v>
      </c>
      <c r="J213" s="38">
        <f t="shared" si="109"/>
        <v>432.76518374142603</v>
      </c>
      <c r="K213" s="38">
        <f t="shared" si="109"/>
        <v>414.40973993427298</v>
      </c>
      <c r="L213" s="38">
        <f t="shared" si="109"/>
        <v>385.74398781278603</v>
      </c>
      <c r="M213" s="38">
        <f t="shared" si="109"/>
        <v>440.1028835575255</v>
      </c>
      <c r="N213" s="38">
        <f t="shared" si="109"/>
        <v>123.00169432716439</v>
      </c>
      <c r="O213" s="38">
        <f t="shared" si="109"/>
        <v>123.00169432716439</v>
      </c>
      <c r="P213" s="38">
        <f t="shared" si="109"/>
        <v>123.00169432716439</v>
      </c>
      <c r="Q213" s="38">
        <f t="shared" si="109"/>
        <v>123.00169432716439</v>
      </c>
      <c r="R213" s="38">
        <f t="shared" si="109"/>
        <v>123.00169432716439</v>
      </c>
      <c r="S213" s="38">
        <f t="shared" si="109"/>
        <v>123.00169432716439</v>
      </c>
      <c r="T213" s="38">
        <f t="shared" si="109"/>
        <v>123.00169432716439</v>
      </c>
      <c r="U213" s="38">
        <f t="shared" si="109"/>
        <v>123.00169432716439</v>
      </c>
      <c r="V213" s="38">
        <f t="shared" si="96"/>
        <v>611.37978913813106</v>
      </c>
      <c r="W213" s="38">
        <f t="shared" si="97"/>
        <v>585.44852713749094</v>
      </c>
      <c r="X213" s="38">
        <f t="shared" si="98"/>
        <v>544.95159682529641</v>
      </c>
      <c r="Y213" s="38">
        <f t="shared" si="99"/>
        <v>621.74596815359962</v>
      </c>
      <c r="Z213" s="38">
        <f t="shared" si="100"/>
        <v>173.76802193567056</v>
      </c>
      <c r="AA213" s="38">
        <f t="shared" si="101"/>
        <v>173.76802193567056</v>
      </c>
      <c r="AB213" s="38">
        <f t="shared" si="102"/>
        <v>173.76802193567056</v>
      </c>
      <c r="AC213" s="38">
        <f t="shared" si="103"/>
        <v>173.76802193567056</v>
      </c>
      <c r="AD213" s="38">
        <f t="shared" si="104"/>
        <v>173.76802193567056</v>
      </c>
      <c r="AE213" s="38">
        <f t="shared" si="105"/>
        <v>173.76802193567056</v>
      </c>
      <c r="AF213" s="38">
        <f t="shared" si="106"/>
        <v>173.76802193567056</v>
      </c>
      <c r="AG213" s="38">
        <f t="shared" si="107"/>
        <v>173.76802193567056</v>
      </c>
    </row>
    <row r="214" spans="1:33" ht="13" customHeight="1" x14ac:dyDescent="0.25">
      <c r="A214" s="40" t="s">
        <v>37</v>
      </c>
      <c r="B214" s="40">
        <v>50</v>
      </c>
      <c r="C214" s="44">
        <f t="shared" si="95"/>
        <v>0.6</v>
      </c>
      <c r="D214" s="44">
        <v>0.4</v>
      </c>
      <c r="E214" s="44">
        <v>0.01</v>
      </c>
      <c r="F214" s="38">
        <v>47.956524571999999</v>
      </c>
      <c r="G214" s="40">
        <v>0</v>
      </c>
      <c r="H214" s="35">
        <v>9.2499999999999999E-2</v>
      </c>
      <c r="I214" s="45">
        <v>0.22</v>
      </c>
      <c r="J214" s="38">
        <f t="shared" si="109"/>
        <v>414.15299281841612</v>
      </c>
      <c r="K214" s="38">
        <f t="shared" si="109"/>
        <v>401.08446996482951</v>
      </c>
      <c r="L214" s="38">
        <f t="shared" si="109"/>
        <v>379.78280606831333</v>
      </c>
      <c r="M214" s="38">
        <f t="shared" si="109"/>
        <v>450.64696650997496</v>
      </c>
      <c r="N214" s="38">
        <f t="shared" si="109"/>
        <v>97.986637742109608</v>
      </c>
      <c r="O214" s="38">
        <f t="shared" si="109"/>
        <v>97.986637742109608</v>
      </c>
      <c r="P214" s="38">
        <f t="shared" si="109"/>
        <v>97.986637742109608</v>
      </c>
      <c r="Q214" s="38">
        <f t="shared" si="109"/>
        <v>97.986637742109608</v>
      </c>
      <c r="R214" s="38">
        <f t="shared" si="109"/>
        <v>97.986637742109608</v>
      </c>
      <c r="S214" s="38">
        <f t="shared" si="109"/>
        <v>97.986637742109608</v>
      </c>
      <c r="T214" s="38">
        <f t="shared" si="109"/>
        <v>97.986637742109608</v>
      </c>
      <c r="U214" s="38">
        <f t="shared" si="109"/>
        <v>97.986637742109608</v>
      </c>
      <c r="V214" s="38">
        <f t="shared" si="96"/>
        <v>585.08581312201193</v>
      </c>
      <c r="W214" s="38">
        <f t="shared" si="97"/>
        <v>566.62353601021334</v>
      </c>
      <c r="X214" s="38">
        <f t="shared" si="98"/>
        <v>536.53006437566341</v>
      </c>
      <c r="Y214" s="38">
        <f t="shared" si="99"/>
        <v>636.64189660235206</v>
      </c>
      <c r="Z214" s="38">
        <f t="shared" si="100"/>
        <v>138.42853392965969</v>
      </c>
      <c r="AA214" s="38">
        <f t="shared" si="101"/>
        <v>138.42853392965969</v>
      </c>
      <c r="AB214" s="38">
        <f t="shared" si="102"/>
        <v>138.42853392965969</v>
      </c>
      <c r="AC214" s="38">
        <f t="shared" si="103"/>
        <v>138.42853392965969</v>
      </c>
      <c r="AD214" s="38">
        <f t="shared" si="104"/>
        <v>138.42853392965969</v>
      </c>
      <c r="AE214" s="38">
        <f t="shared" si="105"/>
        <v>138.42853392965969</v>
      </c>
      <c r="AF214" s="38">
        <f t="shared" si="106"/>
        <v>138.42853392965969</v>
      </c>
      <c r="AG214" s="38">
        <f t="shared" si="107"/>
        <v>138.42853392965969</v>
      </c>
    </row>
    <row r="215" spans="1:33" ht="13" customHeight="1" x14ac:dyDescent="0.25">
      <c r="A215" s="40" t="s">
        <v>37</v>
      </c>
      <c r="B215" s="40">
        <v>50</v>
      </c>
      <c r="C215" s="44">
        <f t="shared" si="95"/>
        <v>1</v>
      </c>
      <c r="D215" s="44">
        <v>0</v>
      </c>
      <c r="E215" s="44">
        <v>0.01</v>
      </c>
      <c r="F215" s="38">
        <v>47.956524571999999</v>
      </c>
      <c r="G215" s="40">
        <v>0</v>
      </c>
      <c r="H215" s="35">
        <v>9.2499999999999999E-2</v>
      </c>
      <c r="I215" s="45">
        <v>0.22</v>
      </c>
      <c r="J215" s="38">
        <f t="shared" si="109"/>
        <v>376.92861097239643</v>
      </c>
      <c r="K215" s="38">
        <f t="shared" si="109"/>
        <v>374.43393002594252</v>
      </c>
      <c r="L215" s="38">
        <f t="shared" si="109"/>
        <v>367.86044257936794</v>
      </c>
      <c r="M215" s="38">
        <f t="shared" si="109"/>
        <v>471.73513241487382</v>
      </c>
      <c r="N215" s="38">
        <f t="shared" si="109"/>
        <v>47.956524571999999</v>
      </c>
      <c r="O215" s="38">
        <f t="shared" si="109"/>
        <v>47.956524571999999</v>
      </c>
      <c r="P215" s="38">
        <f t="shared" si="109"/>
        <v>47.956524571999999</v>
      </c>
      <c r="Q215" s="38">
        <f t="shared" si="109"/>
        <v>47.956524571999999</v>
      </c>
      <c r="R215" s="38">
        <f t="shared" si="109"/>
        <v>47.956524571999999</v>
      </c>
      <c r="S215" s="38">
        <f t="shared" si="109"/>
        <v>47.956524571999999</v>
      </c>
      <c r="T215" s="38">
        <f t="shared" si="109"/>
        <v>47.956524571999999</v>
      </c>
      <c r="U215" s="38">
        <f t="shared" si="109"/>
        <v>47.956524571999999</v>
      </c>
      <c r="V215" s="38">
        <f t="shared" si="96"/>
        <v>532.49786108977389</v>
      </c>
      <c r="W215" s="38">
        <f t="shared" si="97"/>
        <v>528.97355375565803</v>
      </c>
      <c r="X215" s="38">
        <f t="shared" si="98"/>
        <v>519.68699947639743</v>
      </c>
      <c r="Y215" s="38">
        <f t="shared" si="99"/>
        <v>666.43375349985706</v>
      </c>
      <c r="Z215" s="38">
        <f t="shared" si="100"/>
        <v>67.749557917637915</v>
      </c>
      <c r="AA215" s="38">
        <f t="shared" si="101"/>
        <v>67.749557917637915</v>
      </c>
      <c r="AB215" s="38">
        <f t="shared" si="102"/>
        <v>67.749557917637915</v>
      </c>
      <c r="AC215" s="38">
        <f t="shared" si="103"/>
        <v>67.749557917637915</v>
      </c>
      <c r="AD215" s="38">
        <f t="shared" si="104"/>
        <v>67.749557917637915</v>
      </c>
      <c r="AE215" s="38">
        <f t="shared" si="105"/>
        <v>67.749557917637915</v>
      </c>
      <c r="AF215" s="38">
        <f t="shared" si="106"/>
        <v>67.749557917637915</v>
      </c>
      <c r="AG215" s="38">
        <f t="shared" si="107"/>
        <v>67.749557917637915</v>
      </c>
    </row>
    <row r="216" spans="1:33" ht="13" customHeight="1" x14ac:dyDescent="0.25">
      <c r="A216" s="40" t="s">
        <v>37</v>
      </c>
      <c r="B216" s="40">
        <v>50</v>
      </c>
      <c r="C216" s="44">
        <f t="shared" si="95"/>
        <v>0</v>
      </c>
      <c r="D216" s="44">
        <v>1</v>
      </c>
      <c r="E216" s="44">
        <v>0.01</v>
      </c>
      <c r="F216" s="38">
        <v>47.956524571999999</v>
      </c>
      <c r="G216" s="40">
        <v>0</v>
      </c>
      <c r="H216" s="35">
        <v>9.2499999999999999E-2</v>
      </c>
      <c r="I216" s="45">
        <v>0.12</v>
      </c>
      <c r="J216" s="38">
        <f t="shared" si="109"/>
        <v>469.98956558744584</v>
      </c>
      <c r="K216" s="38">
        <f t="shared" si="109"/>
        <v>441.06027987316008</v>
      </c>
      <c r="L216" s="38">
        <f t="shared" si="109"/>
        <v>397.66635130173142</v>
      </c>
      <c r="M216" s="38">
        <f t="shared" si="109"/>
        <v>419.01471765262664</v>
      </c>
      <c r="N216" s="38">
        <f t="shared" si="109"/>
        <v>173.031807497274</v>
      </c>
      <c r="O216" s="38">
        <f t="shared" si="109"/>
        <v>173.031807497274</v>
      </c>
      <c r="P216" s="38">
        <f t="shared" si="109"/>
        <v>173.031807497274</v>
      </c>
      <c r="Q216" s="38">
        <f t="shared" si="109"/>
        <v>173.031807497274</v>
      </c>
      <c r="R216" s="38">
        <f t="shared" si="109"/>
        <v>173.031807497274</v>
      </c>
      <c r="S216" s="38">
        <f t="shared" si="109"/>
        <v>173.031807497274</v>
      </c>
      <c r="T216" s="38">
        <f t="shared" si="109"/>
        <v>173.031807497274</v>
      </c>
      <c r="U216" s="38">
        <f t="shared" si="109"/>
        <v>173.031807497274</v>
      </c>
      <c r="V216" s="38">
        <f t="shared" si="96"/>
        <v>588.51686149191823</v>
      </c>
      <c r="W216" s="38">
        <f t="shared" si="97"/>
        <v>552.29186059749577</v>
      </c>
      <c r="X216" s="38">
        <f t="shared" si="98"/>
        <v>497.95435925586202</v>
      </c>
      <c r="Y216" s="38">
        <f t="shared" si="99"/>
        <v>524.68659861335675</v>
      </c>
      <c r="Z216" s="38">
        <f t="shared" si="100"/>
        <v>216.66892999909092</v>
      </c>
      <c r="AA216" s="38">
        <f t="shared" si="101"/>
        <v>216.66892999909092</v>
      </c>
      <c r="AB216" s="38">
        <f t="shared" si="102"/>
        <v>216.66892999909092</v>
      </c>
      <c r="AC216" s="38">
        <f t="shared" si="103"/>
        <v>216.66892999909092</v>
      </c>
      <c r="AD216" s="38">
        <f t="shared" si="104"/>
        <v>216.66892999909092</v>
      </c>
      <c r="AE216" s="38">
        <f t="shared" si="105"/>
        <v>216.66892999909092</v>
      </c>
      <c r="AF216" s="38">
        <f t="shared" si="106"/>
        <v>216.66892999909092</v>
      </c>
      <c r="AG216" s="38">
        <f t="shared" si="107"/>
        <v>216.66892999909092</v>
      </c>
    </row>
    <row r="217" spans="1:33" ht="13" customHeight="1" x14ac:dyDescent="0.25">
      <c r="A217" s="40" t="s">
        <v>37</v>
      </c>
      <c r="B217" s="40">
        <v>50</v>
      </c>
      <c r="C217" s="44">
        <f t="shared" si="95"/>
        <v>0.4</v>
      </c>
      <c r="D217" s="44">
        <v>0.6</v>
      </c>
      <c r="E217" s="44">
        <v>0.01</v>
      </c>
      <c r="F217" s="38">
        <v>47.956524571999999</v>
      </c>
      <c r="G217" s="40">
        <v>0</v>
      </c>
      <c r="H217" s="35">
        <v>9.2499999999999999E-2</v>
      </c>
      <c r="I217" s="45">
        <v>0.12</v>
      </c>
      <c r="J217" s="38">
        <f t="shared" si="109"/>
        <v>432.76518374142603</v>
      </c>
      <c r="K217" s="38">
        <f t="shared" si="109"/>
        <v>414.40973993427298</v>
      </c>
      <c r="L217" s="38">
        <f t="shared" si="109"/>
        <v>385.74398781278603</v>
      </c>
      <c r="M217" s="38">
        <f t="shared" si="109"/>
        <v>440.1028835575255</v>
      </c>
      <c r="N217" s="38">
        <f t="shared" si="109"/>
        <v>123.00169432716439</v>
      </c>
      <c r="O217" s="38">
        <f t="shared" si="109"/>
        <v>123.00169432716439</v>
      </c>
      <c r="P217" s="38">
        <f t="shared" si="109"/>
        <v>123.00169432716439</v>
      </c>
      <c r="Q217" s="38">
        <f t="shared" si="109"/>
        <v>123.00169432716439</v>
      </c>
      <c r="R217" s="38">
        <f t="shared" si="109"/>
        <v>123.00169432716439</v>
      </c>
      <c r="S217" s="38">
        <f t="shared" si="109"/>
        <v>123.00169432716439</v>
      </c>
      <c r="T217" s="38">
        <f t="shared" si="109"/>
        <v>123.00169432716439</v>
      </c>
      <c r="U217" s="38">
        <f t="shared" si="109"/>
        <v>123.00169432716439</v>
      </c>
      <c r="V217" s="38">
        <f t="shared" si="96"/>
        <v>541.9048130997071</v>
      </c>
      <c r="W217" s="38">
        <f t="shared" si="97"/>
        <v>518.92028541732157</v>
      </c>
      <c r="X217" s="38">
        <f t="shared" si="98"/>
        <v>483.02527900423996</v>
      </c>
      <c r="Y217" s="38">
        <f t="shared" si="99"/>
        <v>551.09301722705425</v>
      </c>
      <c r="Z217" s="38">
        <f t="shared" si="100"/>
        <v>154.02165580661708</v>
      </c>
      <c r="AA217" s="38">
        <f t="shared" si="101"/>
        <v>154.02165580661708</v>
      </c>
      <c r="AB217" s="38">
        <f t="shared" si="102"/>
        <v>154.02165580661708</v>
      </c>
      <c r="AC217" s="38">
        <f t="shared" si="103"/>
        <v>154.02165580661708</v>
      </c>
      <c r="AD217" s="38">
        <f t="shared" si="104"/>
        <v>154.02165580661708</v>
      </c>
      <c r="AE217" s="38">
        <f t="shared" si="105"/>
        <v>154.02165580661708</v>
      </c>
      <c r="AF217" s="38">
        <f t="shared" si="106"/>
        <v>154.02165580661708</v>
      </c>
      <c r="AG217" s="38">
        <f t="shared" si="107"/>
        <v>154.02165580661708</v>
      </c>
    </row>
    <row r="218" spans="1:33" ht="13" customHeight="1" x14ac:dyDescent="0.25">
      <c r="A218" s="40" t="s">
        <v>37</v>
      </c>
      <c r="B218" s="40">
        <v>50</v>
      </c>
      <c r="C218" s="44">
        <f t="shared" si="95"/>
        <v>0.6</v>
      </c>
      <c r="D218" s="44">
        <v>0.4</v>
      </c>
      <c r="E218" s="44">
        <v>0.01</v>
      </c>
      <c r="F218" s="38">
        <v>47.956524571999999</v>
      </c>
      <c r="G218" s="40">
        <v>0</v>
      </c>
      <c r="H218" s="35">
        <v>9.2499999999999999E-2</v>
      </c>
      <c r="I218" s="45">
        <v>0.12</v>
      </c>
      <c r="J218" s="38">
        <f t="shared" si="109"/>
        <v>414.15299281841612</v>
      </c>
      <c r="K218" s="38">
        <f t="shared" si="109"/>
        <v>401.08446996482951</v>
      </c>
      <c r="L218" s="38">
        <f t="shared" si="109"/>
        <v>379.78280606831333</v>
      </c>
      <c r="M218" s="38">
        <f t="shared" si="109"/>
        <v>450.64696650997496</v>
      </c>
      <c r="N218" s="38">
        <f t="shared" si="109"/>
        <v>97.986637742109608</v>
      </c>
      <c r="O218" s="38">
        <f t="shared" si="109"/>
        <v>97.986637742109608</v>
      </c>
      <c r="P218" s="38">
        <f t="shared" si="109"/>
        <v>97.986637742109608</v>
      </c>
      <c r="Q218" s="38">
        <f t="shared" si="109"/>
        <v>97.986637742109608</v>
      </c>
      <c r="R218" s="38">
        <f t="shared" si="109"/>
        <v>97.986637742109608</v>
      </c>
      <c r="S218" s="38">
        <f t="shared" si="109"/>
        <v>97.986637742109608</v>
      </c>
      <c r="T218" s="38">
        <f t="shared" si="109"/>
        <v>97.986637742109608</v>
      </c>
      <c r="U218" s="38">
        <f t="shared" si="109"/>
        <v>97.986637742109608</v>
      </c>
      <c r="V218" s="38">
        <f t="shared" si="96"/>
        <v>518.59878890360153</v>
      </c>
      <c r="W218" s="38">
        <f t="shared" si="97"/>
        <v>502.23449782723452</v>
      </c>
      <c r="X218" s="38">
        <f t="shared" si="98"/>
        <v>475.56073887842894</v>
      </c>
      <c r="Y218" s="38">
        <f t="shared" si="99"/>
        <v>564.296226533903</v>
      </c>
      <c r="Z218" s="38">
        <f t="shared" si="100"/>
        <v>122.69801871038018</v>
      </c>
      <c r="AA218" s="38">
        <f t="shared" si="101"/>
        <v>122.69801871038018</v>
      </c>
      <c r="AB218" s="38">
        <f t="shared" si="102"/>
        <v>122.69801871038018</v>
      </c>
      <c r="AC218" s="38">
        <f t="shared" si="103"/>
        <v>122.69801871038018</v>
      </c>
      <c r="AD218" s="38">
        <f t="shared" si="104"/>
        <v>122.69801871038018</v>
      </c>
      <c r="AE218" s="38">
        <f t="shared" si="105"/>
        <v>122.69801871038018</v>
      </c>
      <c r="AF218" s="38">
        <f t="shared" si="106"/>
        <v>122.69801871038018</v>
      </c>
      <c r="AG218" s="38">
        <f t="shared" si="107"/>
        <v>122.69801871038018</v>
      </c>
    </row>
    <row r="219" spans="1:33" ht="13" customHeight="1" x14ac:dyDescent="0.25">
      <c r="A219" s="40" t="s">
        <v>37</v>
      </c>
      <c r="B219" s="40">
        <v>50</v>
      </c>
      <c r="C219" s="44">
        <f t="shared" si="95"/>
        <v>1</v>
      </c>
      <c r="D219" s="44">
        <v>0</v>
      </c>
      <c r="E219" s="44">
        <v>0.01</v>
      </c>
      <c r="F219" s="38">
        <v>47.956524571999999</v>
      </c>
      <c r="G219" s="40">
        <v>0</v>
      </c>
      <c r="H219" s="35">
        <v>9.2499999999999999E-2</v>
      </c>
      <c r="I219" s="45">
        <v>0.12</v>
      </c>
      <c r="J219" s="38">
        <f t="shared" si="109"/>
        <v>376.92861097239643</v>
      </c>
      <c r="K219" s="38">
        <f t="shared" si="109"/>
        <v>374.43393002594252</v>
      </c>
      <c r="L219" s="38">
        <f t="shared" si="109"/>
        <v>367.86044257936794</v>
      </c>
      <c r="M219" s="38">
        <f t="shared" si="109"/>
        <v>471.73513241487382</v>
      </c>
      <c r="N219" s="38">
        <f t="shared" si="109"/>
        <v>47.956524571999999</v>
      </c>
      <c r="O219" s="38">
        <f t="shared" si="109"/>
        <v>47.956524571999999</v>
      </c>
      <c r="P219" s="38">
        <f t="shared" si="109"/>
        <v>47.956524571999999</v>
      </c>
      <c r="Q219" s="38">
        <f t="shared" si="109"/>
        <v>47.956524571999999</v>
      </c>
      <c r="R219" s="38">
        <f t="shared" si="109"/>
        <v>47.956524571999999</v>
      </c>
      <c r="S219" s="38">
        <f t="shared" si="109"/>
        <v>47.956524571999999</v>
      </c>
      <c r="T219" s="38">
        <f t="shared" si="109"/>
        <v>47.956524571999999</v>
      </c>
      <c r="U219" s="38">
        <f t="shared" si="109"/>
        <v>47.956524571999999</v>
      </c>
      <c r="V219" s="38">
        <f t="shared" si="96"/>
        <v>471.98674051139051</v>
      </c>
      <c r="W219" s="38">
        <f t="shared" si="97"/>
        <v>468.86292264706054</v>
      </c>
      <c r="X219" s="38">
        <f t="shared" si="98"/>
        <v>460.63165862680688</v>
      </c>
      <c r="Y219" s="38">
        <f t="shared" si="99"/>
        <v>590.70264514760061</v>
      </c>
      <c r="Z219" s="38">
        <f t="shared" si="100"/>
        <v>60.050744517906331</v>
      </c>
      <c r="AA219" s="38">
        <f t="shared" si="101"/>
        <v>60.050744517906331</v>
      </c>
      <c r="AB219" s="38">
        <f t="shared" si="102"/>
        <v>60.050744517906331</v>
      </c>
      <c r="AC219" s="38">
        <f t="shared" si="103"/>
        <v>60.050744517906331</v>
      </c>
      <c r="AD219" s="38">
        <f t="shared" si="104"/>
        <v>60.050744517906331</v>
      </c>
      <c r="AE219" s="38">
        <f t="shared" si="105"/>
        <v>60.050744517906331</v>
      </c>
      <c r="AF219" s="38">
        <f t="shared" si="106"/>
        <v>60.050744517906331</v>
      </c>
      <c r="AG219" s="38">
        <f t="shared" si="107"/>
        <v>60.050744517906331</v>
      </c>
    </row>
  </sheetData>
  <mergeCells count="27">
    <mergeCell ref="F6:I6"/>
    <mergeCell ref="F1:I1"/>
    <mergeCell ref="F2:I2"/>
    <mergeCell ref="F3:I3"/>
    <mergeCell ref="F4:I4"/>
    <mergeCell ref="F5:I5"/>
    <mergeCell ref="F19:I19"/>
    <mergeCell ref="F7:I7"/>
    <mergeCell ref="F8:I8"/>
    <mergeCell ref="F9:I9"/>
    <mergeCell ref="F10:I10"/>
    <mergeCell ref="F11:I11"/>
    <mergeCell ref="F12:I12"/>
    <mergeCell ref="F13:I13"/>
    <mergeCell ref="F14:I14"/>
    <mergeCell ref="F15:I15"/>
    <mergeCell ref="F17:I17"/>
    <mergeCell ref="F18:I18"/>
    <mergeCell ref="F27:I27"/>
    <mergeCell ref="J29:U29"/>
    <mergeCell ref="V29:AG29"/>
    <mergeCell ref="F20:I20"/>
    <mergeCell ref="F21:I21"/>
    <mergeCell ref="F22:I22"/>
    <mergeCell ref="F23:I23"/>
    <mergeCell ref="F25:I25"/>
    <mergeCell ref="F26:I26"/>
  </mergeCell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67A5-9B9E-4DBE-A49A-411B33C63232}">
  <dimension ref="A1:V5"/>
  <sheetViews>
    <sheetView workbookViewId="0">
      <selection sqref="A1:AD1048576"/>
    </sheetView>
  </sheetViews>
  <sheetFormatPr defaultRowHeight="12.5" x14ac:dyDescent="0.25"/>
  <cols>
    <col min="1" max="1" width="20.7265625" bestFit="1" customWidth="1"/>
    <col min="2" max="2" width="12.453125" customWidth="1"/>
    <col min="3" max="18" width="8.453125" customWidth="1"/>
    <col min="19" max="19" width="11" customWidth="1"/>
    <col min="20" max="20" width="8.81640625" customWidth="1"/>
    <col min="21" max="21" width="22.26953125" bestFit="1" customWidth="1"/>
    <col min="22" max="22" width="10.26953125" bestFit="1" customWidth="1"/>
  </cols>
  <sheetData>
    <row r="1" spans="1:22" ht="13" x14ac:dyDescent="0.3">
      <c r="A1" s="47" t="s">
        <v>40</v>
      </c>
      <c r="B1" s="48" t="s">
        <v>41</v>
      </c>
      <c r="C1" s="49" t="s">
        <v>41</v>
      </c>
      <c r="D1" s="49" t="s">
        <v>41</v>
      </c>
      <c r="E1" s="49" t="s">
        <v>41</v>
      </c>
      <c r="F1" s="49" t="s">
        <v>41</v>
      </c>
      <c r="G1" s="49" t="s">
        <v>41</v>
      </c>
      <c r="H1" s="49" t="s">
        <v>41</v>
      </c>
      <c r="I1" s="50" t="s">
        <v>41</v>
      </c>
      <c r="J1" s="51" t="s">
        <v>42</v>
      </c>
      <c r="K1" s="52" t="s">
        <v>42</v>
      </c>
      <c r="L1" s="52" t="s">
        <v>42</v>
      </c>
      <c r="M1" s="52" t="s">
        <v>42</v>
      </c>
      <c r="N1" s="172" t="s">
        <v>42</v>
      </c>
      <c r="O1" s="54" t="s">
        <v>43</v>
      </c>
      <c r="P1" s="56" t="s">
        <v>43</v>
      </c>
      <c r="Q1" s="56" t="s">
        <v>43</v>
      </c>
      <c r="R1" s="57" t="s">
        <v>43</v>
      </c>
      <c r="S1" s="189" t="s">
        <v>96</v>
      </c>
      <c r="U1" s="180" t="s">
        <v>93</v>
      </c>
      <c r="V1" s="181">
        <v>46023</v>
      </c>
    </row>
    <row r="2" spans="1:22" ht="13" x14ac:dyDescent="0.3">
      <c r="A2" s="62" t="s">
        <v>45</v>
      </c>
      <c r="B2" s="63">
        <v>13.7</v>
      </c>
      <c r="C2" s="64">
        <v>17.8</v>
      </c>
      <c r="D2" s="64">
        <v>20.079999999999998</v>
      </c>
      <c r="E2" s="64">
        <v>38.89</v>
      </c>
      <c r="F2" s="64">
        <v>40</v>
      </c>
      <c r="G2" s="64">
        <v>42.65</v>
      </c>
      <c r="H2" s="64">
        <v>48</v>
      </c>
      <c r="I2" s="65">
        <v>50</v>
      </c>
      <c r="J2" s="63">
        <v>13.6</v>
      </c>
      <c r="K2" s="64">
        <v>13.7</v>
      </c>
      <c r="L2" s="64">
        <v>28.7</v>
      </c>
      <c r="M2" s="64">
        <v>40</v>
      </c>
      <c r="N2" s="65">
        <v>48</v>
      </c>
      <c r="O2" s="63">
        <v>13.7</v>
      </c>
      <c r="P2" s="64">
        <v>17.8</v>
      </c>
      <c r="Q2" s="64">
        <v>38</v>
      </c>
      <c r="R2" s="65">
        <v>40</v>
      </c>
      <c r="S2" s="190" t="s">
        <v>97</v>
      </c>
      <c r="U2" s="182" t="s">
        <v>91</v>
      </c>
      <c r="V2" s="183">
        <v>4.4618400000000003E-2</v>
      </c>
    </row>
    <row r="3" spans="1:22" x14ac:dyDescent="0.25">
      <c r="A3" s="86" t="s">
        <v>94</v>
      </c>
      <c r="B3" s="93">
        <v>23.5</v>
      </c>
      <c r="C3" s="94">
        <v>28.5</v>
      </c>
      <c r="D3" s="94">
        <v>28.5</v>
      </c>
      <c r="E3" s="94">
        <v>46.91</v>
      </c>
      <c r="F3" s="94">
        <v>46.91</v>
      </c>
      <c r="G3" s="94">
        <v>46.91</v>
      </c>
      <c r="H3" s="94">
        <v>46.91</v>
      </c>
      <c r="I3" s="95">
        <v>46.91</v>
      </c>
      <c r="J3" s="93">
        <v>23.5</v>
      </c>
      <c r="K3" s="94">
        <v>23.5</v>
      </c>
      <c r="L3" s="94">
        <v>35.5</v>
      </c>
      <c r="M3" s="94">
        <v>46.91</v>
      </c>
      <c r="N3" s="95">
        <v>46.91</v>
      </c>
      <c r="O3" s="93">
        <v>23.5</v>
      </c>
      <c r="P3" s="94">
        <v>28.5</v>
      </c>
      <c r="Q3" s="94">
        <v>46.91</v>
      </c>
      <c r="R3" s="95">
        <v>46.91</v>
      </c>
      <c r="S3" s="191">
        <v>2422.69</v>
      </c>
      <c r="U3" s="182" t="s">
        <v>92</v>
      </c>
      <c r="V3" s="184">
        <f>IF(V2&lt;2%,V2=0,IF(AND(V2&gt;=2%,V2&lt;=3%),V2*30%,IF(AND(V2&gt;3%,V2&lt;=8%),V2*50%,IF(AND(V2&gt;8%,V2&lt;=12%),V2*70%))))</f>
        <v>2.2309200000000001E-2</v>
      </c>
    </row>
    <row r="4" spans="1:22" ht="13" thickBot="1" x14ac:dyDescent="0.3">
      <c r="A4" s="187" t="s">
        <v>95</v>
      </c>
      <c r="B4" s="188">
        <f>B3*(1+$V$3)</f>
        <v>24.0242662</v>
      </c>
      <c r="C4" s="185">
        <f t="shared" ref="C4:S4" si="0">C3*(1+$V$3)</f>
        <v>29.1358122</v>
      </c>
      <c r="D4" s="185">
        <f t="shared" si="0"/>
        <v>29.1358122</v>
      </c>
      <c r="E4" s="185">
        <f t="shared" si="0"/>
        <v>47.956524571999999</v>
      </c>
      <c r="F4" s="185">
        <f t="shared" si="0"/>
        <v>47.956524571999999</v>
      </c>
      <c r="G4" s="185">
        <f t="shared" si="0"/>
        <v>47.956524571999999</v>
      </c>
      <c r="H4" s="185">
        <f t="shared" si="0"/>
        <v>47.956524571999999</v>
      </c>
      <c r="I4" s="186">
        <f t="shared" si="0"/>
        <v>47.956524571999999</v>
      </c>
      <c r="J4" s="188">
        <f t="shared" si="0"/>
        <v>24.0242662</v>
      </c>
      <c r="K4" s="185">
        <f t="shared" si="0"/>
        <v>24.0242662</v>
      </c>
      <c r="L4" s="185">
        <f t="shared" si="0"/>
        <v>36.291976599999998</v>
      </c>
      <c r="M4" s="185">
        <f t="shared" si="0"/>
        <v>47.956524571999999</v>
      </c>
      <c r="N4" s="186">
        <f t="shared" si="0"/>
        <v>47.956524571999999</v>
      </c>
      <c r="O4" s="188">
        <f t="shared" si="0"/>
        <v>24.0242662</v>
      </c>
      <c r="P4" s="185">
        <f t="shared" si="0"/>
        <v>29.1358122</v>
      </c>
      <c r="Q4" s="185">
        <f t="shared" si="0"/>
        <v>47.956524571999999</v>
      </c>
      <c r="R4" s="186">
        <f t="shared" si="0"/>
        <v>47.956524571999999</v>
      </c>
      <c r="S4" s="192">
        <f t="shared" si="0"/>
        <v>2476.738275748</v>
      </c>
    </row>
    <row r="5" spans="1:22" x14ac:dyDescent="0.25">
      <c r="V5" s="179"/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B7B449D7443F48A021D670B5CB465D" ma:contentTypeVersion="14" ma:contentTypeDescription="Crie um novo documento." ma:contentTypeScope="" ma:versionID="8268bd6bcafb2ca87b4a4c533e92570b">
  <xsd:schema xmlns:xsd="http://www.w3.org/2001/XMLSchema" xmlns:xs="http://www.w3.org/2001/XMLSchema" xmlns:p="http://schemas.microsoft.com/office/2006/metadata/properties" xmlns:ns2="29c95280-a43d-435c-910c-5a693c76bc98" xmlns:ns3="ac5d8387-265a-4aa6-8f92-e273f306bfb1" targetNamespace="http://schemas.microsoft.com/office/2006/metadata/properties" ma:root="true" ma:fieldsID="6a35e95f0a9ce8f876f888c84fa46577" ns2:_="" ns3:_="">
    <xsd:import namespace="29c95280-a43d-435c-910c-5a693c76bc98"/>
    <xsd:import namespace="ac5d8387-265a-4aa6-8f92-e273f306b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95280-a43d-435c-910c-5a693c76bc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73c177b-07bf-480b-88be-2888b3a6f8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5d8387-265a-4aa6-8f92-e273f306bf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fdaf964-4e01-42de-a823-2fd4b3830e40}" ma:internalName="TaxCatchAll" ma:showField="CatchAllData" ma:web="ac5d8387-265a-4aa6-8f92-e273f306b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5d8387-265a-4aa6-8f92-e273f306bfb1" xsi:nil="true"/>
    <lcf76f155ced4ddcb4097134ff3c332f xmlns="29c95280-a43d-435c-910c-5a693c76bc9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C9F008-9DDD-42CB-A914-D53455EA29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c95280-a43d-435c-910c-5a693c76bc98"/>
    <ds:schemaRef ds:uri="ac5d8387-265a-4aa6-8f92-e273f306b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E59BD3-3EDC-42DD-83C3-EC6B4A6E29F8}">
  <ds:schemaRefs>
    <ds:schemaRef ds:uri="http://schemas.microsoft.com/office/2006/metadata/properties"/>
    <ds:schemaRef ds:uri="http://schemas.microsoft.com/office/infopath/2007/PartnerControls"/>
    <ds:schemaRef ds:uri="ac5d8387-265a-4aa6-8f92-e273f306bfb1"/>
    <ds:schemaRef ds:uri="29c95280-a43d-435c-910c-5a693c76bc98"/>
  </ds:schemaRefs>
</ds:datastoreItem>
</file>

<file path=customXml/itemProps3.xml><?xml version="1.0" encoding="utf-8"?>
<ds:datastoreItem xmlns:ds="http://schemas.openxmlformats.org/officeDocument/2006/customXml" ds:itemID="{310F0CFF-2440-4B68-97BD-888187900BE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da4c47c-aa74-4bbe-b121-5c440e0a04cf}" enabled="0" method="" siteId="{bda4c47c-aa74-4bbe-b121-5c440e0a04c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JAN.26</vt:lpstr>
      <vt:lpstr>FEV.26</vt:lpstr>
      <vt:lpstr>MAR.26</vt:lpstr>
      <vt:lpstr>ABR.26</vt:lpstr>
      <vt:lpstr>Padrão Ambev</vt:lpstr>
      <vt:lpstr>Reajuste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de Cássia Fernandes</dc:creator>
  <cp:lastModifiedBy>Murugan Narendhra Kumar</cp:lastModifiedBy>
  <dcterms:created xsi:type="dcterms:W3CDTF">2025-12-29T16:47:08Z</dcterms:created>
  <dcterms:modified xsi:type="dcterms:W3CDTF">2026-05-05T02:46:38Z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0x010100C4B7B449D7443F48A021D670B5CB465D</vt:lpwstr>
  </property>
  <property fmtid="{D5CDD505-2E9C-101B-9397-08002B2CF9AE}" pid="3" name="MediaServiceImageTags">
    <vt:lpwstr/>
  </property>
  <property fmtid="{D5CDD505-2E9C-101B-9397-08002B2CF9AE}" pid="4" name="MSIP_Label_68104b14-b53d-46de-9ae8-975cc0e84815_Enabled">
    <vt:lpwstr>true</vt:lpwstr>
  </property>
  <property fmtid="{D5CDD505-2E9C-101B-9397-08002B2CF9AE}" pid="5" name="MSIP_Label_68104b14-b53d-46de-9ae8-975cc0e84815_SetDate">
    <vt:lpwstr>2026-05-04T15:08:00Z</vt:lpwstr>
  </property>
  <property fmtid="{D5CDD505-2E9C-101B-9397-08002B2CF9AE}" pid="6" name="MSIP_Label_68104b14-b53d-46de-9ae8-975cc0e84815_Method">
    <vt:lpwstr>Standard</vt:lpwstr>
  </property>
  <property fmtid="{D5CDD505-2E9C-101B-9397-08002B2CF9AE}" pid="7" name="MSIP_Label_68104b14-b53d-46de-9ae8-975cc0e84815_Name">
    <vt:lpwstr>ABI_MIP_InternalUseOnly</vt:lpwstr>
  </property>
  <property fmtid="{D5CDD505-2E9C-101B-9397-08002B2CF9AE}" pid="8" name="MSIP_Label_68104b14-b53d-46de-9ae8-975cc0e84815_SiteId">
    <vt:lpwstr>cef04b19-7776-4a94-b89b-375c77a8f936</vt:lpwstr>
  </property>
  <property fmtid="{D5CDD505-2E9C-101B-9397-08002B2CF9AE}" pid="9" name="MSIP_Label_68104b14-b53d-46de-9ae8-975cc0e84815_ActionId">
    <vt:lpwstr>e743128d-9017-4fdc-b25d-f1203c9646b0</vt:lpwstr>
  </property>
  <property fmtid="{D5CDD505-2E9C-101B-9397-08002B2CF9AE}" pid="10" name="MSIP_Label_68104b14-b53d-46de-9ae8-975cc0e84815_ContentBits">
    <vt:lpwstr>0</vt:lpwstr>
  </property>
  <property fmtid="{D5CDD505-2E9C-101B-9397-08002B2CF9AE}" pid="11" name="MSIP_Label_68104b14-b53d-46de-9ae8-975cc0e84815_Tag">
    <vt:lpwstr>10, 3, 0, 1</vt:lpwstr>
  </property>
</Properties>
</file>