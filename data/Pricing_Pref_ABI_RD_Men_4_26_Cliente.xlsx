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/Supplier Sheets/"/>
    </mc:Choice>
  </mc:AlternateContent>
  <xr:revisionPtr revIDLastSave="4" documentId="13_ncr:1_{CBC02238-B73C-4750-850B-B7AA6BA7B2C6}" xr6:coauthVersionLast="47" xr6:coauthVersionMax="47" xr10:uidLastSave="{495FF701-466B-43F3-86A9-454A1D41B82B}"/>
  <bookViews>
    <workbookView xWindow="-110" yWindow="-110" windowWidth="19420" windowHeight="11500" tabRatio="699" activeTab="1" xr2:uid="{00000000-000D-0000-FFFF-FFFF00000000}"/>
  </bookViews>
  <sheets>
    <sheet name="Pricing" sheetId="1" r:id="rId1"/>
    <sheet name="Inputs" sheetId="2" r:id="rId2"/>
    <sheet name="Hoja1" sheetId="3" state="hidden" r:id="rId3"/>
  </sheets>
  <definedNames>
    <definedName name="__123Graph_A" localSheetId="1" hidden="1">#REF!</definedName>
    <definedName name="__123Graph_A" localSheetId="0" hidden="1">#REF!</definedName>
    <definedName name="__123Graph_A" hidden="1">#REF!</definedName>
    <definedName name="__123Graph_ACOMPARAT" localSheetId="1" hidden="1">#REF!</definedName>
    <definedName name="__123Graph_ACOMPARAT" localSheetId="0" hidden="1">#REF!</definedName>
    <definedName name="__123Graph_ACOMPARAT" hidden="1">#REF!</definedName>
    <definedName name="__123Graph_ACOMPARATACUM" localSheetId="1" hidden="1">#REF!</definedName>
    <definedName name="__123Graph_ACOMPARATACUM" localSheetId="0" hidden="1">#REF!</definedName>
    <definedName name="__123Graph_ACOMPARATACUM" hidden="1">#REF!</definedName>
    <definedName name="__123Graph_AMARIO" localSheetId="1" hidden="1">#REF!</definedName>
    <definedName name="__123Graph_AMARIO" localSheetId="0" hidden="1">#REF!</definedName>
    <definedName name="__123Graph_AMARIO" hidden="1">#REF!</definedName>
    <definedName name="__123Graph_APRINCIPAL" localSheetId="1" hidden="1">#REF!</definedName>
    <definedName name="__123Graph_APRINCIPAL" localSheetId="0" hidden="1">#REF!</definedName>
    <definedName name="__123Graph_APRINCIPAL" hidden="1">#REF!</definedName>
    <definedName name="__123Graph_AVENTAS" localSheetId="1" hidden="1">#REF!</definedName>
    <definedName name="__123Graph_AVENTAS" localSheetId="0" hidden="1">#REF!</definedName>
    <definedName name="__123Graph_AVENTAS" hidden="1">#REF!</definedName>
    <definedName name="__123Graph_BCOMPARAT" localSheetId="1" hidden="1">#REF!</definedName>
    <definedName name="__123Graph_BCOMPARAT" localSheetId="0" hidden="1">#REF!</definedName>
    <definedName name="__123Graph_BCOMPARAT" hidden="1">#REF!</definedName>
    <definedName name="__123Graph_BCOMPARATACUM" localSheetId="1" hidden="1">#REF!</definedName>
    <definedName name="__123Graph_BCOMPARATACUM" localSheetId="0" hidden="1">#REF!</definedName>
    <definedName name="__123Graph_BCOMPARATACUM" hidden="1">#REF!</definedName>
    <definedName name="__123Graph_BPRINCIPAL" localSheetId="1" hidden="1">#REF!</definedName>
    <definedName name="__123Graph_BPRINCIPAL" localSheetId="0" hidden="1">#REF!</definedName>
    <definedName name="__123Graph_BPRINCIPAL" hidden="1">#REF!</definedName>
    <definedName name="__123Graph_BVENTAS" localSheetId="1" hidden="1">#REF!</definedName>
    <definedName name="__123Graph_BVENTAS" localSheetId="0" hidden="1">#REF!</definedName>
    <definedName name="__123Graph_BVENTAS" hidden="1">#REF!</definedName>
    <definedName name="__123Graph_C" localSheetId="1" hidden="1">#REF!</definedName>
    <definedName name="__123Graph_C" localSheetId="0" hidden="1">#REF!</definedName>
    <definedName name="__123Graph_C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F" localSheetId="1" hidden="1">#REF!</definedName>
    <definedName name="__123Graph_F" localSheetId="0" hidden="1">#REF!</definedName>
    <definedName name="__123Graph_F" hidden="1">#REF!</definedName>
    <definedName name="__123Graph_LBL_ACOMPARAT" localSheetId="1" hidden="1">#REF!</definedName>
    <definedName name="__123Graph_LBL_ACOMPARAT" localSheetId="0" hidden="1">#REF!</definedName>
    <definedName name="__123Graph_LBL_ACOMPARAT" hidden="1">#REF!</definedName>
    <definedName name="__123Graph_LBL_ACOMPARATACUM" localSheetId="1" hidden="1">#REF!</definedName>
    <definedName name="__123Graph_LBL_ACOMPARATACUM" localSheetId="0" hidden="1">#REF!</definedName>
    <definedName name="__123Graph_LBL_ACOMPARATACUM" hidden="1">#REF!</definedName>
    <definedName name="__123Graph_LBL_APRINCIPAL" localSheetId="1" hidden="1">#REF!</definedName>
    <definedName name="__123Graph_LBL_APRINCIPAL" localSheetId="0" hidden="1">#REF!</definedName>
    <definedName name="__123Graph_LBL_APRINCIPAL" hidden="1">#REF!</definedName>
    <definedName name="__123Graph_LBL_AVENTAS" localSheetId="1" hidden="1">#REF!</definedName>
    <definedName name="__123Graph_LBL_AVENTAS" localSheetId="0" hidden="1">#REF!</definedName>
    <definedName name="__123Graph_LBL_AVENTAS" hidden="1">#REF!</definedName>
    <definedName name="__123Graph_LBL_BCOMPARAT" localSheetId="1" hidden="1">#REF!</definedName>
    <definedName name="__123Graph_LBL_BCOMPARAT" localSheetId="0" hidden="1">#REF!</definedName>
    <definedName name="__123Graph_LBL_BCOMPARAT" hidden="1">#REF!</definedName>
    <definedName name="__123Graph_LBL_BCOMPARATACUM" localSheetId="1" hidden="1">#REF!</definedName>
    <definedName name="__123Graph_LBL_BCOMPARATACUM" localSheetId="0" hidden="1">#REF!</definedName>
    <definedName name="__123Graph_LBL_BCOMPARATACUM" hidden="1">#REF!</definedName>
    <definedName name="__123Graph_LBL_BPRINCIPAL" localSheetId="1" hidden="1">#REF!</definedName>
    <definedName name="__123Graph_LBL_BPRINCIPAL" localSheetId="0" hidden="1">#REF!</definedName>
    <definedName name="__123Graph_LBL_BPRINCIPAL" hidden="1">#REF!</definedName>
    <definedName name="__123Graph_LBL_BVENTAS" localSheetId="1" hidden="1">#REF!</definedName>
    <definedName name="__123Graph_LBL_BVENTAS" localSheetId="0" hidden="1">#REF!</definedName>
    <definedName name="__123Graph_LBL_BVENTAS" hidden="1">#REF!</definedName>
    <definedName name="__123Graph_XCOMPARAT" localSheetId="1" hidden="1">#REF!</definedName>
    <definedName name="__123Graph_XCOMPARAT" localSheetId="0" hidden="1">#REF!</definedName>
    <definedName name="__123Graph_XCOMPARAT" hidden="1">#REF!</definedName>
    <definedName name="__123Graph_XCOMPARATACUM" localSheetId="1" hidden="1">#REF!</definedName>
    <definedName name="__123Graph_XCOMPARATACUM" localSheetId="0" hidden="1">#REF!</definedName>
    <definedName name="__123Graph_XCOMPARATACUM" hidden="1">#REF!</definedName>
    <definedName name="__123Graph_XPRINCIPAL" localSheetId="1" hidden="1">#REF!</definedName>
    <definedName name="__123Graph_XPRINCIPAL" localSheetId="0" hidden="1">#REF!</definedName>
    <definedName name="__123Graph_XPRINCIPAL" hidden="1">#REF!</definedName>
    <definedName name="__123Graph_XVENTAS" localSheetId="1" hidden="1">#REF!</definedName>
    <definedName name="__123Graph_XVENTAS" localSheetId="0" hidden="1">#REF!</definedName>
    <definedName name="__123Graph_XVENTAS" hidden="1">#REF!</definedName>
    <definedName name="_a1" localSheetId="1" hidden="1">{#N/A,#N/A,FALSE,"Aging Summary";#N/A,#N/A,FALSE,"Ratio Analysis";#N/A,#N/A,FALSE,"Test 120 Day Accts";#N/A,#N/A,FALSE,"Tickmarks"}</definedName>
    <definedName name="_a1" localSheetId="0" hidden="1">{#N/A,#N/A,FALSE,"Aging Summary";#N/A,#N/A,FALSE,"Ratio Analysis";#N/A,#N/A,FALSE,"Test 120 Day Accts";#N/A,#N/A,FALSE,"Tickmarks"}</definedName>
    <definedName name="_a1" hidden="1">{#N/A,#N/A,FALSE,"Aging Summary";#N/A,#N/A,FALSE,"Ratio Analysis";#N/A,#N/A,FALSE,"Test 120 Day Accts";#N/A,#N/A,FALSE,"Tickmarks"}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768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Pricing!$A$35:$AB$50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key3" localSheetId="1" hidden="1">#REF!</definedName>
    <definedName name="_key3" localSheetId="0" hidden="1">#REF!</definedName>
    <definedName name="_key3" hidden="1">#REF!</definedName>
    <definedName name="_Order1" hidden="1">255</definedName>
    <definedName name="_Order2" hidden="1">255</definedName>
    <definedName name="_Parse_In" localSheetId="1" hidden="1">#REF!</definedName>
    <definedName name="_Parse_In" localSheetId="0" hidden="1">#REF!</definedName>
    <definedName name="_Parse_In" hidden="1">#REF!</definedName>
    <definedName name="_Parse_Out" localSheetId="1" hidden="1">#REF!</definedName>
    <definedName name="_Parse_Out" localSheetId="0" hidden="1">#REF!</definedName>
    <definedName name="_Parse_Out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aa" localSheetId="1" hidden="1">{#N/A,#N/A,FALSE,"Aging Summary";#N/A,#N/A,FALSE,"Ratio Analysis";#N/A,#N/A,FALSE,"Test 120 Day Accts";#N/A,#N/A,FALSE,"Tickmarks"}</definedName>
    <definedName name="aaa" localSheetId="0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aaaaaaaaaaaaa" localSheetId="0" hidden="1">#REF!</definedName>
    <definedName name="aaaaaaaaaaaaaaaa" hidden="1">#REF!</definedName>
    <definedName name="aaaaaaaaaaaaaaaaaaaaaaaaa" localSheetId="0" hidden="1">#REF!</definedName>
    <definedName name="aaaaaaaaaaaaaaaaaaaaaaaaa" hidden="1">#REF!</definedName>
    <definedName name="aaaaaaaaaaaaaaaaaaaaaaaaaaaaaaa" localSheetId="0" hidden="1">#REF!</definedName>
    <definedName name="aaaaaaaaaaaaaaaaaaaaaaaaaaaaaaa" hidden="1">#REF!</definedName>
    <definedName name="AS2DocOpenMode" hidden="1">"AS2DocumentEdit"</definedName>
    <definedName name="asadsfds" localSheetId="1" hidden="1">{#N/A,#N/A,FALSE,"Aging Summary";#N/A,#N/A,FALSE,"Ratio Analysis";#N/A,#N/A,FALSE,"Test 120 Day Accts";#N/A,#N/A,FALSE,"Tickmarks"}</definedName>
    <definedName name="asadsfds" localSheetId="0" hidden="1">{#N/A,#N/A,FALSE,"Aging Summary";#N/A,#N/A,FALSE,"Ratio Analysis";#N/A,#N/A,FALSE,"Test 120 Day Accts";#N/A,#N/A,FALSE,"Tickmarks"}</definedName>
    <definedName name="asadsfds" hidden="1">{#N/A,#N/A,FALSE,"Aging Summary";#N/A,#N/A,FALSE,"Ratio Analysis";#N/A,#N/A,FALSE,"Test 120 Day Accts";#N/A,#N/A,FALSE,"Tickmarks"}</definedName>
    <definedName name="bcbcbcbcb" localSheetId="1" hidden="1">#REF!</definedName>
    <definedName name="bcbcbcbcb" localSheetId="0" hidden="1">#REF!</definedName>
    <definedName name="bcbcbcbcb" hidden="1">#REF!</definedName>
    <definedName name="bind" localSheetId="1" hidden="1">#REF!</definedName>
    <definedName name="bind" localSheetId="0" hidden="1">#REF!</definedName>
    <definedName name="bind" hidden="1">#REF!</definedName>
    <definedName name="CIQWBGuid" hidden="1">"e8017ecf-4a3e-4941-bd9d-07ff25a4906e"</definedName>
    <definedName name="de" localSheetId="1" hidden="1">{#N/A,#N/A,FALSE,"Aging Summary";#N/A,#N/A,FALSE,"Ratio Analysis";#N/A,#N/A,FALSE,"Test 120 Day Accts";#N/A,#N/A,FALSE,"Tickmarks"}</definedName>
    <definedName name="de" localSheetId="0" hidden="1">{#N/A,#N/A,FALSE,"Aging Summary";#N/A,#N/A,FALSE,"Ratio Analysis";#N/A,#N/A,FALSE,"Test 120 Day Accts";#N/A,#N/A,FALSE,"Tickmarks"}</definedName>
    <definedName name="de" hidden="1">{#N/A,#N/A,FALSE,"Aging Summary";#N/A,#N/A,FALSE,"Ratio Analysis";#N/A,#N/A,FALSE,"Test 120 Day Accts";#N/A,#N/A,FALSE,"Tickmarks"}</definedName>
    <definedName name="eeeeeeeeeeeeeeee" localSheetId="1" hidden="1">#REF!</definedName>
    <definedName name="eeeeeeeeeeeeeeee" localSheetId="0" hidden="1">#REF!</definedName>
    <definedName name="eeeeeeeeeeeeeeee" hidden="1">#REF!</definedName>
    <definedName name="esdr" localSheetId="1" hidden="1">{#N/A,#N/A,FALSE,"ROTINA";#N/A,#N/A,FALSE,"ITENS";#N/A,#N/A,FALSE,"ACOMP"}</definedName>
    <definedName name="esdr" localSheetId="0" hidden="1">{#N/A,#N/A,FALSE,"ROTINA";#N/A,#N/A,FALSE,"ITENS";#N/A,#N/A,FALSE,"ACOMP"}</definedName>
    <definedName name="esdr" hidden="1">{#N/A,#N/A,FALSE,"ROTINA";#N/A,#N/A,FALSE,"ITENS";#N/A,#N/A,FALSE,"ACOMP"}</definedName>
    <definedName name="ew" localSheetId="1" hidden="1">{#N/A,#N/A,FALSE,"Aging Summary";#N/A,#N/A,FALSE,"Ratio Analysis";#N/A,#N/A,FALSE,"Test 120 Day Accts";#N/A,#N/A,FALSE,"Tickmarks"}</definedName>
    <definedName name="ew" localSheetId="0" hidden="1">{#N/A,#N/A,FALSE,"Aging Summary";#N/A,#N/A,FALSE,"Ratio Analysis";#N/A,#N/A,FALSE,"Test 120 Day Accts";#N/A,#N/A,FALSE,"Tickmarks"}</definedName>
    <definedName name="ew" hidden="1">{#N/A,#N/A,FALSE,"Aging Summary";#N/A,#N/A,FALSE,"Ratio Analysis";#N/A,#N/A,FALSE,"Test 120 Day Accts";#N/A,#N/A,FALSE,"Tickmarks"}</definedName>
    <definedName name="fdasfa" localSheetId="1" hidden="1">#REF!</definedName>
    <definedName name="fdasfa" localSheetId="0" hidden="1">#REF!</definedName>
    <definedName name="fdasfa" hidden="1">#REF!</definedName>
    <definedName name="ffdsfd" localSheetId="1" hidden="1">{#N/A,#N/A,FALSE,"Aging Summary";#N/A,#N/A,FALSE,"Ratio Analysis";#N/A,#N/A,FALSE,"Test 120 Day Accts";#N/A,#N/A,FALSE,"Tickmarks"}</definedName>
    <definedName name="ffdsfd" localSheetId="0" hidden="1">{#N/A,#N/A,FALSE,"Aging Summary";#N/A,#N/A,FALSE,"Ratio Analysis";#N/A,#N/A,FALSE,"Test 120 Day Accts";#N/A,#N/A,FALSE,"Tickmarks"}</definedName>
    <definedName name="ffdsfd" hidden="1">{#N/A,#N/A,FALSE,"Aging Summary";#N/A,#N/A,FALSE,"Ratio Analysis";#N/A,#N/A,FALSE,"Test 120 Day Accts";#N/A,#N/A,FALSE,"Tickmarks"}</definedName>
    <definedName name="financials2" localSheetId="0" hidden="1">#REF!</definedName>
    <definedName name="financials2" hidden="1">#REF!</definedName>
    <definedName name="grd" localSheetId="1" hidden="1">#REF!</definedName>
    <definedName name="grd" localSheetId="0" hidden="1">#REF!</definedName>
    <definedName name="grd" hidden="1">#REF!</definedName>
    <definedName name="hjsmmmmm" localSheetId="1" hidden="1">#REF!</definedName>
    <definedName name="hjsmmmmm" localSheetId="0" hidden="1">#REF!</definedName>
    <definedName name="hjsmmmmm" hidden="1">#REF!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iiiiiiiiiiiiiiiii" localSheetId="1" hidden="1">#REF!</definedName>
    <definedName name="iuiiiiiiiiiiiiiiiii" localSheetId="0" hidden="1">#REF!</definedName>
    <definedName name="iuiiiiiiiiiiiiiiiii" hidden="1">#REF!</definedName>
    <definedName name="kjk" localSheetId="1" hidden="1">#REF!</definedName>
    <definedName name="kjk" localSheetId="0" hidden="1">#REF!</definedName>
    <definedName name="kjk" hidden="1">#REF!</definedName>
    <definedName name="oo" localSheetId="1" hidden="1">#REF!</definedName>
    <definedName name="oo" localSheetId="0" hidden="1">#REF!</definedName>
    <definedName name="oo" hidden="1">#REF!</definedName>
    <definedName name="Pal_Workbook_GUID" hidden="1">"2865GY71M9U7WNPLS2S5K8DX"</definedName>
    <definedName name="pesetas" localSheetId="1" hidden="1">#REF!</definedName>
    <definedName name="pesetas" localSheetId="0" hidden="1">#REF!</definedName>
    <definedName name="pesetas" hidden="1">#REF!</definedName>
    <definedName name="pppppppppppppppppp" localSheetId="1" hidden="1">#REF!</definedName>
    <definedName name="pppppppppppppppppp" localSheetId="0" hidden="1">#REF!</definedName>
    <definedName name="pppppppppppppppppp" hidden="1">#REF!</definedName>
    <definedName name="ptas" localSheetId="1" hidden="1">#REF!</definedName>
    <definedName name="ptas" localSheetId="0" hidden="1">#REF!</definedName>
    <definedName name="ptas" hidden="1">#REF!</definedName>
    <definedName name="q" localSheetId="1" hidden="1">#REF!</definedName>
    <definedName name="q" localSheetId="0" hidden="1">#REF!</definedName>
    <definedName name="q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100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rrrrrrrrrrrrrrr" localSheetId="1" hidden="1">#REF!</definedName>
    <definedName name="rrrrrrrrrrrrrrrrrrrr" localSheetId="0" hidden="1">#REF!</definedName>
    <definedName name="rrrrrrrrrrrrrrrrrrrr" hidden="1">#REF!</definedName>
    <definedName name="SAPBEXrevision" hidden="1">1</definedName>
    <definedName name="SAPBEXsysID" hidden="1">"MBP"</definedName>
    <definedName name="SAPBEXwbID" hidden="1">"46Q688J21WEVLDQ4L95JCNHP8"</definedName>
    <definedName name="ssss" localSheetId="1" hidden="1">{#N/A,#N/A,FALSE,"Aging Summary";#N/A,#N/A,FALSE,"Ratio Analysis";#N/A,#N/A,FALSE,"Test 120 Day Accts";#N/A,#N/A,FALSE,"Tickmarks"}</definedName>
    <definedName name="ssss" localSheetId="0" hidden="1">{#N/A,#N/A,FALSE,"Aging Summary";#N/A,#N/A,FALSE,"Ratio Analysis";#N/A,#N/A,FALSE,"Test 120 Day Accts";#N/A,#N/A,FALSE,"Tickmarks"}</definedName>
    <definedName name="ssss" hidden="1">{#N/A,#N/A,FALSE,"Aging Summary";#N/A,#N/A,FALSE,"Ratio Analysis";#N/A,#N/A,FALSE,"Test 120 Day Accts";#N/A,#N/A,FALSE,"Tickmarks"}</definedName>
    <definedName name="sssssssssssssssss" localSheetId="0" hidden="1">#REF!</definedName>
    <definedName name="sssssssssssssssss" hidden="1">#REF!</definedName>
    <definedName name="ssssssssssssssssssssssss" localSheetId="0" hidden="1">#REF!</definedName>
    <definedName name="ssssssssssssssssssssssss" hidden="1">#REF!</definedName>
    <definedName name="test" localSheetId="1" hidden="1">{#N/A,#N/A,FALSE,"ROTINA";#N/A,#N/A,FALSE,"ITENS";#N/A,#N/A,FALSE,"ACOMP"}</definedName>
    <definedName name="test" localSheetId="0" hidden="1">{#N/A,#N/A,FALSE,"ROTINA";#N/A,#N/A,FALSE,"ITENS";#N/A,#N/A,FALSE,"ACOMP"}</definedName>
    <definedName name="test" hidden="1">{#N/A,#N/A,FALSE,"ROTINA";#N/A,#N/A,FALSE,"ITENS";#N/A,#N/A,FALSE,"ACOMP"}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tttttttttttttttttttttt" localSheetId="1" hidden="1">#REF!</definedName>
    <definedName name="ttttttttttttttttttttttt" localSheetId="0" hidden="1">#REF!</definedName>
    <definedName name="ttttttttttttttttttttttt" hidden="1">#REF!</definedName>
    <definedName name="uuuuuuuuuuuuuuuuuu" localSheetId="1" hidden="1">#REF!</definedName>
    <definedName name="uuuuuuuuuuuuuuuuuu" localSheetId="0" hidden="1">#REF!</definedName>
    <definedName name="uuuuuuuuuuuuuuuuuu" hidden="1">#REF!</definedName>
    <definedName name="wew" localSheetId="1" hidden="1">{#N/A,#N/A,FALSE,"Aging Summary";#N/A,#N/A,FALSE,"Ratio Analysis";#N/A,#N/A,FALSE,"Test 120 Day Accts";#N/A,#N/A,FALSE,"Tickmarks"}</definedName>
    <definedName name="wew" localSheetId="0" hidden="1">{#N/A,#N/A,FALSE,"Aging Summary";#N/A,#N/A,FALSE,"Ratio Analysis";#N/A,#N/A,FALSE,"Test 120 Day Accts";#N/A,#N/A,FALSE,"Tickmarks"}</definedName>
    <definedName name="wew" hidden="1">{#N/A,#N/A,FALSE,"Aging Summary";#N/A,#N/A,FALSE,"Ratio Analysis";#N/A,#N/A,FALSE,"Test 120 Day Accts";#N/A,#N/A,FALSE,"Tickmarks"}</definedName>
    <definedName name="wmmmm" localSheetId="1" hidden="1">#REF!</definedName>
    <definedName name="wmmmm" localSheetId="0" hidden="1">#REF!</definedName>
    <definedName name="wmmmm" hidden="1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DIRETRIZ." localSheetId="1" hidden="1">{#N/A,#N/A,FALSE,"ROTINA";#N/A,#N/A,FALSE,"ITENS";#N/A,#N/A,FALSE,"ACOMP"}</definedName>
    <definedName name="wrn.DIRETRIZ." localSheetId="0" hidden="1">{#N/A,#N/A,FALSE,"ROTINA";#N/A,#N/A,FALSE,"ITENS";#N/A,#N/A,FALSE,"ACOMP"}</definedName>
    <definedName name="wrn.DIRETRIZ." hidden="1">{#N/A,#N/A,FALSE,"ROTINA";#N/A,#N/A,FALSE,"ITENS";#N/A,#N/A,FALSE,"ACOMP"}</definedName>
    <definedName name="wrn.SEC2." localSheetId="1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rn.SEC2." localSheetId="0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rn.SEC2.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wwwwwwwwwwwww" localSheetId="0" hidden="1">#REF!</definedName>
    <definedName name="wwwwwwwwwwwwww" hidden="1">#REF!</definedName>
    <definedName name="xxx" localSheetId="1" hidden="1">{#N/A,#N/A,FALSE,"Aging Summary";#N/A,#N/A,FALSE,"Ratio Analysis";#N/A,#N/A,FALSE,"Test 120 Day Accts";#N/A,#N/A,FALSE,"Tickmarks"}</definedName>
    <definedName name="xxx" localSheetId="0" hidden="1">{#N/A,#N/A,FALSE,"Aging Summary";#N/A,#N/A,FALSE,"Ratio Analysis";#N/A,#N/A,FALSE,"Test 120 Day Accts";#N/A,#N/A,FALSE,"Tickmarks"}</definedName>
    <definedName name="xxx" hidden="1">{#N/A,#N/A,FALSE,"Aging Summary";#N/A,#N/A,FALSE,"Ratio Analysis";#N/A,#N/A,FALSE,"Test 120 Day Accts";#N/A,#N/A,FALSE,"Tickmarks"}</definedName>
    <definedName name="yyyyyyyyyyyyyyyyyy" localSheetId="0" hidden="1">#REF!</definedName>
    <definedName name="yyyyyyyyyyyyyyyyyy" hidden="1">#REF!</definedName>
    <definedName name="Z_961C41A8_D799_11D5_943C_00104B06CD16_.wvu.Rows" localSheetId="1" hidden="1">#REF!,#REF!,#REF!,#REF!,#REF!,#REF!</definedName>
    <definedName name="Z_961C41A8_D799_11D5_943C_00104B06CD16_.wvu.Rows" localSheetId="0" hidden="1">#REF!,#REF!,#REF!,#REF!,#REF!,#REF!</definedName>
    <definedName name="Z_961C41A8_D799_11D5_943C_00104B06CD16_.wvu.Rows" hidden="1">#REF!,#REF!,#REF!,#REF!,#REF!,#REF!</definedName>
    <definedName name="zzzzzzzzzzz" localSheetId="0" hidden="1">#REF!</definedName>
    <definedName name="zzzzzzzzzzz" hidden="1">#REF!</definedName>
    <definedName name="zzzzzzzzzzzzzzzzzzzzzzzzzzzzz" localSheetId="0" hidden="1">#REF!</definedName>
    <definedName name="zzzzzzzzzzzzzzzzzzzzzzzzzzzzz" hidden="1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40" i="1"/>
  <c r="A41" i="1"/>
  <c r="A49" i="1" l="1"/>
  <c r="A48" i="1"/>
  <c r="D9" i="2" l="1"/>
  <c r="Q9" i="2" l="1"/>
  <c r="I49" i="1"/>
  <c r="I40" i="1"/>
  <c r="I41" i="1"/>
  <c r="I47" i="1"/>
  <c r="I36" i="1"/>
  <c r="I37" i="1"/>
  <c r="I45" i="1"/>
  <c r="I46" i="1"/>
  <c r="I48" i="1"/>
  <c r="I44" i="1"/>
  <c r="I43" i="1"/>
  <c r="I42" i="1"/>
  <c r="I39" i="1"/>
  <c r="I38" i="1"/>
  <c r="AE8" i="2"/>
  <c r="C11" i="2"/>
  <c r="C12" i="2" l="1"/>
  <c r="A42" i="1" l="1"/>
  <c r="A37" i="1"/>
  <c r="A38" i="1"/>
  <c r="A39" i="1"/>
  <c r="A43" i="1"/>
  <c r="A44" i="1"/>
  <c r="A45" i="1"/>
  <c r="A46" i="1"/>
  <c r="A47" i="1"/>
  <c r="A36" i="1"/>
  <c r="Q10" i="2" l="1"/>
  <c r="Q12" i="2" l="1"/>
  <c r="D16" i="1" s="1"/>
  <c r="D15" i="1"/>
  <c r="C8" i="1" l="1"/>
  <c r="C9" i="2" l="1"/>
  <c r="I10" i="2" l="1"/>
  <c r="I9" i="2" l="1"/>
  <c r="I12" i="2" s="1"/>
  <c r="D13" i="1" s="1"/>
  <c r="H10" i="2"/>
  <c r="H44" i="1" l="1"/>
  <c r="H43" i="1"/>
  <c r="H45" i="1"/>
  <c r="H42" i="1"/>
  <c r="H9" i="2"/>
  <c r="H12" i="2" l="1"/>
  <c r="D30" i="1" l="1"/>
  <c r="D28" i="1"/>
  <c r="D27" i="1"/>
  <c r="D26" i="1"/>
  <c r="D25" i="1"/>
  <c r="D22" i="1"/>
  <c r="J40" i="1" s="1"/>
  <c r="D21" i="1"/>
  <c r="J41" i="1" s="1"/>
  <c r="X12" i="2"/>
  <c r="N45" i="1" l="1"/>
  <c r="N44" i="1"/>
  <c r="N47" i="1"/>
  <c r="N41" i="1"/>
  <c r="N43" i="1"/>
  <c r="N36" i="1"/>
  <c r="N48" i="1"/>
  <c r="N42" i="1"/>
  <c r="N46" i="1"/>
  <c r="N38" i="1"/>
  <c r="N39" i="1"/>
  <c r="N40" i="1"/>
  <c r="N49" i="1"/>
  <c r="N37" i="1"/>
  <c r="P41" i="1"/>
  <c r="P40" i="1"/>
  <c r="J49" i="1"/>
  <c r="J48" i="1"/>
  <c r="P49" i="1"/>
  <c r="P48" i="1"/>
  <c r="J42" i="1"/>
  <c r="K42" i="1" s="1"/>
  <c r="P46" i="1"/>
  <c r="P47" i="1"/>
  <c r="J46" i="1"/>
  <c r="J47" i="1"/>
  <c r="P36" i="1" l="1"/>
  <c r="J36" i="1"/>
  <c r="D12" i="1" l="1"/>
  <c r="H40" i="1" l="1"/>
  <c r="K40" i="1" s="1"/>
  <c r="H41" i="1"/>
  <c r="K41" i="1" s="1"/>
  <c r="H48" i="1"/>
  <c r="K48" i="1" s="1"/>
  <c r="H49" i="1"/>
  <c r="K49" i="1" s="1"/>
  <c r="H39" i="1"/>
  <c r="H46" i="1"/>
  <c r="K46" i="1" s="1"/>
  <c r="H36" i="1"/>
  <c r="K36" i="1" s="1"/>
  <c r="H37" i="1"/>
  <c r="H47" i="1"/>
  <c r="K47" i="1" s="1"/>
  <c r="H38" i="1"/>
  <c r="P39" i="1"/>
  <c r="M41" i="1" l="1"/>
  <c r="M40" i="1"/>
  <c r="M49" i="1"/>
  <c r="M48" i="1"/>
  <c r="J39" i="1"/>
  <c r="K39" i="1" s="1"/>
  <c r="J45" i="1" l="1"/>
  <c r="K45" i="1" s="1"/>
  <c r="P45" i="1"/>
  <c r="P43" i="1"/>
  <c r="J43" i="1"/>
  <c r="K43" i="1" s="1"/>
  <c r="P44" i="1"/>
  <c r="P42" i="1"/>
  <c r="P38" i="1"/>
  <c r="P37" i="1"/>
  <c r="J38" i="1" l="1"/>
  <c r="K38" i="1" s="1"/>
  <c r="J37" i="1" l="1"/>
  <c r="K37" i="1" s="1"/>
  <c r="E29" i="1" l="1"/>
  <c r="J44" i="1"/>
  <c r="K44" i="1" s="1"/>
  <c r="O48" i="1" l="1"/>
  <c r="O40" i="1"/>
  <c r="Q40" i="1" s="1"/>
  <c r="R40" i="1" s="1"/>
  <c r="T40" i="1" s="1"/>
  <c r="O49" i="1"/>
  <c r="O41" i="1"/>
  <c r="Q41" i="1" s="1"/>
  <c r="R41" i="1" s="1"/>
  <c r="T41" i="1" s="1"/>
  <c r="Q49" i="1" l="1"/>
  <c r="R49" i="1" s="1"/>
  <c r="T49" i="1" s="1"/>
  <c r="Q48" i="1"/>
  <c r="R48" i="1" s="1"/>
  <c r="T48" i="1" s="1"/>
  <c r="M43" i="1"/>
  <c r="O43" i="1" s="1"/>
  <c r="M45" i="1"/>
  <c r="M44" i="1"/>
  <c r="M42" i="1"/>
  <c r="O42" i="1" s="1"/>
  <c r="M38" i="1"/>
  <c r="O38" i="1" s="1"/>
  <c r="M36" i="1"/>
  <c r="O36" i="1" s="1"/>
  <c r="M37" i="1"/>
  <c r="M39" i="1"/>
  <c r="O39" i="1" s="1"/>
  <c r="O44" i="1" l="1"/>
  <c r="O45" i="1"/>
  <c r="O37" i="1"/>
  <c r="Q37" i="1" s="1"/>
  <c r="Q36" i="1"/>
  <c r="R36" i="1" s="1"/>
  <c r="Q39" i="1"/>
  <c r="R39" i="1" s="1"/>
  <c r="Q38" i="1"/>
  <c r="R38" i="1" s="1"/>
  <c r="M47" i="1"/>
  <c r="O47" i="1" s="1"/>
  <c r="M46" i="1"/>
  <c r="O46" i="1" s="1"/>
  <c r="Q44" i="1" l="1"/>
  <c r="R44" i="1" s="1"/>
  <c r="T44" i="1" s="1"/>
  <c r="Q42" i="1"/>
  <c r="R42" i="1" s="1"/>
  <c r="T42" i="1" s="1"/>
  <c r="Q43" i="1"/>
  <c r="R43" i="1" s="1"/>
  <c r="Q45" i="1"/>
  <c r="R45" i="1" s="1"/>
  <c r="T45" i="1" s="1"/>
  <c r="Q47" i="1"/>
  <c r="R47" i="1" s="1"/>
  <c r="T47" i="1" s="1"/>
  <c r="Q46" i="1"/>
  <c r="R46" i="1" s="1"/>
  <c r="T39" i="1"/>
  <c r="T38" i="1"/>
  <c r="T36" i="1"/>
  <c r="R37" i="1"/>
  <c r="T43" i="1" l="1"/>
  <c r="T46" i="1"/>
  <c r="T37" i="1"/>
</calcChain>
</file>

<file path=xl/sharedStrings.xml><?xml version="1.0" encoding="utf-8"?>
<sst xmlns="http://schemas.openxmlformats.org/spreadsheetml/2006/main" count="186" uniqueCount="99">
  <si>
    <t>PR</t>
  </si>
  <si>
    <t>CC</t>
  </si>
  <si>
    <t>Flete</t>
  </si>
  <si>
    <t>DDP</t>
  </si>
  <si>
    <t>CLIENTE</t>
  </si>
  <si>
    <t>ABI</t>
  </si>
  <si>
    <t>PAÍS :</t>
  </si>
  <si>
    <t>República Dominicana</t>
  </si>
  <si>
    <t xml:space="preserve">PERÍODO : </t>
  </si>
  <si>
    <t xml:space="preserve">Actualización: </t>
  </si>
  <si>
    <t>Mensual</t>
  </si>
  <si>
    <t>Costos de Resina USD/TM</t>
  </si>
  <si>
    <t xml:space="preserve">Virgin Resin Price DDP </t>
  </si>
  <si>
    <t>El Salvador</t>
  </si>
  <si>
    <t>Perú</t>
  </si>
  <si>
    <t>RPET Price DDP (Perú)</t>
  </si>
  <si>
    <t>RPET Price DDP (El Salvador)</t>
  </si>
  <si>
    <t xml:space="preserve"> </t>
  </si>
  <si>
    <t>Merma</t>
  </si>
  <si>
    <t>Costos Logisticos de Preforma</t>
  </si>
  <si>
    <t>Seguro Maritimo (%)</t>
  </si>
  <si>
    <t>Gastos de Internación (USD/Contenedor)</t>
  </si>
  <si>
    <t>Flete al Almacén (USD/Camión)</t>
  </si>
  <si>
    <t>Gastos de Almacenaje (USD/caja)</t>
  </si>
  <si>
    <t>Recepción y despacho (USD/Caja)</t>
  </si>
  <si>
    <t>Gastos Financieros (Tasa Anual)</t>
  </si>
  <si>
    <t>Flete al Planta Cliente (USD/Caja)</t>
  </si>
  <si>
    <t>Seguro Terreste (%)</t>
  </si>
  <si>
    <t>x</t>
  </si>
  <si>
    <t>Base</t>
  </si>
  <si>
    <t>Preform Weight SMI (g)</t>
  </si>
  <si>
    <t>Colors</t>
  </si>
  <si>
    <t>Neck Finish SMI</t>
  </si>
  <si>
    <t>%rPET</t>
  </si>
  <si>
    <t>Preform Origin</t>
  </si>
  <si>
    <t>Incoterm</t>
  </si>
  <si>
    <t>Resin Price   USD/Thousand</t>
  </si>
  <si>
    <t>Non Resin Price (ExW)   USD/Thousand</t>
  </si>
  <si>
    <t>Maritime Freight   USD/Thousand</t>
  </si>
  <si>
    <t>Maritime Insurance, expenses of internalization, internal freight to SMI warehouse (USD/Thousand)</t>
  </si>
  <si>
    <t>Storage costs (USD/Thousand)</t>
  </si>
  <si>
    <t>Financial expenses for 30 days of stock in stock (USD/Thousand)</t>
  </si>
  <si>
    <t>Freight to the ABI plant - Hato Nuevo (USD/Thousand)</t>
  </si>
  <si>
    <t>Terrestrial insurance (USD/Thousand)</t>
  </si>
  <si>
    <t>Total expenses to DDP -  Hato Nuevo (USD/Thousand)</t>
  </si>
  <si>
    <t>Total Price (DDP)   USD/Thousand</t>
  </si>
  <si>
    <t>Millares/
Caja</t>
  </si>
  <si>
    <t>Cajas/
Contenedor</t>
  </si>
  <si>
    <t>PLATA</t>
  </si>
  <si>
    <t>CFR</t>
  </si>
  <si>
    <t>CRISTAL</t>
  </si>
  <si>
    <t>AMBAR</t>
  </si>
  <si>
    <t>VERDE</t>
  </si>
  <si>
    <t>HOJA DE INPUTS</t>
  </si>
  <si>
    <t>1. vPET</t>
  </si>
  <si>
    <t>1.2 Fletes Marítimos Internacionales:</t>
  </si>
  <si>
    <t>2. Resina Reciclada</t>
  </si>
  <si>
    <t>3. Costos Logisticos de Preforma</t>
  </si>
  <si>
    <t>4. IPC</t>
  </si>
  <si>
    <t>1.1 Indice de precios de resina</t>
  </si>
  <si>
    <t>Indices Fletes Maritimos Drewry</t>
  </si>
  <si>
    <t>Fuente:</t>
  </si>
  <si>
    <t>U.S. BLS</t>
  </si>
  <si>
    <t>Índice:</t>
  </si>
  <si>
    <t>Inventario Final</t>
  </si>
  <si>
    <t>CPI for All Urban Consumers (CPI-U)</t>
  </si>
  <si>
    <t>AÑO</t>
  </si>
  <si>
    <t>MES</t>
  </si>
  <si>
    <t>ICIS - ASIA SE - Low</t>
  </si>
  <si>
    <t>Central China (Shanghai) to El Salvador (Acajutla)</t>
  </si>
  <si>
    <t>Mes</t>
  </si>
  <si>
    <t>Precio Paca</t>
  </si>
  <si>
    <t>IPC USA</t>
  </si>
  <si>
    <t>*ACTUALIZAR A LP:</t>
  </si>
  <si>
    <t>USD/TM</t>
  </si>
  <si>
    <t>Flete (USD/TM)</t>
  </si>
  <si>
    <t>USD / TM</t>
  </si>
  <si>
    <t>IPC</t>
  </si>
  <si>
    <t>Inflación acum</t>
  </si>
  <si>
    <t>2024-6</t>
  </si>
  <si>
    <t>PERIODO</t>
  </si>
  <si>
    <t>MES INICIAL</t>
  </si>
  <si>
    <t>Scrap</t>
  </si>
  <si>
    <t>Actual</t>
  </si>
  <si>
    <t>Actualizar en Ene-26, con CPI Nov-25</t>
  </si>
  <si>
    <t>Precio FOB</t>
  </si>
  <si>
    <t>Central China (Shanghai) to Peru (Callao)</t>
  </si>
  <si>
    <t>Conversión</t>
  </si>
  <si>
    <t>Flete marítimo</t>
  </si>
  <si>
    <t>Precio rPET</t>
  </si>
  <si>
    <t>Validez Inicial</t>
  </si>
  <si>
    <t>Nacionalización (%)</t>
  </si>
  <si>
    <t>Validez Final</t>
  </si>
  <si>
    <t>Precio DDP</t>
  </si>
  <si>
    <t>Precio rPET ES</t>
  </si>
  <si>
    <t>Merma sobre precio DDP</t>
  </si>
  <si>
    <t>Total CFR -  Caucedo (USD/Thousand)</t>
  </si>
  <si>
    <t>2025-11</t>
  </si>
  <si>
    <t>2026-2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</si>
</sst>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#,##0_)_%;_(\(#,##0\)_%;_(&quot;–&quot;_)_%;@_(_%"/>
    <numFmt numFmtId="167" formatCode="0.0%"/>
    <numFmt numFmtId="168" formatCode="_-* #,##0.00\ _€_-;\-* #,##0.00\ _€_-;_-* &quot;-&quot;??\ _€_-;_-@_-"/>
    <numFmt numFmtId="169" formatCode="0.0"/>
    <numFmt numFmtId="170" formatCode="_ * #,##0.00_ ;_ * \-#,##0.00_ ;_ * &quot;-&quot;??_ ;_ @_ "/>
    <numFmt numFmtId="171" formatCode="_-* #,##0.00\ _P_t_s_-;\-* #,##0.00\ _P_t_s_-;_-* &quot;-&quot;??\ _P_t_s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0"/>
      <color theme="1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10"/>
      <name val="Century Gothic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164" fontId="1" fillId="0" borderId="0" applyFont="0" applyFill="0" applyBorder="0" applyAlignment="0" applyProtection="0"/>
    <xf numFmtId="0" fontId="24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8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171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/>
  </cellStyleXfs>
  <cellXfs count="14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0" fontId="8" fillId="4" borderId="5" xfId="0" applyFont="1" applyFill="1" applyBorder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43" fontId="0" fillId="0" borderId="0" xfId="0" applyNumberFormat="1"/>
    <xf numFmtId="0" fontId="12" fillId="0" borderId="0" xfId="4"/>
    <xf numFmtId="0" fontId="6" fillId="0" borderId="0" xfId="0" applyFont="1"/>
    <xf numFmtId="167" fontId="7" fillId="0" borderId="0" xfId="0" applyNumberFormat="1" applyFont="1"/>
    <xf numFmtId="9" fontId="0" fillId="0" borderId="0" xfId="0" applyNumberFormat="1"/>
    <xf numFmtId="10" fontId="0" fillId="0" borderId="0" xfId="0" applyNumberFormat="1"/>
    <xf numFmtId="10" fontId="0" fillId="3" borderId="2" xfId="1" applyNumberFormat="1" applyFont="1" applyFill="1" applyBorder="1"/>
    <xf numFmtId="43" fontId="13" fillId="3" borderId="2" xfId="0" applyNumberFormat="1" applyFont="1" applyFill="1" applyBorder="1"/>
    <xf numFmtId="0" fontId="8" fillId="0" borderId="5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43" fontId="11" fillId="0" borderId="5" xfId="5" applyNumberFormat="1" applyFont="1" applyFill="1" applyBorder="1" applyAlignment="1">
      <alignment horizontal="center" vertical="center" wrapText="1"/>
    </xf>
    <xf numFmtId="43" fontId="14" fillId="0" borderId="0" xfId="5" applyNumberFormat="1" applyFont="1" applyFill="1"/>
    <xf numFmtId="43" fontId="11" fillId="0" borderId="6" xfId="5" applyNumberFormat="1" applyFont="1" applyFill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7" fontId="0" fillId="0" borderId="0" xfId="0" applyNumberFormat="1"/>
    <xf numFmtId="4" fontId="0" fillId="0" borderId="0" xfId="0" applyNumberFormat="1" applyAlignment="1">
      <alignment horizontal="center"/>
    </xf>
    <xf numFmtId="43" fontId="13" fillId="8" borderId="2" xfId="0" applyNumberFormat="1" applyFont="1" applyFill="1" applyBorder="1"/>
    <xf numFmtId="168" fontId="0" fillId="0" borderId="0" xfId="0" applyNumberFormat="1" applyAlignment="1">
      <alignment horizontal="center"/>
    </xf>
    <xf numFmtId="43" fontId="0" fillId="0" borderId="0" xfId="5" applyNumberFormat="1" applyFont="1" applyAlignment="1">
      <alignment horizontal="center"/>
    </xf>
    <xf numFmtId="169" fontId="15" fillId="0" borderId="0" xfId="0" applyNumberFormat="1" applyFont="1" applyAlignment="1">
      <alignment horizontal="center" vertical="center"/>
    </xf>
    <xf numFmtId="43" fontId="16" fillId="0" borderId="0" xfId="5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 readingOrder="1"/>
    </xf>
    <xf numFmtId="0" fontId="0" fillId="0" borderId="9" xfId="0" applyBorder="1"/>
    <xf numFmtId="43" fontId="8" fillId="0" borderId="9" xfId="0" applyNumberFormat="1" applyFont="1" applyBorder="1" applyAlignment="1">
      <alignment horizontal="center" readingOrder="1"/>
    </xf>
    <xf numFmtId="0" fontId="10" fillId="0" borderId="9" xfId="0" applyFont="1" applyBorder="1" applyAlignment="1">
      <alignment horizontal="center" readingOrder="1"/>
    </xf>
    <xf numFmtId="1" fontId="8" fillId="0" borderId="9" xfId="0" applyNumberFormat="1" applyFont="1" applyBorder="1" applyAlignment="1">
      <alignment horizontal="center" readingOrder="1"/>
    </xf>
    <xf numFmtId="9" fontId="10" fillId="0" borderId="9" xfId="1" applyFont="1" applyBorder="1" applyAlignment="1">
      <alignment horizontal="center" readingOrder="1"/>
    </xf>
    <xf numFmtId="43" fontId="8" fillId="6" borderId="9" xfId="5" applyNumberFormat="1" applyFont="1" applyFill="1" applyBorder="1" applyAlignment="1">
      <alignment horizontal="center"/>
    </xf>
    <xf numFmtId="43" fontId="8" fillId="0" borderId="9" xfId="5" applyNumberFormat="1" applyFont="1" applyBorder="1" applyAlignment="1">
      <alignment horizontal="center" readingOrder="1"/>
    </xf>
    <xf numFmtId="43" fontId="8" fillId="6" borderId="9" xfId="5" applyNumberFormat="1" applyFont="1" applyFill="1" applyBorder="1" applyAlignment="1">
      <alignment horizontal="center" readingOrder="1"/>
    </xf>
    <xf numFmtId="0" fontId="10" fillId="0" borderId="9" xfId="0" applyFont="1" applyBorder="1" applyAlignment="1">
      <alignment horizontal="center" wrapText="1" readingOrder="1"/>
    </xf>
    <xf numFmtId="1" fontId="8" fillId="0" borderId="9" xfId="0" applyNumberFormat="1" applyFont="1" applyBorder="1" applyAlignment="1">
      <alignment horizontal="center" wrapText="1" readingOrder="1"/>
    </xf>
    <xf numFmtId="43" fontId="11" fillId="0" borderId="9" xfId="0" applyNumberFormat="1" applyFont="1" applyBorder="1" applyAlignment="1">
      <alignment horizontal="center" wrapText="1" readingOrder="1"/>
    </xf>
    <xf numFmtId="9" fontId="10" fillId="0" borderId="9" xfId="1" applyFont="1" applyBorder="1" applyAlignment="1">
      <alignment horizontal="center" wrapText="1" readingOrder="1"/>
    </xf>
    <xf numFmtId="0" fontId="2" fillId="2" borderId="9" xfId="0" applyFont="1" applyFill="1" applyBorder="1"/>
    <xf numFmtId="166" fontId="5" fillId="2" borderId="9" xfId="0" applyNumberFormat="1" applyFont="1" applyFill="1" applyBorder="1" applyAlignment="1">
      <alignment horizontal="center" vertical="center"/>
    </xf>
    <xf numFmtId="165" fontId="2" fillId="2" borderId="9" xfId="5" applyNumberFormat="1" applyFont="1" applyFill="1" applyBorder="1"/>
    <xf numFmtId="0" fontId="18" fillId="0" borderId="9" xfId="0" applyFont="1" applyBorder="1" applyAlignment="1">
      <alignment horizontal="left"/>
    </xf>
    <xf numFmtId="14" fontId="18" fillId="0" borderId="9" xfId="5" quotePrefix="1" applyNumberFormat="1" applyFont="1" applyBorder="1" applyAlignment="1">
      <alignment horizontal="center"/>
    </xf>
    <xf numFmtId="0" fontId="18" fillId="0" borderId="9" xfId="0" applyFont="1" applyBorder="1"/>
    <xf numFmtId="164" fontId="17" fillId="0" borderId="9" xfId="5" applyFont="1" applyBorder="1" applyAlignment="1">
      <alignment horizontal="center"/>
    </xf>
    <xf numFmtId="14" fontId="17" fillId="0" borderId="9" xfId="5" quotePrefix="1" applyNumberFormat="1" applyFont="1" applyBorder="1" applyAlignment="1">
      <alignment horizontal="center"/>
    </xf>
    <xf numFmtId="0" fontId="2" fillId="3" borderId="9" xfId="0" applyFont="1" applyFill="1" applyBorder="1"/>
    <xf numFmtId="43" fontId="0" fillId="3" borderId="9" xfId="0" applyNumberFormat="1" applyFill="1" applyBorder="1"/>
    <xf numFmtId="167" fontId="7" fillId="0" borderId="9" xfId="0" applyNumberFormat="1" applyFont="1" applyBorder="1"/>
    <xf numFmtId="0" fontId="9" fillId="10" borderId="9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 readingOrder="1"/>
    </xf>
    <xf numFmtId="43" fontId="0" fillId="0" borderId="9" xfId="5" applyNumberFormat="1" applyFont="1" applyBorder="1"/>
    <xf numFmtId="0" fontId="22" fillId="11" borderId="0" xfId="0" applyFont="1" applyFill="1" applyAlignment="1">
      <alignment vertical="center"/>
    </xf>
    <xf numFmtId="0" fontId="21" fillId="11" borderId="0" xfId="0" applyFont="1" applyFill="1" applyAlignment="1">
      <alignment vertical="center"/>
    </xf>
    <xf numFmtId="0" fontId="22" fillId="11" borderId="12" xfId="0" applyFont="1" applyFill="1" applyBorder="1" applyAlignment="1">
      <alignment vertical="center"/>
    </xf>
    <xf numFmtId="0" fontId="2" fillId="0" borderId="0" xfId="0" applyFont="1"/>
    <xf numFmtId="0" fontId="23" fillId="11" borderId="0" xfId="0" applyFont="1" applyFill="1" applyAlignment="1">
      <alignment vertical="center"/>
    </xf>
    <xf numFmtId="0" fontId="23" fillId="11" borderId="12" xfId="0" applyFont="1" applyFill="1" applyBorder="1" applyAlignment="1">
      <alignment vertical="center"/>
    </xf>
    <xf numFmtId="0" fontId="21" fillId="11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4" borderId="12" xfId="6" applyFont="1" applyFill="1" applyBorder="1" applyAlignment="1">
      <alignment horizontal="center" vertical="center"/>
    </xf>
    <xf numFmtId="0" fontId="18" fillId="14" borderId="9" xfId="6" applyFont="1" applyFill="1" applyBorder="1" applyAlignment="1">
      <alignment horizontal="left" vertical="center"/>
    </xf>
    <xf numFmtId="4" fontId="18" fillId="0" borderId="9" xfId="6" applyNumberFormat="1" applyFont="1" applyBorder="1" applyAlignment="1">
      <alignment horizontal="center" vertical="center"/>
    </xf>
    <xf numFmtId="0" fontId="2" fillId="7" borderId="0" xfId="0" applyFont="1" applyFill="1"/>
    <xf numFmtId="164" fontId="18" fillId="0" borderId="12" xfId="6" applyNumberFormat="1" applyFont="1" applyBorder="1" applyAlignment="1">
      <alignment horizontal="left" vertical="center"/>
    </xf>
    <xf numFmtId="0" fontId="18" fillId="7" borderId="9" xfId="6" applyFont="1" applyFill="1" applyBorder="1" applyAlignment="1">
      <alignment horizontal="left" vertical="center"/>
    </xf>
    <xf numFmtId="164" fontId="17" fillId="0" borderId="12" xfId="6" applyNumberFormat="1" applyFont="1" applyBorder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0" fontId="1" fillId="3" borderId="2" xfId="1" applyNumberFormat="1" applyFont="1" applyFill="1" applyBorder="1"/>
    <xf numFmtId="0" fontId="2" fillId="0" borderId="0" xfId="4" applyFont="1"/>
    <xf numFmtId="0" fontId="1" fillId="0" borderId="0" xfId="4" applyFont="1"/>
    <xf numFmtId="0" fontId="1" fillId="0" borderId="12" xfId="4" applyFont="1" applyBorder="1"/>
    <xf numFmtId="164" fontId="17" fillId="0" borderId="9" xfId="5" applyFont="1" applyBorder="1" applyAlignment="1">
      <alignment horizontal="left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17" fontId="2" fillId="0" borderId="2" xfId="0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4" fontId="2" fillId="7" borderId="2" xfId="0" applyNumberFormat="1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4" fontId="0" fillId="14" borderId="0" xfId="8" applyFont="1" applyFill="1" applyBorder="1" applyAlignment="1">
      <alignment vertical="center"/>
    </xf>
    <xf numFmtId="0" fontId="0" fillId="0" borderId="12" xfId="0" applyBorder="1"/>
    <xf numFmtId="0" fontId="0" fillId="0" borderId="0" xfId="0" applyAlignment="1">
      <alignment vertical="center"/>
    </xf>
    <xf numFmtId="164" fontId="0" fillId="0" borderId="0" xfId="7" applyFon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64" fontId="0" fillId="0" borderId="12" xfId="7" applyFont="1" applyBorder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0" fontId="29" fillId="0" borderId="0" xfId="4" applyFont="1" applyAlignment="1">
      <alignment vertical="center"/>
    </xf>
    <xf numFmtId="17" fontId="0" fillId="14" borderId="0" xfId="0" applyNumberFormat="1" applyFill="1" applyAlignment="1">
      <alignment horizontal="center" vertical="center"/>
    </xf>
    <xf numFmtId="17" fontId="0" fillId="14" borderId="0" xfId="0" applyNumberFormat="1" applyFill="1" applyAlignment="1">
      <alignment vertical="center"/>
    </xf>
    <xf numFmtId="0" fontId="28" fillId="0" borderId="0" xfId="10"/>
    <xf numFmtId="0" fontId="28" fillId="0" borderId="12" xfId="10" applyBorder="1"/>
    <xf numFmtId="0" fontId="18" fillId="9" borderId="0" xfId="6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17" fontId="2" fillId="13" borderId="13" xfId="0" applyNumberFormat="1" applyFont="1" applyFill="1" applyBorder="1" applyAlignment="1">
      <alignment horizontal="center" vertical="center"/>
    </xf>
    <xf numFmtId="4" fontId="2" fillId="1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0" fillId="13" borderId="0" xfId="11" applyNumberFormat="1" applyFont="1" applyFill="1" applyBorder="1" applyAlignment="1">
      <alignment vertical="center"/>
    </xf>
    <xf numFmtId="170" fontId="2" fillId="7" borderId="9" xfId="9" applyFont="1" applyFill="1" applyBorder="1"/>
    <xf numFmtId="0" fontId="31" fillId="0" borderId="0" xfId="0" applyFont="1"/>
    <xf numFmtId="0" fontId="32" fillId="0" borderId="12" xfId="0" applyFont="1" applyBorder="1"/>
    <xf numFmtId="14" fontId="22" fillId="11" borderId="0" xfId="0" applyNumberFormat="1" applyFont="1" applyFill="1" applyAlignment="1">
      <alignment vertical="center"/>
    </xf>
    <xf numFmtId="0" fontId="2" fillId="0" borderId="9" xfId="0" applyFont="1" applyBorder="1" applyAlignment="1">
      <alignment horizontal="center" wrapText="1"/>
    </xf>
    <xf numFmtId="10" fontId="2" fillId="0" borderId="9" xfId="0" applyNumberFormat="1" applyFont="1" applyBorder="1" applyAlignment="1">
      <alignment horizontal="center" vertical="center"/>
    </xf>
    <xf numFmtId="164" fontId="0" fillId="0" borderId="0" xfId="6" applyNumberFormat="1" applyFont="1" applyAlignment="1">
      <alignment horizontal="left" vertical="center"/>
    </xf>
    <xf numFmtId="0" fontId="18" fillId="0" borderId="0" xfId="6" applyFont="1" applyAlignment="1">
      <alignment horizontal="left"/>
    </xf>
    <xf numFmtId="0" fontId="2" fillId="0" borderId="0" xfId="6" applyFont="1" applyAlignment="1">
      <alignment horizontal="left"/>
    </xf>
    <xf numFmtId="0" fontId="33" fillId="0" borderId="0" xfId="18" applyAlignment="1">
      <alignment vertical="center"/>
    </xf>
    <xf numFmtId="0" fontId="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4" fillId="9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0" fontId="35" fillId="0" borderId="0" xfId="19" applyFont="1" applyAlignment="1">
      <alignment horizontal="right" vertical="center"/>
    </xf>
    <xf numFmtId="43" fontId="28" fillId="13" borderId="0" xfId="12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10" fontId="2" fillId="7" borderId="0" xfId="1" applyNumberFormat="1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0" borderId="9" xfId="0" applyBorder="1" applyAlignment="1">
      <alignment wrapText="1"/>
    </xf>
    <xf numFmtId="4" fontId="0" fillId="0" borderId="9" xfId="6" applyNumberFormat="1" applyFont="1" applyBorder="1" applyAlignment="1">
      <alignment horizontal="center" vertical="center"/>
    </xf>
    <xf numFmtId="164" fontId="0" fillId="13" borderId="0" xfId="11" applyNumberFormat="1" applyFont="1" applyFill="1" applyAlignment="1">
      <alignment vertical="center"/>
    </xf>
    <xf numFmtId="0" fontId="36" fillId="0" borderId="0" xfId="4" applyFont="1"/>
    <xf numFmtId="0" fontId="17" fillId="0" borderId="9" xfId="6" applyFont="1" applyBorder="1" applyAlignment="1">
      <alignment horizontal="left" vertical="center"/>
    </xf>
    <xf numFmtId="43" fontId="8" fillId="0" borderId="9" xfId="5" applyNumberFormat="1" applyFont="1" applyFill="1" applyBorder="1" applyAlignment="1">
      <alignment horizontal="center"/>
    </xf>
    <xf numFmtId="0" fontId="22" fillId="0" borderId="0" xfId="0" applyFont="1"/>
    <xf numFmtId="0" fontId="6" fillId="9" borderId="9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70" fontId="37" fillId="15" borderId="9" xfId="9" applyFont="1" applyFill="1" applyBorder="1"/>
  </cellXfs>
  <cellStyles count="20">
    <cellStyle name="Comma" xfId="5" xr:uid="{5491E4C2-0517-41A0-A222-CC4155607C47}"/>
    <cellStyle name="Comma 2 2" xfId="8" xr:uid="{BB45E1C0-BB81-4632-988C-FF8C05F537C6}"/>
    <cellStyle name="Hyperlink" xfId="18" builtinId="8"/>
    <cellStyle name="Millares 10 2" xfId="2" xr:uid="{00000000-0005-0000-0000-000001000000}"/>
    <cellStyle name="Millares 2" xfId="3" xr:uid="{E6BC17F1-FA95-4984-9424-9095B9DFA2D7}"/>
    <cellStyle name="Millares 2 2" xfId="16" xr:uid="{43C1D5D5-2852-4552-9B26-2FB0617B142E}"/>
    <cellStyle name="Millares 2 2 2" xfId="12" xr:uid="{E3C1095C-2DE3-4DF4-A4F9-6EFD0ACBB60C}"/>
    <cellStyle name="Millares 2 2 2 4" xfId="17" xr:uid="{DF382118-35AD-4773-B1A6-7DCA348D2532}"/>
    <cellStyle name="Millares 2 3" xfId="9" xr:uid="{12FE5174-7176-426B-AC2A-E7E91F91D98B}"/>
    <cellStyle name="Millares 3" xfId="11" xr:uid="{151AC7BA-2AF5-40E1-A200-5B0E78AF5F10}"/>
    <cellStyle name="Millares 3 4" xfId="7" xr:uid="{FED95AFD-7ABE-4224-9810-8EC415AFA366}"/>
    <cellStyle name="Millares 4" xfId="14" xr:uid="{18D562E1-5E65-43D0-B08A-E3B7BC297A95}"/>
    <cellStyle name="Normal" xfId="0" builtinId="0"/>
    <cellStyle name="Normal 2" xfId="10" xr:uid="{AEBF89E8-9FFD-4C40-AF87-2900D5AAADAA}"/>
    <cellStyle name="Normal 2 3 7" xfId="6" xr:uid="{E27013AF-C634-4A79-B81B-ACAB274FA0C1}"/>
    <cellStyle name="Normal 3" xfId="4" xr:uid="{A7C03C29-8695-4240-B476-57D6EFFFD0CF}"/>
    <cellStyle name="Normal 3 2" xfId="13" xr:uid="{7007D690-EC6B-49D2-B34D-2A621586ED0D}"/>
    <cellStyle name="Normal 3 3" xfId="15" xr:uid="{C4896739-F4A5-4249-ACFB-B86272F4C73D}"/>
    <cellStyle name="Normal 3 4" xfId="19" xr:uid="{8DA92420-2597-4907-A84D-18BB0E7C0283}"/>
    <cellStyle name="Percent" xfId="1" builtinId="5"/>
  </cellStyles>
  <dxfs count="0"/>
  <tableStyles count="1" defaultTableStyle="TableStyleMedium2" defaultPivotStyle="PivotStyleLight16">
    <tableStyle name="Invisible" pivot="0" table="0" count="0" xr9:uid="{A28F6DD8-7049-41BF-8BF3-30F6AC84C98B}"/>
  </tableStyles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168656</xdr:rowOff>
    </xdr:from>
    <xdr:to>
      <xdr:col>1</xdr:col>
      <xdr:colOff>931076</xdr:colOff>
      <xdr:row>4</xdr:row>
      <xdr:rowOff>73769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2EA6DE-A5AF-487F-8148-DF2517B4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5001" y="168656"/>
          <a:ext cx="1041475" cy="521970"/>
        </a:xfrm>
        <a:prstGeom prst="rect">
          <a:avLst/>
        </a:prstGeom>
      </xdr:spPr>
    </xdr:pic>
    <xdr:clientData/>
  </xdr:twoCellAnchor>
  <xdr:twoCellAnchor editAs="oneCell">
    <xdr:from>
      <xdr:col>2</xdr:col>
      <xdr:colOff>244929</xdr:colOff>
      <xdr:row>2</xdr:row>
      <xdr:rowOff>6731</xdr:rowOff>
    </xdr:from>
    <xdr:to>
      <xdr:col>3</xdr:col>
      <xdr:colOff>438009</xdr:colOff>
      <xdr:row>4</xdr:row>
      <xdr:rowOff>28485</xdr:rowOff>
    </xdr:to>
    <xdr:pic>
      <xdr:nvPicPr>
        <xdr:cNvPr id="4" name="Imagen 3" descr="Cervecería Nacional Dominicana - Revista Factor de Éxito">
          <a:extLst>
            <a:ext uri="{FF2B5EF4-FFF2-40B4-BE49-F238E27FC236}">
              <a16:creationId xmlns:a16="http://schemas.microsoft.com/office/drawing/2014/main" id="{D8FCA960-FFAD-CBD6-E885-BC25D6B1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4643" y="188160"/>
          <a:ext cx="1412801" cy="45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342900</xdr:colOff>
      <xdr:row>9</xdr:row>
      <xdr:rowOff>152400</xdr:rowOff>
    </xdr:from>
    <xdr:to>
      <xdr:col>37</xdr:col>
      <xdr:colOff>510885</xdr:colOff>
      <xdr:row>29</xdr:row>
      <xdr:rowOff>173236</xdr:rowOff>
    </xdr:to>
    <xdr:pic>
      <xdr:nvPicPr>
        <xdr:cNvPr id="7" name="Imagen 1">
          <a:extLst>
            <a:ext uri="{FF2B5EF4-FFF2-40B4-BE49-F238E27FC236}">
              <a16:creationId xmlns:a16="http://schemas.microsoft.com/office/drawing/2014/main" id="{FC8C9AD6-26DD-E6AD-7A58-3327CDE17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84600" y="2066925"/>
          <a:ext cx="7020905" cy="3696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ls.gov/cpi/tables/supplemental-fi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B53"/>
  <sheetViews>
    <sheetView showGridLines="0" zoomScale="80" zoomScaleNormal="70" workbookViewId="0">
      <selection activeCell="C7" sqref="C7"/>
    </sheetView>
  </sheetViews>
  <sheetFormatPr defaultColWidth="11.453125" defaultRowHeight="14.5" outlineLevelRow="1" outlineLevelCol="1" x14ac:dyDescent="0.35"/>
  <cols>
    <col min="1" max="1" width="27.90625" style="113" bestFit="1" customWidth="1"/>
    <col min="2" max="2" width="21.08984375" customWidth="1"/>
    <col min="3" max="3" width="17.08984375" customWidth="1"/>
    <col min="4" max="4" width="12.08984375" customWidth="1"/>
    <col min="5" max="5" width="9.54296875" bestFit="1" customWidth="1"/>
    <col min="6" max="6" width="9.54296875" customWidth="1"/>
    <col min="7" max="7" width="10" customWidth="1"/>
    <col min="8" max="8" width="14.08984375" style="2" customWidth="1"/>
    <col min="9" max="9" width="13.90625" style="2" customWidth="1"/>
    <col min="10" max="11" width="10.54296875" style="2" customWidth="1"/>
    <col min="12" max="12" width="1.90625" customWidth="1"/>
    <col min="13" max="16" width="17.453125" hidden="1" customWidth="1" outlineLevel="1"/>
    <col min="17" max="17" width="16.90625" hidden="1" customWidth="1" outlineLevel="1"/>
    <col min="18" max="18" width="15.90625" customWidth="1" collapsed="1"/>
    <col min="19" max="19" width="1.90625" customWidth="1"/>
    <col min="20" max="20" width="11.54296875" customWidth="1"/>
    <col min="25" max="25" width="16.08984375" customWidth="1"/>
    <col min="32" max="32" width="11.08984375" bestFit="1" customWidth="1"/>
    <col min="34" max="34" width="13.453125" bestFit="1" customWidth="1"/>
    <col min="35" max="35" width="12.08984375" bestFit="1" customWidth="1"/>
  </cols>
  <sheetData>
    <row r="1" spans="2:18" x14ac:dyDescent="0.35">
      <c r="H1" s="2" t="s">
        <v>0</v>
      </c>
      <c r="I1" s="2" t="s">
        <v>1</v>
      </c>
      <c r="J1" s="2" t="s">
        <v>2</v>
      </c>
      <c r="R1" t="s">
        <v>3</v>
      </c>
    </row>
    <row r="3" spans="2:18" x14ac:dyDescent="0.35">
      <c r="B3" s="32"/>
      <c r="C3" s="32"/>
      <c r="D3" s="32"/>
      <c r="E3" s="32"/>
      <c r="F3" s="32"/>
    </row>
    <row r="4" spans="2:18" ht="20.25" customHeight="1" x14ac:dyDescent="0.35">
      <c r="B4" s="32"/>
      <c r="C4" s="32"/>
      <c r="D4" s="32"/>
      <c r="E4" s="32"/>
      <c r="F4" s="32"/>
    </row>
    <row r="5" spans="2:18" x14ac:dyDescent="0.35">
      <c r="B5" s="32"/>
      <c r="C5" s="32"/>
      <c r="D5" s="32"/>
      <c r="E5" s="32"/>
      <c r="F5" s="32"/>
      <c r="G5" s="25"/>
      <c r="H5" s="26"/>
      <c r="I5"/>
      <c r="J5"/>
      <c r="K5"/>
    </row>
    <row r="6" spans="2:18" x14ac:dyDescent="0.35">
      <c r="B6" s="49" t="s">
        <v>4</v>
      </c>
      <c r="C6" s="50" t="s">
        <v>5</v>
      </c>
      <c r="E6" s="32"/>
      <c r="F6" s="32"/>
      <c r="G6" s="25"/>
      <c r="H6" s="26"/>
      <c r="I6"/>
      <c r="J6"/>
      <c r="K6"/>
    </row>
    <row r="7" spans="2:18" x14ac:dyDescent="0.35">
      <c r="B7" s="51" t="s">
        <v>6</v>
      </c>
      <c r="C7" s="86" t="s">
        <v>7</v>
      </c>
      <c r="D7" s="32"/>
      <c r="E7" s="32"/>
      <c r="F7" s="32"/>
      <c r="G7" s="25"/>
      <c r="H7" s="26"/>
      <c r="I7"/>
      <c r="J7"/>
      <c r="K7"/>
    </row>
    <row r="8" spans="2:18" x14ac:dyDescent="0.35">
      <c r="B8" s="49" t="s">
        <v>8</v>
      </c>
      <c r="C8" s="53" t="str">
        <f>TEXT(DATE(2024,Inputs!$D$6,1),"mmmm")&amp;" "&amp;Inputs!$C$6</f>
        <v>Abril 2026</v>
      </c>
      <c r="D8" s="32"/>
      <c r="E8" s="32"/>
      <c r="F8" s="32"/>
    </row>
    <row r="9" spans="2:18" x14ac:dyDescent="0.35">
      <c r="B9" s="49" t="s">
        <v>9</v>
      </c>
      <c r="C9" s="52" t="s">
        <v>10</v>
      </c>
      <c r="D9" s="32"/>
      <c r="E9" s="32"/>
      <c r="F9" s="32"/>
    </row>
    <row r="11" spans="2:18" x14ac:dyDescent="0.35">
      <c r="B11" s="140" t="s">
        <v>11</v>
      </c>
      <c r="C11" s="140"/>
      <c r="D11" s="140"/>
    </row>
    <row r="12" spans="2:18" x14ac:dyDescent="0.35">
      <c r="B12" s="46" t="s">
        <v>12</v>
      </c>
      <c r="C12" s="47" t="s">
        <v>13</v>
      </c>
      <c r="D12" s="48">
        <f>+Inputs!H12</f>
        <v>1111.5</v>
      </c>
    </row>
    <row r="13" spans="2:18" x14ac:dyDescent="0.35">
      <c r="B13" s="46" t="s">
        <v>12</v>
      </c>
      <c r="C13" s="47" t="s">
        <v>14</v>
      </c>
      <c r="D13" s="48">
        <f>+Inputs!I12</f>
        <v>1048.5</v>
      </c>
    </row>
    <row r="15" spans="2:18" x14ac:dyDescent="0.35">
      <c r="B15" s="54" t="s">
        <v>15</v>
      </c>
      <c r="C15" s="54"/>
      <c r="D15" s="55">
        <f>+Inputs!Q10</f>
        <v>1429.5849741122574</v>
      </c>
    </row>
    <row r="16" spans="2:18" x14ac:dyDescent="0.35">
      <c r="B16" s="54" t="s">
        <v>16</v>
      </c>
      <c r="C16" s="54"/>
      <c r="D16" s="55">
        <f>+Inputs!Q12</f>
        <v>1629.5849741122574</v>
      </c>
    </row>
    <row r="17" spans="1:14" x14ac:dyDescent="0.35">
      <c r="C17" t="s">
        <v>17</v>
      </c>
      <c r="M17" s="1"/>
    </row>
    <row r="18" spans="1:14" x14ac:dyDescent="0.35">
      <c r="B18" s="142" t="s">
        <v>18</v>
      </c>
      <c r="C18" s="143"/>
      <c r="D18" s="56">
        <v>5.0000000000000001E-3</v>
      </c>
      <c r="M18" s="1"/>
    </row>
    <row r="19" spans="1:14" x14ac:dyDescent="0.35">
      <c r="B19" s="11"/>
      <c r="C19" s="11"/>
      <c r="D19" s="12"/>
      <c r="M19" s="1"/>
    </row>
    <row r="20" spans="1:14" outlineLevel="1" x14ac:dyDescent="0.35">
      <c r="B20" s="141" t="s">
        <v>19</v>
      </c>
      <c r="C20" s="141"/>
      <c r="D20" s="141"/>
      <c r="M20" s="1"/>
    </row>
    <row r="21" spans="1:14" outlineLevel="1" x14ac:dyDescent="0.35">
      <c r="B21" s="3" t="s">
        <v>14</v>
      </c>
      <c r="C21" s="4"/>
      <c r="D21" s="27">
        <f>+Inputs!W4</f>
        <v>3538.2447030000003</v>
      </c>
      <c r="M21" s="1"/>
    </row>
    <row r="22" spans="1:14" outlineLevel="1" x14ac:dyDescent="0.35">
      <c r="B22" s="3" t="s">
        <v>13</v>
      </c>
      <c r="C22" s="4"/>
      <c r="D22" s="27">
        <f>+Inputs!W5</f>
        <v>4340</v>
      </c>
      <c r="M22" s="1"/>
    </row>
    <row r="23" spans="1:14" outlineLevel="1" x14ac:dyDescent="0.35">
      <c r="E23" s="8"/>
      <c r="M23" s="1"/>
    </row>
    <row r="24" spans="1:14" outlineLevel="1" x14ac:dyDescent="0.35">
      <c r="B24" s="3" t="s">
        <v>20</v>
      </c>
      <c r="C24" s="4"/>
      <c r="D24" s="15">
        <v>2.5300000000000001E-3</v>
      </c>
      <c r="M24" s="1"/>
    </row>
    <row r="25" spans="1:14" outlineLevel="1" x14ac:dyDescent="0.35">
      <c r="B25" s="3" t="s">
        <v>21</v>
      </c>
      <c r="C25" s="4"/>
      <c r="D25" s="16">
        <f>+Inputs!W8</f>
        <v>855</v>
      </c>
      <c r="M25" s="1"/>
    </row>
    <row r="26" spans="1:14" outlineLevel="1" x14ac:dyDescent="0.35">
      <c r="B26" s="3" t="s">
        <v>22</v>
      </c>
      <c r="C26" s="4"/>
      <c r="D26" s="16">
        <f>+Inputs!W9</f>
        <v>360</v>
      </c>
      <c r="M26" s="1"/>
    </row>
    <row r="27" spans="1:14" outlineLevel="1" x14ac:dyDescent="0.35">
      <c r="B27" s="3" t="s">
        <v>23</v>
      </c>
      <c r="C27" s="4"/>
      <c r="D27" s="16">
        <f>+Inputs!W10</f>
        <v>14.9</v>
      </c>
      <c r="M27" s="1"/>
    </row>
    <row r="28" spans="1:14" outlineLevel="1" x14ac:dyDescent="0.35">
      <c r="B28" s="3" t="s">
        <v>24</v>
      </c>
      <c r="C28" s="4"/>
      <c r="D28" s="16">
        <f>+Inputs!W11</f>
        <v>13.88</v>
      </c>
      <c r="M28" s="1"/>
    </row>
    <row r="29" spans="1:14" outlineLevel="1" x14ac:dyDescent="0.35">
      <c r="B29" s="3" t="s">
        <v>25</v>
      </c>
      <c r="C29" s="4"/>
      <c r="D29" s="15">
        <v>0.08</v>
      </c>
      <c r="E29" s="15">
        <f>+(1+D29)^(30/365)-1</f>
        <v>6.3456136620225756E-3</v>
      </c>
      <c r="M29" s="1"/>
    </row>
    <row r="30" spans="1:14" outlineLevel="1" x14ac:dyDescent="0.35">
      <c r="A30"/>
      <c r="B30" s="3" t="s">
        <v>26</v>
      </c>
      <c r="D30" s="16">
        <f>+Inputs!W13</f>
        <v>11</v>
      </c>
      <c r="H30"/>
      <c r="L30" s="2"/>
      <c r="N30" s="1"/>
    </row>
    <row r="31" spans="1:14" outlineLevel="1" x14ac:dyDescent="0.35">
      <c r="B31" s="3" t="s">
        <v>27</v>
      </c>
      <c r="C31" s="4"/>
      <c r="D31" s="15">
        <v>4.1799999999999997E-3</v>
      </c>
      <c r="I31" s="29"/>
      <c r="J31" s="29"/>
      <c r="K31" s="29"/>
      <c r="M31" s="1"/>
    </row>
    <row r="32" spans="1:14" outlineLevel="1" x14ac:dyDescent="0.35">
      <c r="I32" s="28"/>
      <c r="M32" s="1"/>
    </row>
    <row r="33" spans="1:28" outlineLevel="1" x14ac:dyDescent="0.35">
      <c r="B33" s="11"/>
      <c r="C33" s="11"/>
      <c r="D33" s="12"/>
      <c r="M33" s="1"/>
      <c r="O33" s="13"/>
      <c r="Q33" s="14"/>
    </row>
    <row r="34" spans="1:28" x14ac:dyDescent="0.35">
      <c r="I34" s="28"/>
      <c r="T34" t="s">
        <v>28</v>
      </c>
      <c r="AB34" s="64" t="s">
        <v>29</v>
      </c>
    </row>
    <row r="35" spans="1:28" ht="52.5" x14ac:dyDescent="0.35">
      <c r="B35" s="59" t="s">
        <v>30</v>
      </c>
      <c r="C35" s="58" t="s">
        <v>31</v>
      </c>
      <c r="D35" s="59" t="s">
        <v>32</v>
      </c>
      <c r="E35" s="59" t="s">
        <v>33</v>
      </c>
      <c r="F35" s="59" t="s">
        <v>34</v>
      </c>
      <c r="G35" s="59" t="s">
        <v>35</v>
      </c>
      <c r="H35" s="57" t="s">
        <v>36</v>
      </c>
      <c r="I35" s="58" t="s">
        <v>37</v>
      </c>
      <c r="J35" s="58" t="s">
        <v>38</v>
      </c>
      <c r="K35" s="57" t="s">
        <v>96</v>
      </c>
      <c r="L35" s="34"/>
      <c r="M35" s="33" t="s">
        <v>39</v>
      </c>
      <c r="N35" s="33" t="s">
        <v>40</v>
      </c>
      <c r="O35" s="33" t="s">
        <v>41</v>
      </c>
      <c r="P35" s="33" t="s">
        <v>42</v>
      </c>
      <c r="Q35" s="33" t="s">
        <v>43</v>
      </c>
      <c r="R35" s="58" t="s">
        <v>44</v>
      </c>
      <c r="S35" s="34"/>
      <c r="T35" s="57" t="s">
        <v>45</v>
      </c>
      <c r="V35" s="33" t="s">
        <v>46</v>
      </c>
      <c r="W35" s="33" t="s">
        <v>47</v>
      </c>
      <c r="AB35" s="58" t="s">
        <v>37</v>
      </c>
    </row>
    <row r="36" spans="1:28" x14ac:dyDescent="0.35">
      <c r="A36" s="139" t="str">
        <f>B36&amp;C36&amp;D36&amp;E36&amp;F36</f>
        <v>19.5PLATA18810El Salvador</v>
      </c>
      <c r="B36" s="35">
        <v>19.5</v>
      </c>
      <c r="C36" s="36" t="s">
        <v>48</v>
      </c>
      <c r="D36" s="37">
        <v>1881</v>
      </c>
      <c r="E36" s="38">
        <v>0</v>
      </c>
      <c r="F36" s="36" t="s">
        <v>13</v>
      </c>
      <c r="G36" s="36" t="s">
        <v>49</v>
      </c>
      <c r="H36" s="39">
        <f t="shared" ref="H36:H49" si="0">+(VLOOKUP(F36,$C$12:$D$13,2,0)*B36/1000*(1-E36)+IF(F36="Perú",$D$15,$D$16)*B36/1000*E36)*(1+$D$18)</f>
        <v>21.782621249999998</v>
      </c>
      <c r="I36" s="138">
        <f>AB36*(1+(Inputs!AD$8/Inputs!AD$7-1)*50%)</f>
        <v>11.482162441839606</v>
      </c>
      <c r="J36" s="138">
        <f t="shared" ref="J36:J49" si="1">+IF(F36="Perú",$D$21,$D$22)/V36/W36</f>
        <v>5.4778060503251345</v>
      </c>
      <c r="K36" s="39">
        <f>+SUM(H36:J36)</f>
        <v>38.742589742164739</v>
      </c>
      <c r="L36" s="34"/>
      <c r="M36" s="40">
        <f t="shared" ref="M36:M49" si="2">+SUM(H36:J36)*$D$24+$D$25/V36/W36+$D$26/V36/48</f>
        <v>1.5747544845085999</v>
      </c>
      <c r="N36" s="40">
        <f>+($D$27+$D$28)/V36</f>
        <v>1.5256573367260391</v>
      </c>
      <c r="O36" s="40">
        <f>+SUM(H36:N36)*$E$29</f>
        <v>0.51136502915075543</v>
      </c>
      <c r="P36" s="40">
        <f t="shared" ref="P36:P49" si="3">+$D$30/V36</f>
        <v>0.58312128922815942</v>
      </c>
      <c r="Q36" s="40">
        <f t="shared" ref="Q36:Q49" si="4">+SUM(H36:P36)*$D$31</f>
        <v>0.34142272446808186</v>
      </c>
      <c r="R36" s="41">
        <f t="shared" ref="R36:R49" si="5">+SUM(M36:Q36)</f>
        <v>4.5363208640816346</v>
      </c>
      <c r="S36" s="34"/>
      <c r="T36" s="39">
        <f t="shared" ref="T36:T49" si="6">+H36+I36+R36+J36</f>
        <v>43.278910606246377</v>
      </c>
      <c r="U36" s="8"/>
      <c r="V36" s="60">
        <v>18.864000000000001</v>
      </c>
      <c r="W36" s="34">
        <v>42</v>
      </c>
      <c r="AA36" s="9"/>
      <c r="AB36" s="39">
        <v>11.303228387929</v>
      </c>
    </row>
    <row r="37" spans="1:28" x14ac:dyDescent="0.35">
      <c r="A37" s="139" t="str">
        <f t="shared" ref="A37:A47" si="7">B37&amp;C37&amp;D37&amp;E37&amp;F37</f>
        <v>17.7CRISTAL18810El Salvador</v>
      </c>
      <c r="B37" s="35">
        <v>17.7</v>
      </c>
      <c r="C37" s="42" t="s">
        <v>50</v>
      </c>
      <c r="D37" s="43">
        <v>1881</v>
      </c>
      <c r="E37" s="38">
        <v>0</v>
      </c>
      <c r="F37" s="36" t="s">
        <v>13</v>
      </c>
      <c r="G37" s="42" t="s">
        <v>49</v>
      </c>
      <c r="H37" s="39">
        <f t="shared" si="0"/>
        <v>19.771917749999997</v>
      </c>
      <c r="I37" s="138">
        <f>AB37*(1+(Inputs!AD$8/Inputs!AD$7-1)*50%)</f>
        <v>9.0168893081980865</v>
      </c>
      <c r="J37" s="138">
        <f t="shared" si="1"/>
        <v>5.4778060503251345</v>
      </c>
      <c r="K37" s="39">
        <f t="shared" ref="K37:K49" si="8">+SUM(H37:J37)</f>
        <v>34.266613108523217</v>
      </c>
      <c r="L37" s="34"/>
      <c r="M37" s="40">
        <f t="shared" si="2"/>
        <v>1.5634302636254869</v>
      </c>
      <c r="N37" s="40">
        <f t="shared" ref="N37:N43" si="9">+($D$27+$D$28)/V37</f>
        <v>1.5256573367260391</v>
      </c>
      <c r="O37" s="40">
        <f t="shared" ref="O37:O43" si="10">+SUM(H37:N37)*$E$29</f>
        <v>0.45448753306534884</v>
      </c>
      <c r="P37" s="40">
        <f t="shared" si="3"/>
        <v>0.58312128922815942</v>
      </c>
      <c r="Q37" s="40">
        <f t="shared" si="4"/>
        <v>0.30371847663391033</v>
      </c>
      <c r="R37" s="41">
        <f t="shared" si="5"/>
        <v>4.4304148992789445</v>
      </c>
      <c r="S37" s="34"/>
      <c r="T37" s="39">
        <f t="shared" si="6"/>
        <v>38.69702800780216</v>
      </c>
      <c r="U37" s="8"/>
      <c r="V37" s="60">
        <v>18.864000000000001</v>
      </c>
      <c r="W37" s="34">
        <v>42</v>
      </c>
      <c r="AA37" s="9"/>
      <c r="AB37" s="39">
        <v>8.8763732193732192</v>
      </c>
    </row>
    <row r="38" spans="1:28" x14ac:dyDescent="0.35">
      <c r="A38" s="139" t="str">
        <f t="shared" si="7"/>
        <v>17.7AMBAR18810.75El Salvador</v>
      </c>
      <c r="B38" s="35">
        <v>17.7</v>
      </c>
      <c r="C38" s="42" t="s">
        <v>51</v>
      </c>
      <c r="D38" s="43">
        <v>1881</v>
      </c>
      <c r="E38" s="38">
        <v>0.75</v>
      </c>
      <c r="F38" s="36" t="s">
        <v>13</v>
      </c>
      <c r="G38" s="42" t="s">
        <v>49</v>
      </c>
      <c r="H38" s="39">
        <f t="shared" si="0"/>
        <v>26.683883671496918</v>
      </c>
      <c r="I38" s="138">
        <f>AB38*(1+(Inputs!AD$8/Inputs!AD$7-1)*50%)</f>
        <v>11.495911399842564</v>
      </c>
      <c r="J38" s="138">
        <f t="shared" si="1"/>
        <v>5.4778060503251345</v>
      </c>
      <c r="K38" s="39">
        <f t="shared" si="8"/>
        <v>43.657601121664619</v>
      </c>
      <c r="L38" s="34"/>
      <c r="M38" s="40">
        <f t="shared" si="2"/>
        <v>1.5871894632987347</v>
      </c>
      <c r="N38" s="40">
        <f t="shared" si="9"/>
        <v>1.5256573367260391</v>
      </c>
      <c r="O38" s="40">
        <f t="shared" si="10"/>
        <v>0.57382146343955465</v>
      </c>
      <c r="P38" s="40">
        <f t="shared" si="3"/>
        <v>0.58312128922815942</v>
      </c>
      <c r="Q38" s="40">
        <f t="shared" si="4"/>
        <v>0.3828252657073708</v>
      </c>
      <c r="R38" s="41">
        <f t="shared" si="5"/>
        <v>4.6526148183998597</v>
      </c>
      <c r="S38" s="34"/>
      <c r="T38" s="39">
        <f t="shared" si="6"/>
        <v>48.310215940064481</v>
      </c>
      <c r="U38" s="8"/>
      <c r="V38" s="60">
        <v>18.864000000000001</v>
      </c>
      <c r="W38" s="34">
        <v>42</v>
      </c>
      <c r="AA38" s="9"/>
      <c r="AB38" s="39">
        <v>11.316763086918904</v>
      </c>
    </row>
    <row r="39" spans="1:28" x14ac:dyDescent="0.35">
      <c r="A39" s="139" t="str">
        <f t="shared" si="7"/>
        <v>17.7VERDE18810El Salvador</v>
      </c>
      <c r="B39" s="35">
        <v>17.7</v>
      </c>
      <c r="C39" s="42" t="s">
        <v>52</v>
      </c>
      <c r="D39" s="43">
        <v>1881</v>
      </c>
      <c r="E39" s="38">
        <v>0</v>
      </c>
      <c r="F39" s="36" t="s">
        <v>13</v>
      </c>
      <c r="G39" s="42" t="s">
        <v>49</v>
      </c>
      <c r="H39" s="39">
        <f t="shared" si="0"/>
        <v>19.771917749999997</v>
      </c>
      <c r="I39" s="138">
        <f>AB39*(1+(Inputs!AD$8/Inputs!AD$7-1)*50%)</f>
        <v>12.564906029166476</v>
      </c>
      <c r="J39" s="138">
        <f t="shared" si="1"/>
        <v>5.4778060503251345</v>
      </c>
      <c r="K39" s="39">
        <f t="shared" si="8"/>
        <v>37.814629829491608</v>
      </c>
      <c r="L39" s="34"/>
      <c r="M39" s="40">
        <f t="shared" si="2"/>
        <v>1.572406745929537</v>
      </c>
      <c r="N39" s="40">
        <f t="shared" si="9"/>
        <v>1.5256573367260391</v>
      </c>
      <c r="O39" s="40">
        <f t="shared" si="10"/>
        <v>0.49957318110941745</v>
      </c>
      <c r="P39" s="40">
        <f t="shared" si="3"/>
        <v>0.58312128922815942</v>
      </c>
      <c r="Q39" s="40">
        <f t="shared" si="4"/>
        <v>0.33360587612606118</v>
      </c>
      <c r="R39" s="41">
        <f t="shared" si="5"/>
        <v>4.5143644291192135</v>
      </c>
      <c r="S39" s="34"/>
      <c r="T39" s="39">
        <f t="shared" si="6"/>
        <v>42.32899425861082</v>
      </c>
      <c r="U39" s="8"/>
      <c r="V39" s="60">
        <v>18.864000000000001</v>
      </c>
      <c r="W39" s="34">
        <v>42</v>
      </c>
      <c r="AA39" s="9"/>
      <c r="AB39" s="39">
        <v>12.369098873137045</v>
      </c>
    </row>
    <row r="40" spans="1:28" x14ac:dyDescent="0.35">
      <c r="A40" s="139" t="str">
        <f>B40&amp;C40&amp;D40&amp;E40&amp;F40</f>
        <v>19.5CRISTAL18810El Salvador</v>
      </c>
      <c r="B40" s="44">
        <v>19.5</v>
      </c>
      <c r="C40" s="42" t="s">
        <v>50</v>
      </c>
      <c r="D40" s="43">
        <v>1881</v>
      </c>
      <c r="E40" s="38">
        <v>0</v>
      </c>
      <c r="F40" s="36" t="s">
        <v>13</v>
      </c>
      <c r="G40" s="42" t="s">
        <v>49</v>
      </c>
      <c r="H40" s="39">
        <f t="shared" si="0"/>
        <v>21.782621249999998</v>
      </c>
      <c r="I40" s="138">
        <f>AB40*(1+(Inputs!AD$8/Inputs!AD$7-1)*50%)</f>
        <v>9.0160739774574754</v>
      </c>
      <c r="J40" s="138">
        <f t="shared" si="1"/>
        <v>5.4778060503251345</v>
      </c>
      <c r="K40" s="39">
        <f t="shared" si="8"/>
        <v>36.276501277782607</v>
      </c>
      <c r="L40" s="34"/>
      <c r="M40" s="40">
        <f t="shared" si="2"/>
        <v>1.5685152806937133</v>
      </c>
      <c r="N40" s="40">
        <f t="shared" si="9"/>
        <v>1.5256573367260391</v>
      </c>
      <c r="O40" s="40">
        <f t="shared" si="10"/>
        <v>0.48002774827110845</v>
      </c>
      <c r="P40" s="40">
        <f t="shared" si="3"/>
        <v>0.58312128922815942</v>
      </c>
      <c r="Q40" s="40">
        <f t="shared" si="4"/>
        <v>0.32064915519982412</v>
      </c>
      <c r="R40" s="41">
        <f t="shared" si="5"/>
        <v>4.477970810118844</v>
      </c>
      <c r="S40" s="34"/>
      <c r="T40" s="39">
        <f t="shared" si="6"/>
        <v>40.754472087901455</v>
      </c>
      <c r="U40" s="8"/>
      <c r="V40" s="60">
        <v>18.864000000000001</v>
      </c>
      <c r="W40" s="34">
        <v>42</v>
      </c>
      <c r="AB40" s="39">
        <v>8.8755705944652803</v>
      </c>
    </row>
    <row r="41" spans="1:28" x14ac:dyDescent="0.35">
      <c r="A41" s="139" t="str">
        <f>B41&amp;C41&amp;D41&amp;E41&amp;F41</f>
        <v>19.5VERDE18810El Salvador</v>
      </c>
      <c r="B41" s="44">
        <v>19.5</v>
      </c>
      <c r="C41" s="42" t="s">
        <v>52</v>
      </c>
      <c r="D41" s="43">
        <v>1881</v>
      </c>
      <c r="E41" s="38">
        <v>0</v>
      </c>
      <c r="F41" s="36" t="s">
        <v>13</v>
      </c>
      <c r="G41" s="42" t="s">
        <v>49</v>
      </c>
      <c r="H41" s="39">
        <f t="shared" si="0"/>
        <v>21.782621249999998</v>
      </c>
      <c r="I41" s="138">
        <f>AB41*(1+(Inputs!AD$8/Inputs!AD$7-1)*50%)</f>
        <v>9.0288005831570839</v>
      </c>
      <c r="J41" s="138">
        <f t="shared" si="1"/>
        <v>5.4778060503251345</v>
      </c>
      <c r="K41" s="39">
        <f t="shared" si="8"/>
        <v>36.289227883482219</v>
      </c>
      <c r="L41" s="34"/>
      <c r="M41" s="40">
        <f t="shared" si="2"/>
        <v>1.5685474790061331</v>
      </c>
      <c r="N41" s="40">
        <f t="shared" si="9"/>
        <v>1.5256573367260391</v>
      </c>
      <c r="O41" s="40">
        <f t="shared" si="10"/>
        <v>0.48018946883515684</v>
      </c>
      <c r="P41" s="40">
        <f t="shared" si="3"/>
        <v>0.58312128922815942</v>
      </c>
      <c r="Q41" s="40">
        <f t="shared" si="4"/>
        <v>0.32075636020437648</v>
      </c>
      <c r="R41" s="41">
        <f t="shared" si="5"/>
        <v>4.4782719339998645</v>
      </c>
      <c r="S41" s="34"/>
      <c r="T41" s="39">
        <f t="shared" si="6"/>
        <v>40.767499817482083</v>
      </c>
      <c r="U41" s="8"/>
      <c r="V41" s="60">
        <v>18.864000000000001</v>
      </c>
      <c r="W41" s="34">
        <v>42</v>
      </c>
      <c r="AB41" s="39">
        <v>8.8880988731370412</v>
      </c>
    </row>
    <row r="42" spans="1:28" x14ac:dyDescent="0.35">
      <c r="A42" s="139" t="str">
        <f t="shared" si="7"/>
        <v>17.7CRISTAL18810Perú</v>
      </c>
      <c r="B42" s="44">
        <v>17.7</v>
      </c>
      <c r="C42" s="42" t="s">
        <v>50</v>
      </c>
      <c r="D42" s="43">
        <v>1881</v>
      </c>
      <c r="E42" s="38">
        <v>0</v>
      </c>
      <c r="F42" s="36" t="s">
        <v>14</v>
      </c>
      <c r="G42" s="42" t="s">
        <v>3</v>
      </c>
      <c r="H42" s="39">
        <f t="shared" si="0"/>
        <v>18.651242249999999</v>
      </c>
      <c r="I42" s="138">
        <f>AB42*(1+(Inputs!AD$8/Inputs!AD$7-1)*50%)</f>
        <v>9.0160739774574754</v>
      </c>
      <c r="J42" s="138">
        <f t="shared" si="1"/>
        <v>5.0402346196581203</v>
      </c>
      <c r="K42" s="39">
        <f t="shared" si="8"/>
        <v>32.707550847115598</v>
      </c>
      <c r="L42" s="34"/>
      <c r="M42" s="40">
        <f t="shared" si="2"/>
        <v>1.6853142062073052</v>
      </c>
      <c r="N42" s="40">
        <f t="shared" si="9"/>
        <v>1.4758974358974359</v>
      </c>
      <c r="O42" s="40">
        <f t="shared" si="10"/>
        <v>0.43515879079819431</v>
      </c>
      <c r="P42" s="40">
        <f t="shared" si="3"/>
        <v>0.5641025641025641</v>
      </c>
      <c r="Q42" s="40">
        <f t="shared" si="4"/>
        <v>0.29082590220936944</v>
      </c>
      <c r="R42" s="41">
        <f t="shared" si="5"/>
        <v>4.4512988992148692</v>
      </c>
      <c r="S42" s="34"/>
      <c r="T42" s="39">
        <f t="shared" si="6"/>
        <v>37.158849746330468</v>
      </c>
      <c r="U42" s="8"/>
      <c r="V42" s="60">
        <v>19.5</v>
      </c>
      <c r="W42" s="34">
        <v>36</v>
      </c>
      <c r="AB42" s="39">
        <v>8.8755705944652803</v>
      </c>
    </row>
    <row r="43" spans="1:28" x14ac:dyDescent="0.35">
      <c r="A43" s="139" t="str">
        <f t="shared" si="7"/>
        <v>17.7VERDE18810Perú</v>
      </c>
      <c r="B43" s="44">
        <v>17.7</v>
      </c>
      <c r="C43" s="42" t="s">
        <v>52</v>
      </c>
      <c r="D43" s="43">
        <v>1881</v>
      </c>
      <c r="E43" s="38">
        <v>0</v>
      </c>
      <c r="F43" s="36" t="s">
        <v>14</v>
      </c>
      <c r="G43" s="42" t="s">
        <v>3</v>
      </c>
      <c r="H43" s="39">
        <f t="shared" si="0"/>
        <v>18.651242249999999</v>
      </c>
      <c r="I43" s="138">
        <f>AB43*(1+(Inputs!AD$8/Inputs!AD$7-1)*50%)</f>
        <v>10.42096735057755</v>
      </c>
      <c r="J43" s="138">
        <f t="shared" si="1"/>
        <v>5.0402346196581203</v>
      </c>
      <c r="K43" s="39">
        <f t="shared" si="8"/>
        <v>34.112444220235673</v>
      </c>
      <c r="L43" s="34"/>
      <c r="M43" s="40">
        <f t="shared" si="2"/>
        <v>1.6888685864412989</v>
      </c>
      <c r="N43" s="40">
        <f t="shared" si="9"/>
        <v>1.4758974358974359</v>
      </c>
      <c r="O43" s="40">
        <f t="shared" si="10"/>
        <v>0.45301116668627861</v>
      </c>
      <c r="P43" s="40">
        <f t="shared" si="3"/>
        <v>0.5641025641025641</v>
      </c>
      <c r="Q43" s="40">
        <f t="shared" si="4"/>
        <v>0.30266029104924352</v>
      </c>
      <c r="R43" s="41">
        <f t="shared" si="5"/>
        <v>4.4845400441768213</v>
      </c>
      <c r="S43" s="34"/>
      <c r="T43" s="39">
        <f t="shared" si="6"/>
        <v>38.596984264412498</v>
      </c>
      <c r="U43" s="8"/>
      <c r="V43" s="60">
        <v>19.5</v>
      </c>
      <c r="W43" s="34">
        <v>36</v>
      </c>
      <c r="AB43" s="39">
        <v>10.258570594465279</v>
      </c>
    </row>
    <row r="44" spans="1:28" x14ac:dyDescent="0.35">
      <c r="A44" s="139" t="str">
        <f t="shared" si="7"/>
        <v>19.7CRISTAL18810Perú</v>
      </c>
      <c r="B44" s="44">
        <v>19.7</v>
      </c>
      <c r="C44" s="42" t="s">
        <v>50</v>
      </c>
      <c r="D44" s="43">
        <v>1881</v>
      </c>
      <c r="E44" s="38">
        <v>0</v>
      </c>
      <c r="F44" s="36" t="s">
        <v>14</v>
      </c>
      <c r="G44" s="42" t="s">
        <v>3</v>
      </c>
      <c r="H44" s="39">
        <f t="shared" si="0"/>
        <v>20.75872725</v>
      </c>
      <c r="I44" s="138">
        <f>AB44*(1+(Inputs!AD$8/Inputs!AD$7-1)*50%)</f>
        <v>9.0160739774574754</v>
      </c>
      <c r="J44" s="138">
        <f t="shared" si="1"/>
        <v>5.0402346196581203</v>
      </c>
      <c r="K44" s="39">
        <f t="shared" si="8"/>
        <v>34.815035847115595</v>
      </c>
      <c r="L44" s="34"/>
      <c r="M44" s="40">
        <f t="shared" si="2"/>
        <v>1.690646143257305</v>
      </c>
      <c r="N44" s="40">
        <f t="shared" ref="N44" si="11">+($D$27+$D$28)/V44</f>
        <v>1.4758974358974359</v>
      </c>
      <c r="O44" s="40">
        <f t="shared" ref="O44" si="12">+SUM(H44:N44)*$E$29</f>
        <v>0.46193919642779913</v>
      </c>
      <c r="P44" s="40">
        <f t="shared" si="3"/>
        <v>0.5641025641025641</v>
      </c>
      <c r="Q44" s="40">
        <f t="shared" si="4"/>
        <v>0.3085787064017701</v>
      </c>
      <c r="R44" s="41">
        <f t="shared" si="5"/>
        <v>4.501164046086874</v>
      </c>
      <c r="S44" s="34"/>
      <c r="T44" s="39">
        <f t="shared" si="6"/>
        <v>39.316199893202466</v>
      </c>
      <c r="U44" s="8"/>
      <c r="V44" s="60">
        <v>19.5</v>
      </c>
      <c r="W44" s="34">
        <v>36</v>
      </c>
      <c r="AB44" s="39">
        <v>8.8755705944652803</v>
      </c>
    </row>
    <row r="45" spans="1:28" x14ac:dyDescent="0.35">
      <c r="A45" s="139" t="str">
        <f t="shared" si="7"/>
        <v>19.7VERDE18810Perú</v>
      </c>
      <c r="B45" s="44">
        <v>19.7</v>
      </c>
      <c r="C45" s="42" t="s">
        <v>52</v>
      </c>
      <c r="D45" s="43">
        <v>1881</v>
      </c>
      <c r="E45" s="38">
        <v>0</v>
      </c>
      <c r="F45" s="36" t="s">
        <v>14</v>
      </c>
      <c r="G45" s="42" t="s">
        <v>3</v>
      </c>
      <c r="H45" s="39">
        <f t="shared" si="0"/>
        <v>20.75872725</v>
      </c>
      <c r="I45" s="138">
        <f>AB45*(1+(Inputs!AD$8/Inputs!AD$7-1)*50%)</f>
        <v>10.42096735057755</v>
      </c>
      <c r="J45" s="138">
        <f t="shared" si="1"/>
        <v>5.0402346196581203</v>
      </c>
      <c r="K45" s="39">
        <f t="shared" si="8"/>
        <v>36.21992922023567</v>
      </c>
      <c r="L45" s="34"/>
      <c r="M45" s="40">
        <f t="shared" si="2"/>
        <v>1.6942005234912989</v>
      </c>
      <c r="N45" s="40">
        <f t="shared" ref="N45" si="13">+($D$27+$D$28)/V45</f>
        <v>1.4758974358974359</v>
      </c>
      <c r="O45" s="40">
        <f t="shared" ref="O45" si="14">+SUM(H45:N45)*$E$29</f>
        <v>0.47979157231588343</v>
      </c>
      <c r="P45" s="40">
        <f t="shared" si="3"/>
        <v>0.5641025641025641</v>
      </c>
      <c r="Q45" s="40">
        <f t="shared" si="4"/>
        <v>0.3204130952416443</v>
      </c>
      <c r="R45" s="41">
        <f t="shared" si="5"/>
        <v>4.5344051910488261</v>
      </c>
      <c r="S45" s="34"/>
      <c r="T45" s="39">
        <f t="shared" si="6"/>
        <v>40.754334411284496</v>
      </c>
      <c r="U45" s="8"/>
      <c r="V45" s="60">
        <v>19.5</v>
      </c>
      <c r="W45" s="34">
        <v>36</v>
      </c>
      <c r="AB45" s="39">
        <v>10.258570594465279</v>
      </c>
    </row>
    <row r="46" spans="1:28" x14ac:dyDescent="0.35">
      <c r="A46" s="139" t="str">
        <f t="shared" si="7"/>
        <v>29CRISTAL18160El Salvador</v>
      </c>
      <c r="B46" s="44">
        <v>29</v>
      </c>
      <c r="C46" s="42" t="s">
        <v>50</v>
      </c>
      <c r="D46" s="43">
        <v>1816</v>
      </c>
      <c r="E46" s="38">
        <v>0</v>
      </c>
      <c r="F46" s="36" t="s">
        <v>13</v>
      </c>
      <c r="G46" s="42" t="s">
        <v>49</v>
      </c>
      <c r="H46" s="39">
        <f t="shared" si="0"/>
        <v>32.394667499999997</v>
      </c>
      <c r="I46" s="138">
        <f>AB46*(1+(Inputs!AD$8/Inputs!AD$7-1)*50%)</f>
        <v>17.691339518113129</v>
      </c>
      <c r="J46" s="138">
        <f t="shared" si="1"/>
        <v>10.251322751322752</v>
      </c>
      <c r="K46" s="39">
        <f t="shared" si="8"/>
        <v>60.337329769435875</v>
      </c>
      <c r="L46" s="34"/>
      <c r="M46" s="40">
        <f t="shared" si="2"/>
        <v>2.9162588864935435</v>
      </c>
      <c r="N46" s="40">
        <f t="shared" ref="N46:N49" si="15">+($D$27+$D$28)/V46</f>
        <v>2.8551587301587302</v>
      </c>
      <c r="O46" s="40">
        <f t="shared" ref="O46:O49" si="16">+SUM(H46:N46)*$E$29</f>
        <v>0.80237795470725393</v>
      </c>
      <c r="P46" s="40">
        <f t="shared" si="3"/>
        <v>1.0912698412698412</v>
      </c>
      <c r="Q46" s="40">
        <f t="shared" si="4"/>
        <v>0.53646005029727462</v>
      </c>
      <c r="R46" s="41">
        <f t="shared" si="5"/>
        <v>8.201525462926643</v>
      </c>
      <c r="S46" s="34"/>
      <c r="T46" s="39">
        <f t="shared" si="6"/>
        <v>68.538855232362508</v>
      </c>
      <c r="U46" s="8"/>
      <c r="V46" s="34">
        <v>10.08</v>
      </c>
      <c r="W46" s="34">
        <v>42</v>
      </c>
      <c r="AB46" s="39">
        <v>17.415643793103186</v>
      </c>
    </row>
    <row r="47" spans="1:28" x14ac:dyDescent="0.35">
      <c r="A47" s="139" t="str">
        <f t="shared" si="7"/>
        <v>29VERDE18160El Salvador</v>
      </c>
      <c r="B47" s="44">
        <v>29</v>
      </c>
      <c r="C47" s="42" t="s">
        <v>52</v>
      </c>
      <c r="D47" s="43">
        <v>1816</v>
      </c>
      <c r="E47" s="45">
        <v>0</v>
      </c>
      <c r="F47" s="36" t="s">
        <v>13</v>
      </c>
      <c r="G47" s="42" t="s">
        <v>49</v>
      </c>
      <c r="H47" s="39">
        <f t="shared" si="0"/>
        <v>32.394667499999997</v>
      </c>
      <c r="I47" s="138">
        <f>AB47*(1+(Inputs!AD$8/Inputs!AD$7-1)*50%)</f>
        <v>18.247341691052952</v>
      </c>
      <c r="J47" s="138">
        <f t="shared" si="1"/>
        <v>10.251322751322752</v>
      </c>
      <c r="K47" s="39">
        <f t="shared" si="8"/>
        <v>60.893331942375703</v>
      </c>
      <c r="L47" s="34"/>
      <c r="M47" s="40">
        <f t="shared" si="2"/>
        <v>2.9176655719910811</v>
      </c>
      <c r="N47" s="40">
        <f t="shared" si="15"/>
        <v>2.8551587301587302</v>
      </c>
      <c r="O47" s="40">
        <f t="shared" si="16"/>
        <v>0.80944323095940773</v>
      </c>
      <c r="P47" s="40">
        <f t="shared" si="3"/>
        <v>1.0912698412698412</v>
      </c>
      <c r="Q47" s="40">
        <f t="shared" si="4"/>
        <v>0.54114364126316539</v>
      </c>
      <c r="R47" s="41">
        <f t="shared" si="5"/>
        <v>8.2146810156422259</v>
      </c>
      <c r="S47" s="34"/>
      <c r="T47" s="39">
        <f t="shared" si="6"/>
        <v>69.108012958017923</v>
      </c>
      <c r="U47" s="8"/>
      <c r="V47" s="34">
        <v>10.08</v>
      </c>
      <c r="W47" s="34">
        <v>42</v>
      </c>
      <c r="AB47" s="39">
        <v>17.962981420205836</v>
      </c>
    </row>
    <row r="48" spans="1:28" x14ac:dyDescent="0.35">
      <c r="A48" s="139" t="str">
        <f>B48&amp;C48&amp;D48&amp;E48&amp;F48</f>
        <v>42.5CRISTAL18160.25El Salvador</v>
      </c>
      <c r="B48" s="44">
        <v>42.5</v>
      </c>
      <c r="C48" s="42" t="s">
        <v>50</v>
      </c>
      <c r="D48" s="43">
        <v>1816</v>
      </c>
      <c r="E48" s="38">
        <v>0.25</v>
      </c>
      <c r="F48" s="36" t="s">
        <v>13</v>
      </c>
      <c r="G48" s="42" t="s">
        <v>49</v>
      </c>
      <c r="H48" s="39">
        <f t="shared" si="0"/>
        <v>53.007119864192447</v>
      </c>
      <c r="I48" s="138">
        <f>AB48*(1+(Inputs!AD$8/Inputs!AD$7-1)*50%)</f>
        <v>17.691339518113129</v>
      </c>
      <c r="J48" s="138">
        <f t="shared" si="1"/>
        <v>10.790866054023947</v>
      </c>
      <c r="K48" s="39">
        <f t="shared" si="8"/>
        <v>81.489325436329523</v>
      </c>
      <c r="L48" s="34"/>
      <c r="M48" s="40">
        <f t="shared" si="2"/>
        <v>3.115226353540093</v>
      </c>
      <c r="N48" s="40">
        <f t="shared" si="15"/>
        <v>3.0054302422723476</v>
      </c>
      <c r="O48" s="40">
        <f t="shared" si="16"/>
        <v>1.0730388757104889</v>
      </c>
      <c r="P48" s="40">
        <f t="shared" si="3"/>
        <v>1.148705096073517</v>
      </c>
      <c r="Q48" s="40">
        <f t="shared" si="4"/>
        <v>0.71612199502026797</v>
      </c>
      <c r="R48" s="41">
        <f t="shared" si="5"/>
        <v>9.0585225626167141</v>
      </c>
      <c r="S48" s="34"/>
      <c r="T48" s="39">
        <f t="shared" si="6"/>
        <v>90.547847998946239</v>
      </c>
      <c r="U48" s="8"/>
      <c r="V48" s="60">
        <v>9.5760000000000005</v>
      </c>
      <c r="W48" s="34">
        <v>42</v>
      </c>
      <c r="AB48" s="39">
        <v>17.415643793103186</v>
      </c>
    </row>
    <row r="49" spans="1:28" x14ac:dyDescent="0.35">
      <c r="A49" s="139" t="str">
        <f>B49&amp;C49&amp;D49&amp;E49&amp;F49</f>
        <v>42.5VERDE18160.5El Salvador</v>
      </c>
      <c r="B49" s="44">
        <v>42.5</v>
      </c>
      <c r="C49" s="42" t="s">
        <v>52</v>
      </c>
      <c r="D49" s="43">
        <v>1816</v>
      </c>
      <c r="E49" s="38">
        <v>0.5</v>
      </c>
      <c r="F49" s="36" t="s">
        <v>13</v>
      </c>
      <c r="G49" s="42" t="s">
        <v>49</v>
      </c>
      <c r="H49" s="39">
        <f t="shared" si="0"/>
        <v>58.539295978384892</v>
      </c>
      <c r="I49" s="138">
        <f>AB49*(1+(Inputs!AD$8/Inputs!AD$7-1)*50%)</f>
        <v>18.504003797575212</v>
      </c>
      <c r="J49" s="138">
        <f t="shared" si="1"/>
        <v>10.790866054023947</v>
      </c>
      <c r="K49" s="39">
        <f t="shared" si="8"/>
        <v>87.834165829984059</v>
      </c>
      <c r="L49" s="34"/>
      <c r="M49" s="40">
        <f t="shared" si="2"/>
        <v>3.1312787997360392</v>
      </c>
      <c r="N49" s="40">
        <f t="shared" si="15"/>
        <v>3.0054302422723476</v>
      </c>
      <c r="O49" s="40">
        <f t="shared" si="16"/>
        <v>1.1536645501030325</v>
      </c>
      <c r="P49" s="40">
        <f t="shared" si="3"/>
        <v>1.148705096073517</v>
      </c>
      <c r="Q49" s="40">
        <f t="shared" si="4"/>
        <v>0.76956897525527967</v>
      </c>
      <c r="R49" s="41">
        <f t="shared" si="5"/>
        <v>9.2086476634402175</v>
      </c>
      <c r="S49" s="34"/>
      <c r="T49" s="39">
        <f t="shared" si="6"/>
        <v>97.042813493424276</v>
      </c>
      <c r="U49" s="8"/>
      <c r="V49" s="60">
        <v>9.5760000000000005</v>
      </c>
      <c r="W49" s="34">
        <v>42</v>
      </c>
      <c r="AB49" s="39">
        <v>18.215643793103187</v>
      </c>
    </row>
    <row r="50" spans="1:28" x14ac:dyDescent="0.35">
      <c r="A50" s="139"/>
      <c r="B50">
        <v>2</v>
      </c>
      <c r="C50">
        <f>+B50+1</f>
        <v>3</v>
      </c>
      <c r="D50">
        <f t="shared" ref="D50:AB50" si="17">+C50+1</f>
        <v>4</v>
      </c>
      <c r="E50">
        <f t="shared" si="17"/>
        <v>5</v>
      </c>
      <c r="F50">
        <f t="shared" si="17"/>
        <v>6</v>
      </c>
      <c r="G50">
        <f t="shared" si="17"/>
        <v>7</v>
      </c>
      <c r="H50">
        <f t="shared" si="17"/>
        <v>8</v>
      </c>
      <c r="I50">
        <f t="shared" si="17"/>
        <v>9</v>
      </c>
      <c r="J50">
        <f t="shared" si="17"/>
        <v>10</v>
      </c>
      <c r="K50">
        <f t="shared" si="17"/>
        <v>11</v>
      </c>
      <c r="L50">
        <f t="shared" si="17"/>
        <v>12</v>
      </c>
      <c r="M50">
        <f t="shared" si="17"/>
        <v>13</v>
      </c>
      <c r="N50">
        <f t="shared" si="17"/>
        <v>14</v>
      </c>
      <c r="O50">
        <f t="shared" si="17"/>
        <v>15</v>
      </c>
      <c r="P50">
        <f t="shared" si="17"/>
        <v>16</v>
      </c>
      <c r="Q50">
        <f t="shared" si="17"/>
        <v>17</v>
      </c>
      <c r="R50">
        <f t="shared" si="17"/>
        <v>18</v>
      </c>
      <c r="S50">
        <f t="shared" si="17"/>
        <v>19</v>
      </c>
      <c r="T50">
        <f t="shared" si="17"/>
        <v>20</v>
      </c>
      <c r="U50">
        <f t="shared" si="17"/>
        <v>21</v>
      </c>
      <c r="V50">
        <f t="shared" si="17"/>
        <v>22</v>
      </c>
      <c r="W50">
        <f t="shared" si="17"/>
        <v>23</v>
      </c>
      <c r="X50">
        <f t="shared" si="17"/>
        <v>24</v>
      </c>
      <c r="Y50">
        <f t="shared" si="17"/>
        <v>25</v>
      </c>
      <c r="Z50">
        <f t="shared" si="17"/>
        <v>26</v>
      </c>
      <c r="AA50">
        <f t="shared" si="17"/>
        <v>27</v>
      </c>
      <c r="AB50">
        <f t="shared" si="17"/>
        <v>28</v>
      </c>
    </row>
    <row r="52" spans="1:28" x14ac:dyDescent="0.35">
      <c r="F52" s="30"/>
      <c r="G52" s="31"/>
    </row>
    <row r="53" spans="1:28" x14ac:dyDescent="0.35">
      <c r="F53" s="30"/>
      <c r="G53" s="31"/>
      <c r="T53" s="8"/>
    </row>
  </sheetData>
  <mergeCells count="3">
    <mergeCell ref="B11:D11"/>
    <mergeCell ref="B20:D20"/>
    <mergeCell ref="B18:C18"/>
  </mergeCells>
  <dataValidations count="1">
    <dataValidation type="list" allowBlank="1" showInputMessage="1" showErrorMessage="1" sqref="C7" xr:uid="{4D0A3BD5-5F88-4AF0-8639-934839600587}">
      <formula1>"Perú, Colombia, Ecuador, México, Costa Rica, República Dominicana, Panamá, Argentina, Chile, Costa Rica, Guatemala"</formula1>
    </dataValidation>
  </dataValidations>
  <pageMargins left="0.7" right="0.7" top="0.75" bottom="0.75" header="0.3" footer="0.3"/>
  <pageSetup paperSize="9" orientation="portrait" r:id="rId1"/>
  <ignoredErrors>
    <ignoredError sqref="R4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2E97-A73B-48C1-95C2-C573FCDE62F2}">
  <sheetPr codeName="Hoja1">
    <tabColor rgb="FF002060"/>
  </sheetPr>
  <dimension ref="A2:AF161"/>
  <sheetViews>
    <sheetView showGridLines="0" tabSelected="1" zoomScale="80" zoomScaleNormal="80" workbookViewId="0">
      <pane xSplit="5" topLeftCell="F1" activePane="topRight" state="frozen"/>
      <selection pane="topRight" activeCell="I12" sqref="I12"/>
    </sheetView>
  </sheetViews>
  <sheetFormatPr defaultColWidth="9.08984375" defaultRowHeight="14.5" x14ac:dyDescent="0.35"/>
  <cols>
    <col min="1" max="1" width="3" style="61" customWidth="1"/>
    <col min="2" max="2" width="14" style="61" customWidth="1"/>
    <col min="3" max="3" width="11.90625" style="61" customWidth="1"/>
    <col min="4" max="4" width="5.54296875" style="61" customWidth="1"/>
    <col min="5" max="5" width="6.54296875" style="63" customWidth="1"/>
    <col min="6" max="6" width="4" customWidth="1"/>
    <col min="7" max="7" width="25.90625" customWidth="1"/>
    <col min="8" max="9" width="13.54296875" customWidth="1"/>
    <col min="10" max="10" width="12.08984375" style="94" bestFit="1" customWidth="1"/>
    <col min="11" max="11" width="4.08984375" customWidth="1"/>
    <col min="12" max="12" width="21.08984375" customWidth="1"/>
    <col min="13" max="13" width="18.453125" customWidth="1"/>
    <col min="14" max="14" width="5" style="94" customWidth="1"/>
    <col min="15" max="15" width="5.90625" customWidth="1"/>
    <col min="16" max="16" width="22" style="95" customWidth="1"/>
    <col min="17" max="17" width="11.453125" style="95"/>
    <col min="18" max="18" width="10.90625" style="95"/>
    <col min="19" max="19" width="5.453125" style="85" customWidth="1"/>
    <col min="20" max="20" width="5.453125" style="84" customWidth="1"/>
    <col min="21" max="21" width="18.453125" style="84" customWidth="1"/>
    <col min="22" max="22" width="21.08984375" style="84" customWidth="1"/>
    <col min="23" max="23" width="11.08984375" style="84" bestFit="1" customWidth="1"/>
    <col min="24" max="24" width="9.08984375" style="84"/>
    <col min="25" max="25" width="7.90625" style="10" customWidth="1"/>
    <col min="26" max="26" width="5.453125" style="85" customWidth="1"/>
    <col min="27" max="27" width="3.08984375" style="84" customWidth="1"/>
    <col min="28" max="28" width="6.08984375" style="95" bestFit="1" customWidth="1"/>
    <col min="29" max="29" width="14.90625" style="95" customWidth="1"/>
    <col min="30" max="30" width="10.453125" style="95" customWidth="1"/>
    <col min="31" max="31" width="11.453125" style="95"/>
    <col min="32" max="16384" width="9.08984375" style="10"/>
  </cols>
  <sheetData>
    <row r="2" spans="1:32" x14ac:dyDescent="0.35">
      <c r="B2" s="62" t="s">
        <v>53</v>
      </c>
      <c r="G2" s="110" t="s">
        <v>54</v>
      </c>
      <c r="L2" s="64" t="s">
        <v>55</v>
      </c>
      <c r="P2" s="64" t="s">
        <v>56</v>
      </c>
      <c r="U2" s="83" t="s">
        <v>57</v>
      </c>
      <c r="AC2" s="110" t="s">
        <v>58</v>
      </c>
      <c r="AE2" s="121"/>
    </row>
    <row r="3" spans="1:32" ht="15.5" x14ac:dyDescent="0.35">
      <c r="A3" s="65"/>
      <c r="B3" s="65"/>
      <c r="C3" s="65"/>
      <c r="D3" s="65"/>
      <c r="E3" s="66"/>
      <c r="G3" s="64" t="s">
        <v>59</v>
      </c>
      <c r="K3" s="118"/>
      <c r="L3" s="64" t="s">
        <v>60</v>
      </c>
      <c r="X3" s="80"/>
      <c r="AC3" s="110" t="s">
        <v>61</v>
      </c>
      <c r="AD3" s="121" t="s">
        <v>62</v>
      </c>
      <c r="AE3" s="32"/>
    </row>
    <row r="4" spans="1:32" x14ac:dyDescent="0.35">
      <c r="G4" s="119" t="s">
        <v>63</v>
      </c>
      <c r="K4" s="118"/>
      <c r="L4" s="120" t="s">
        <v>63</v>
      </c>
      <c r="P4" s="88" t="s">
        <v>64</v>
      </c>
      <c r="Q4" s="87" t="s">
        <v>14</v>
      </c>
      <c r="U4" s="3" t="s">
        <v>14</v>
      </c>
      <c r="V4" s="4"/>
      <c r="W4" s="27">
        <v>3538.2447030000003</v>
      </c>
      <c r="X4" s="80"/>
      <c r="AC4" s="122" t="s">
        <v>65</v>
      </c>
      <c r="AD4" s="123"/>
      <c r="AE4" s="32"/>
    </row>
    <row r="5" spans="1:32" x14ac:dyDescent="0.35">
      <c r="C5" s="67" t="s">
        <v>66</v>
      </c>
      <c r="D5" s="68" t="s">
        <v>67</v>
      </c>
      <c r="G5" s="88" t="s">
        <v>68</v>
      </c>
      <c r="H5" s="76"/>
      <c r="K5" s="96"/>
      <c r="L5" s="131" t="s">
        <v>69</v>
      </c>
      <c r="M5" s="132"/>
      <c r="P5" s="106" t="s">
        <v>70</v>
      </c>
      <c r="Q5" s="106" t="s">
        <v>71</v>
      </c>
      <c r="U5" s="3" t="s">
        <v>13</v>
      </c>
      <c r="V5" s="4"/>
      <c r="W5" s="27">
        <v>4340</v>
      </c>
      <c r="X5" s="80"/>
      <c r="AC5" s="88" t="s">
        <v>72</v>
      </c>
      <c r="AD5" s="124"/>
      <c r="AE5" s="32"/>
    </row>
    <row r="6" spans="1:32" ht="31" x14ac:dyDescent="0.35">
      <c r="B6" s="69" t="s">
        <v>73</v>
      </c>
      <c r="C6" s="70">
        <v>2026</v>
      </c>
      <c r="D6" s="70">
        <v>4</v>
      </c>
      <c r="G6" s="106" t="s">
        <v>70</v>
      </c>
      <c r="H6" s="107" t="s">
        <v>74</v>
      </c>
      <c r="K6" s="96"/>
      <c r="L6" s="106" t="s">
        <v>70</v>
      </c>
      <c r="M6" s="107" t="s">
        <v>75</v>
      </c>
      <c r="P6" s="108" t="s">
        <v>98</v>
      </c>
      <c r="Q6" s="109">
        <v>485.17557959482116</v>
      </c>
      <c r="R6" s="95" t="s">
        <v>76</v>
      </c>
      <c r="U6" s="80"/>
      <c r="V6" s="80"/>
      <c r="W6" s="80"/>
      <c r="X6" s="81"/>
      <c r="AC6" s="125" t="s">
        <v>70</v>
      </c>
      <c r="AD6" s="125" t="s">
        <v>77</v>
      </c>
      <c r="AE6" s="126" t="s">
        <v>78</v>
      </c>
    </row>
    <row r="7" spans="1:32" x14ac:dyDescent="0.35">
      <c r="G7" s="108" t="s">
        <v>98</v>
      </c>
      <c r="H7" s="111">
        <v>852.5</v>
      </c>
      <c r="J7" s="114"/>
      <c r="L7" s="108" t="s">
        <v>98</v>
      </c>
      <c r="M7" s="111">
        <v>122.22727272727273</v>
      </c>
      <c r="U7" s="3" t="s">
        <v>20</v>
      </c>
      <c r="V7" s="4"/>
      <c r="W7" s="82">
        <v>2.5300000000000001E-3</v>
      </c>
      <c r="X7" s="80"/>
      <c r="AB7" s="127" t="s">
        <v>29</v>
      </c>
      <c r="AC7" s="32" t="s">
        <v>79</v>
      </c>
      <c r="AD7" s="128">
        <v>314.17500000000001</v>
      </c>
      <c r="AE7" s="32"/>
    </row>
    <row r="8" spans="1:32" x14ac:dyDescent="0.35">
      <c r="C8" s="67" t="s">
        <v>80</v>
      </c>
      <c r="D8" s="68" t="s">
        <v>81</v>
      </c>
      <c r="H8" s="75" t="s">
        <v>13</v>
      </c>
      <c r="I8" s="75" t="s">
        <v>14</v>
      </c>
      <c r="J8" s="73"/>
      <c r="P8" s="89" t="s">
        <v>82</v>
      </c>
      <c r="Q8" s="90">
        <v>0.3</v>
      </c>
      <c r="U8" s="3" t="s">
        <v>21</v>
      </c>
      <c r="V8" s="4"/>
      <c r="W8" s="16">
        <v>855</v>
      </c>
      <c r="X8" s="80"/>
      <c r="AB8" s="127" t="s">
        <v>83</v>
      </c>
      <c r="AC8" s="129" t="s">
        <v>97</v>
      </c>
      <c r="AD8" s="128">
        <v>324.12200000000001</v>
      </c>
      <c r="AE8" s="130">
        <f>AD8/AD7-1</f>
        <v>3.1660698655208153E-2</v>
      </c>
      <c r="AF8" s="136" t="s">
        <v>84</v>
      </c>
    </row>
    <row r="9" spans="1:32" ht="18.5" x14ac:dyDescent="0.35">
      <c r="C9" s="71" t="str">
        <f>UPPER(C6&amp;"-"&amp;D6)</f>
        <v>2026-4</v>
      </c>
      <c r="D9" s="71">
        <f>D6</f>
        <v>4</v>
      </c>
      <c r="G9" s="74" t="s">
        <v>85</v>
      </c>
      <c r="H9" s="75">
        <f>AVERAGE(H7:H7)</f>
        <v>852.5</v>
      </c>
      <c r="I9" s="75">
        <f>+H7</f>
        <v>852.5</v>
      </c>
      <c r="J9" s="77"/>
      <c r="L9" s="131" t="s">
        <v>86</v>
      </c>
      <c r="M9" s="132"/>
      <c r="P9" s="89" t="s">
        <v>87</v>
      </c>
      <c r="Q9" s="97">
        <f>725*(1+(Inputs!AD$8/Inputs!AD$7-1)*50%)</f>
        <v>736.47700326251288</v>
      </c>
      <c r="R9" s="95" t="s">
        <v>76</v>
      </c>
      <c r="U9" s="3" t="s">
        <v>22</v>
      </c>
      <c r="V9" s="4"/>
      <c r="W9" s="16">
        <v>360</v>
      </c>
      <c r="X9" s="80"/>
    </row>
    <row r="10" spans="1:32" x14ac:dyDescent="0.35">
      <c r="G10" s="137" t="s">
        <v>88</v>
      </c>
      <c r="H10" s="134">
        <f>IF(M7&gt;180,M7+25,195)</f>
        <v>195</v>
      </c>
      <c r="I10" s="134">
        <f>IF(M11&gt;180,M11+25,161)</f>
        <v>161</v>
      </c>
      <c r="J10" s="77"/>
      <c r="L10" s="106" t="s">
        <v>70</v>
      </c>
      <c r="M10" s="107" t="s">
        <v>75</v>
      </c>
      <c r="P10" s="89" t="s">
        <v>89</v>
      </c>
      <c r="Q10" s="91">
        <f>+Q6/(1-Q8)+Q9</f>
        <v>1429.5849741122574</v>
      </c>
      <c r="R10" s="95" t="s">
        <v>76</v>
      </c>
      <c r="U10" s="3" t="s">
        <v>23</v>
      </c>
      <c r="V10" s="4"/>
      <c r="W10" s="16">
        <v>14.9</v>
      </c>
      <c r="X10" s="80"/>
    </row>
    <row r="11" spans="1:32" x14ac:dyDescent="0.35">
      <c r="B11" s="62" t="s">
        <v>90</v>
      </c>
      <c r="C11" s="115">
        <f>DATE($C$6,$D$6,1)</f>
        <v>46113</v>
      </c>
      <c r="G11" s="133" t="s">
        <v>91</v>
      </c>
      <c r="H11" s="98">
        <v>64</v>
      </c>
      <c r="I11" s="98">
        <v>35</v>
      </c>
      <c r="J11" s="79"/>
      <c r="L11" s="108" t="s">
        <v>98</v>
      </c>
      <c r="M11" s="135">
        <v>55.272727272727273</v>
      </c>
      <c r="P11" s="89" t="s">
        <v>2</v>
      </c>
      <c r="Q11" s="97">
        <v>200</v>
      </c>
      <c r="U11" s="3" t="s">
        <v>24</v>
      </c>
      <c r="V11" s="4"/>
      <c r="W11" s="16">
        <v>13.88</v>
      </c>
      <c r="X11" s="80"/>
    </row>
    <row r="12" spans="1:32" x14ac:dyDescent="0.35">
      <c r="B12" s="62" t="s">
        <v>92</v>
      </c>
      <c r="C12" s="115">
        <f>IF(ISNUMBER($D$6),EOMONTH(C11,0),0) +
 IF(LEFT($D$6,1)="B",EOMONTH(C11,1),0) +
 IF(LEFT($D$6,1)="Q",EOMONTH(C11,2),0) +
 IF(LEFT($D$6,1)="S",EOMONTH(C11,5),0)</f>
        <v>46142</v>
      </c>
      <c r="G12" s="78" t="s">
        <v>93</v>
      </c>
      <c r="H12" s="112">
        <f>+SUM(Inputs!H9:H11)</f>
        <v>1111.5</v>
      </c>
      <c r="I12" s="144">
        <f>+SUM(Inputs!I9:I11)</f>
        <v>1048.5</v>
      </c>
      <c r="J12" s="99"/>
      <c r="P12" s="89" t="s">
        <v>94</v>
      </c>
      <c r="Q12" s="91">
        <f>+Q10+Q11</f>
        <v>1629.5849741122574</v>
      </c>
      <c r="U12" s="3" t="s">
        <v>25</v>
      </c>
      <c r="V12" s="4"/>
      <c r="W12" s="82">
        <v>0.08</v>
      </c>
      <c r="X12" s="82">
        <f>+(1+W12)^(30/365)-1</f>
        <v>6.3456136620225756E-3</v>
      </c>
    </row>
    <row r="13" spans="1:32" x14ac:dyDescent="0.35">
      <c r="J13" s="77"/>
      <c r="U13" s="3" t="s">
        <v>26</v>
      </c>
      <c r="V13" s="4"/>
      <c r="W13" s="16">
        <v>11</v>
      </c>
      <c r="X13" s="80"/>
    </row>
    <row r="14" spans="1:32" ht="29" x14ac:dyDescent="0.35">
      <c r="G14" s="116" t="s">
        <v>95</v>
      </c>
      <c r="H14" s="117">
        <v>5.0000000000000001E-3</v>
      </c>
      <c r="I14" s="117">
        <v>5.0000000000000001E-3</v>
      </c>
      <c r="P14" s="116" t="s">
        <v>95</v>
      </c>
      <c r="Q14" s="117">
        <v>5.0000000000000001E-3</v>
      </c>
      <c r="U14" s="3" t="s">
        <v>27</v>
      </c>
      <c r="V14" s="4"/>
      <c r="W14" s="82">
        <v>4.1799999999999997E-3</v>
      </c>
      <c r="X14" s="80"/>
    </row>
    <row r="18" spans="16:18" x14ac:dyDescent="0.35">
      <c r="R18" s="72"/>
    </row>
    <row r="20" spans="16:18" x14ac:dyDescent="0.35">
      <c r="P20" s="92"/>
      <c r="Q20" s="92"/>
      <c r="R20" s="92"/>
    </row>
    <row r="21" spans="16:18" x14ac:dyDescent="0.35">
      <c r="P21" s="100"/>
      <c r="Q21" s="100"/>
      <c r="R21" s="100"/>
    </row>
    <row r="22" spans="16:18" x14ac:dyDescent="0.35">
      <c r="P22" s="101"/>
      <c r="Q22" s="101"/>
      <c r="R22" s="101"/>
    </row>
    <row r="26" spans="16:18" x14ac:dyDescent="0.35">
      <c r="P26" s="102"/>
      <c r="Q26" s="102"/>
      <c r="R26" s="102"/>
    </row>
    <row r="27" spans="16:18" x14ac:dyDescent="0.35">
      <c r="P27" s="103"/>
      <c r="Q27" s="103"/>
      <c r="R27" s="103"/>
    </row>
    <row r="28" spans="16:18" x14ac:dyDescent="0.35">
      <c r="P28" s="93"/>
      <c r="Q28" s="93"/>
      <c r="R28" s="93"/>
    </row>
    <row r="29" spans="16:18" x14ac:dyDescent="0.35">
      <c r="P29" s="103"/>
      <c r="Q29" s="103"/>
      <c r="R29" s="103"/>
    </row>
    <row r="150" spans="11:15" x14ac:dyDescent="0.35">
      <c r="L150" s="104"/>
      <c r="M150" s="104"/>
    </row>
    <row r="151" spans="11:15" x14ac:dyDescent="0.35">
      <c r="L151" s="104"/>
      <c r="M151" s="104"/>
    </row>
    <row r="152" spans="11:15" x14ac:dyDescent="0.35">
      <c r="K152" s="104"/>
      <c r="L152" s="104"/>
      <c r="M152" s="104"/>
    </row>
    <row r="153" spans="11:15" x14ac:dyDescent="0.35">
      <c r="K153" s="104"/>
      <c r="L153" s="104"/>
      <c r="M153" s="104"/>
    </row>
    <row r="154" spans="11:15" x14ac:dyDescent="0.35">
      <c r="K154" s="104"/>
      <c r="L154" s="104"/>
      <c r="M154" s="104"/>
      <c r="N154" s="105"/>
      <c r="O154" s="104"/>
    </row>
    <row r="155" spans="11:15" x14ac:dyDescent="0.35">
      <c r="K155" s="104"/>
      <c r="L155" s="104"/>
      <c r="M155" s="104"/>
      <c r="N155" s="105"/>
      <c r="O155" s="104"/>
    </row>
    <row r="156" spans="11:15" x14ac:dyDescent="0.35">
      <c r="K156" s="104"/>
      <c r="L156" s="104"/>
      <c r="M156" s="104"/>
      <c r="N156" s="105"/>
      <c r="O156" s="104"/>
    </row>
    <row r="157" spans="11:15" x14ac:dyDescent="0.35">
      <c r="K157" s="104"/>
      <c r="L157" s="104"/>
      <c r="M157" s="104"/>
      <c r="N157" s="105"/>
      <c r="O157" s="104"/>
    </row>
    <row r="158" spans="11:15" x14ac:dyDescent="0.35">
      <c r="K158" s="104"/>
      <c r="N158" s="105"/>
      <c r="O158" s="104"/>
    </row>
    <row r="159" spans="11:15" x14ac:dyDescent="0.35">
      <c r="K159" s="104"/>
      <c r="N159" s="105"/>
      <c r="O159" s="104"/>
    </row>
    <row r="160" spans="11:15" x14ac:dyDescent="0.35">
      <c r="N160" s="105"/>
      <c r="O160" s="104"/>
    </row>
    <row r="161" spans="14:15" x14ac:dyDescent="0.35">
      <c r="N161" s="105"/>
      <c r="O161" s="104"/>
    </row>
  </sheetData>
  <dataValidations count="1">
    <dataValidation type="list" allowBlank="1" showInputMessage="1" showErrorMessage="1" sqref="D6" xr:uid="{9CDC0390-F849-46F6-B074-6EB3ABFA87C4}">
      <formula1>"1,2,3,4,5,6,7,8,9,10,11,12"</formula1>
    </dataValidation>
  </dataValidations>
  <hyperlinks>
    <hyperlink ref="AD3" r:id="rId1" xr:uid="{47BE3156-7FC8-401D-8958-F2FB8D1E3AC8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A3BD-8A4D-41D3-A768-71D00B730B74}">
  <dimension ref="B2:S4"/>
  <sheetViews>
    <sheetView showGridLines="0" zoomScale="85" zoomScaleNormal="85" workbookViewId="0">
      <selection activeCell="S9" sqref="S9"/>
    </sheetView>
  </sheetViews>
  <sheetFormatPr defaultColWidth="11.453125" defaultRowHeight="14.5" x14ac:dyDescent="0.35"/>
  <cols>
    <col min="11" max="17" width="0" hidden="1" customWidth="1"/>
  </cols>
  <sheetData>
    <row r="2" spans="2:19" ht="84" x14ac:dyDescent="0.35"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6" t="s">
        <v>36</v>
      </c>
      <c r="I2" s="6" t="s">
        <v>37</v>
      </c>
      <c r="J2" s="6" t="s">
        <v>38</v>
      </c>
      <c r="L2" s="7" t="s">
        <v>39</v>
      </c>
      <c r="M2" s="7" t="s">
        <v>40</v>
      </c>
      <c r="N2" s="7" t="s">
        <v>41</v>
      </c>
      <c r="O2" s="7" t="s">
        <v>42</v>
      </c>
      <c r="P2" s="7" t="s">
        <v>43</v>
      </c>
      <c r="Q2" s="7" t="s">
        <v>44</v>
      </c>
      <c r="S2" s="6" t="s">
        <v>45</v>
      </c>
    </row>
    <row r="3" spans="2:19" x14ac:dyDescent="0.35">
      <c r="B3" s="17">
        <v>29</v>
      </c>
      <c r="C3" s="17" t="s">
        <v>50</v>
      </c>
      <c r="D3" s="17">
        <v>1881</v>
      </c>
      <c r="E3" s="17">
        <v>0</v>
      </c>
      <c r="F3" s="17" t="s">
        <v>13</v>
      </c>
      <c r="G3" s="17" t="s">
        <v>49</v>
      </c>
      <c r="H3" s="19">
        <v>31.933481216879997</v>
      </c>
      <c r="I3" s="19">
        <v>18.072406236831014</v>
      </c>
      <c r="J3" s="19">
        <v>9.7313350340136111</v>
      </c>
      <c r="K3" s="20"/>
      <c r="L3" s="21">
        <v>2.9336992219053606</v>
      </c>
      <c r="M3" s="21">
        <v>1.3053467000835421</v>
      </c>
      <c r="N3" s="21">
        <v>0.40596868286590143</v>
      </c>
      <c r="O3" s="21">
        <v>1.2531328320802004</v>
      </c>
      <c r="P3" s="21">
        <v>0.27435584628507714</v>
      </c>
      <c r="Q3" s="21">
        <v>6.1725032832200819</v>
      </c>
      <c r="R3" s="20"/>
      <c r="S3" s="19">
        <v>65.909725770944704</v>
      </c>
    </row>
    <row r="4" spans="2:19" x14ac:dyDescent="0.35">
      <c r="B4" s="22"/>
      <c r="C4" s="22"/>
      <c r="D4" s="22"/>
      <c r="E4" s="22"/>
      <c r="F4" s="22"/>
      <c r="G4" s="22"/>
      <c r="H4" s="24"/>
      <c r="I4" s="24"/>
      <c r="J4" s="23"/>
      <c r="L4" s="18"/>
      <c r="M4" s="18"/>
      <c r="N4" s="18"/>
      <c r="O4" s="18"/>
      <c r="P4" s="18"/>
      <c r="Q4" s="18"/>
      <c r="S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0674FA40451B48844B0F762B2577E0" ma:contentTypeVersion="11" ma:contentTypeDescription="Crear nuevo documento." ma:contentTypeScope="" ma:versionID="908e26021aabdeaf1c635798e9c267a4">
  <xsd:schema xmlns:xsd="http://www.w3.org/2001/XMLSchema" xmlns:xs="http://www.w3.org/2001/XMLSchema" xmlns:p="http://schemas.microsoft.com/office/2006/metadata/properties" xmlns:ns2="ec0f8c29-d384-43e4-af7a-7087ba759c33" xmlns:ns3="1ffc9efa-4fd2-4b43-b099-382498c4b061" targetNamespace="http://schemas.microsoft.com/office/2006/metadata/properties" ma:root="true" ma:fieldsID="135afefcb278bd344ccb8b9751303dc7" ns2:_="" ns3:_="">
    <xsd:import namespace="ec0f8c29-d384-43e4-af7a-7087ba759c33"/>
    <xsd:import namespace="1ffc9efa-4fd2-4b43-b099-382498c4b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8c29-d384-43e4-af7a-7087ba759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6fed87-db61-446d-a8b1-f34d6b92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c9efa-4fd2-4b43-b099-382498c4b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18eed7-6fa0-4d6c-adfe-19757cc7d677}" ma:internalName="TaxCatchAll" ma:showField="CatchAllData" ma:web="1ffc9efa-4fd2-4b43-b099-382498c4b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c9efa-4fd2-4b43-b099-382498c4b061" xsi:nil="true"/>
    <lcf76f155ced4ddcb4097134ff3c332f xmlns="ec0f8c29-d384-43e4-af7a-7087ba759c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A8814A-7C1C-41DD-84AF-FE19940E11B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6EA93E-EB0D-4544-AAB6-86191E5DA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f8c29-d384-43e4-af7a-7087ba759c33"/>
    <ds:schemaRef ds:uri="1ffc9efa-4fd2-4b43-b099-382498c4b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0A0377-F750-4830-BE84-747EB6B40DD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722E35-2662-4D0B-B853-0051328EAB6D}">
  <ds:schemaRefs>
    <ds:schemaRef ds:uri="1ffc9efa-4fd2-4b43-b099-382498c4b061"/>
    <ds:schemaRef ds:uri="http://purl.org/dc/dcmitype/"/>
    <ds:schemaRef ds:uri="http://schemas.microsoft.com/office/2006/metadata/properties"/>
    <ds:schemaRef ds:uri="ec0f8c29-d384-43e4-af7a-7087ba759c33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</vt:lpstr>
      <vt:lpstr>Inputs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Guerrero Flores</dc:creator>
  <cp:keywords/>
  <dc:description/>
  <cp:lastModifiedBy>Murugan Narendhra Kumar</cp:lastModifiedBy>
  <cp:revision/>
  <dcterms:created xsi:type="dcterms:W3CDTF">2018-07-03T18:39:21Z</dcterms:created>
  <dcterms:modified xsi:type="dcterms:W3CDTF">2026-05-04T15:27:12Z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0x010100DD0674FA40451B48844B0F762B2577E0</vt:lpwstr>
  </property>
  <property fmtid="{D5CDD505-2E9C-101B-9397-08002B2CF9AE}" pid="3" name="MediaServiceImageTags">
    <vt:lpwstr/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2026-04-23T14:38:38Z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aa90f4f4-931e-4a01-a216-bdd89563e8bf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10, 3, 0, 1</vt:lpwstr>
  </property>
</Properties>
</file>