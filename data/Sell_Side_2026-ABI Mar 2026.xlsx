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 Model/PET_Data_Model/data/"/>
    </mc:Choice>
  </mc:AlternateContent>
  <xr:revisionPtr revIDLastSave="296" documentId="8_{1C2F3EB8-E861-4594-B239-801C48B2D37E}" xr6:coauthVersionLast="47" xr6:coauthVersionMax="47" xr10:uidLastSave="{3738EFBF-9FF3-4BFF-B813-D3AB9B5DA963}"/>
  <bookViews>
    <workbookView xWindow="-110" yWindow="-110" windowWidth="19420" windowHeight="11500" tabRatio="630" xr2:uid="{2BD26E7A-281E-4800-B4DE-AC2D086899E1}"/>
  </bookViews>
  <sheets>
    <sheet name="ICIS Price History" sheetId="23" r:id="rId1"/>
    <sheet name="Sheet1" sheetId="27" r:id="rId2"/>
    <sheet name="Precios - MAR 26 " sheetId="20" r:id="rId3"/>
    <sheet name="Kardex" sheetId="21" r:id="rId4"/>
    <sheet name="PCR" sheetId="24" r:id="rId5"/>
    <sheet name="Fletes" sheetId="26" r:id="rId6"/>
    <sheet name="Proyección Resina Virgen " sheetId="2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7" i="23" l="1"/>
  <c r="F20" i="27"/>
  <c r="F19" i="27"/>
  <c r="F18" i="27"/>
  <c r="F15" i="27"/>
  <c r="ED50" i="24"/>
  <c r="ED12" i="24"/>
  <c r="DE9" i="21"/>
  <c r="DD9" i="21"/>
  <c r="DD8" i="21"/>
  <c r="DE6" i="21"/>
  <c r="DD6" i="21"/>
  <c r="DC8" i="21"/>
  <c r="ED51" i="24" l="1"/>
  <c r="EF50" i="24" s="1"/>
  <c r="EC41" i="24"/>
  <c r="EF36" i="24"/>
  <c r="ED36" i="24"/>
  <c r="ED37" i="24" s="1"/>
  <c r="EC36" i="24"/>
  <c r="EF33" i="24"/>
  <c r="EC32" i="24"/>
  <c r="EC33" i="24" s="1"/>
  <c r="EC37" i="24" s="1"/>
  <c r="EC39" i="24"/>
  <c r="ED11" i="24"/>
  <c r="EC11" i="24"/>
  <c r="ED9" i="24"/>
  <c r="ED7" i="24"/>
  <c r="EC6" i="24"/>
  <c r="EC10" i="24" s="1"/>
  <c r="EC15" i="24" s="1"/>
  <c r="ED4" i="24"/>
  <c r="ED6" i="24" s="1"/>
  <c r="ED10" i="24" s="1"/>
  <c r="CX7" i="21"/>
  <c r="CW5" i="21"/>
  <c r="CX5" i="21"/>
  <c r="CY15" i="21"/>
  <c r="CX15" i="21"/>
  <c r="CX17" i="21" s="1"/>
  <c r="CY17" i="21" s="1"/>
  <c r="CW15" i="21"/>
  <c r="CW13" i="21"/>
  <c r="CW12" i="21"/>
  <c r="CW8" i="21"/>
  <c r="CY7" i="21"/>
  <c r="CY5" i="21"/>
  <c r="I217" i="23"/>
  <c r="M217" i="23" s="1"/>
  <c r="CX6" i="21" s="1"/>
  <c r="CY6" i="21" s="1"/>
  <c r="EC40" i="24" l="1"/>
  <c r="ED40" i="24"/>
  <c r="ED13" i="24"/>
  <c r="ED15" i="24" s="1"/>
  <c r="EF49" i="24"/>
  <c r="EF51" i="24" s="1"/>
  <c r="CW18" i="21"/>
  <c r="CX8" i="21"/>
  <c r="DZ12" i="24"/>
  <c r="DY39" i="24"/>
  <c r="DZ51" i="24"/>
  <c r="EB50" i="24"/>
  <c r="EB49" i="24"/>
  <c r="EB51" i="24" s="1"/>
  <c r="DY41" i="24"/>
  <c r="DZ40" i="24"/>
  <c r="DZ36" i="24"/>
  <c r="DZ37" i="24" s="1"/>
  <c r="DY36" i="24"/>
  <c r="DY32" i="24"/>
  <c r="DY33" i="24" s="1"/>
  <c r="DY37" i="24" s="1"/>
  <c r="DY11" i="24"/>
  <c r="DZ11" i="24" s="1"/>
  <c r="DZ9" i="24"/>
  <c r="DZ7" i="24"/>
  <c r="DY6" i="24"/>
  <c r="DY10" i="24" s="1"/>
  <c r="DY15" i="24" s="1"/>
  <c r="DZ4" i="24"/>
  <c r="DZ6" i="24" s="1"/>
  <c r="DZ10" i="24" s="1"/>
  <c r="CT15" i="21"/>
  <c r="CT13" i="21"/>
  <c r="CT12" i="21"/>
  <c r="D37" i="20"/>
  <c r="D55" i="20" s="1"/>
  <c r="D22" i="20"/>
  <c r="M216" i="23"/>
  <c r="Q216" i="23" s="1"/>
  <c r="CU6" i="21" s="1"/>
  <c r="CV6" i="21" s="1"/>
  <c r="I216" i="23"/>
  <c r="I213" i="23"/>
  <c r="I214" i="23"/>
  <c r="DV12" i="24"/>
  <c r="DU39" i="24" s="1"/>
  <c r="DV4" i="24"/>
  <c r="DV6" i="24" s="1"/>
  <c r="DV10" i="24" s="1"/>
  <c r="DV51" i="24"/>
  <c r="DX50" i="24"/>
  <c r="DX49" i="24"/>
  <c r="DX51" i="24" s="1"/>
  <c r="DU41" i="24"/>
  <c r="DV36" i="24"/>
  <c r="DV37" i="24" s="1"/>
  <c r="DU36" i="24"/>
  <c r="DU37" i="24" s="1"/>
  <c r="DU32" i="24"/>
  <c r="DU33" i="24" s="1"/>
  <c r="DU11" i="24"/>
  <c r="DV11" i="24" s="1"/>
  <c r="DV9" i="24"/>
  <c r="DV7" i="24"/>
  <c r="DU6" i="24"/>
  <c r="DU10" i="24" s="1"/>
  <c r="DU15" i="24" s="1"/>
  <c r="CY8" i="21" l="1"/>
  <c r="F11" i="20"/>
  <c r="EC50" i="24"/>
  <c r="EE50" i="24" s="1"/>
  <c r="CX16" i="21" s="1"/>
  <c r="EE10" i="24"/>
  <c r="EE11" i="24"/>
  <c r="EE13" i="24"/>
  <c r="EC42" i="24"/>
  <c r="DZ13" i="24"/>
  <c r="DZ15" i="24" s="1"/>
  <c r="DY40" i="24"/>
  <c r="DY42" i="24" s="1"/>
  <c r="CT18" i="21"/>
  <c r="DV13" i="24"/>
  <c r="DU40" i="24"/>
  <c r="DU42" i="24" s="1"/>
  <c r="DU49" i="24" s="1"/>
  <c r="DV40" i="24"/>
  <c r="CY16" i="21" l="1"/>
  <c r="CX18" i="21"/>
  <c r="EF13" i="24"/>
  <c r="EF11" i="24"/>
  <c r="EC49" i="24"/>
  <c r="EE38" i="24"/>
  <c r="EE37" i="24"/>
  <c r="EE41" i="24"/>
  <c r="EF10" i="24"/>
  <c r="EE15" i="24"/>
  <c r="EE40" i="24"/>
  <c r="DY49" i="24"/>
  <c r="EA38" i="24"/>
  <c r="EA41" i="24"/>
  <c r="EA37" i="24"/>
  <c r="DY50" i="24"/>
  <c r="EA50" i="24" s="1"/>
  <c r="EA10" i="24"/>
  <c r="EA11" i="24"/>
  <c r="EA40" i="24"/>
  <c r="EA13" i="24"/>
  <c r="DW41" i="24"/>
  <c r="DW38" i="24"/>
  <c r="DW37" i="24"/>
  <c r="DW40" i="24"/>
  <c r="DV15" i="24"/>
  <c r="CX23" i="21" l="1"/>
  <c r="F26" i="20" s="1"/>
  <c r="CY18" i="21"/>
  <c r="EF15" i="24"/>
  <c r="EE42" i="24"/>
  <c r="EE51" i="24"/>
  <c r="EE49" i="24"/>
  <c r="EF38" i="24" s="1"/>
  <c r="EB11" i="24"/>
  <c r="EA42" i="24"/>
  <c r="EA15" i="24"/>
  <c r="EB10" i="24"/>
  <c r="EB13" i="24"/>
  <c r="EA51" i="24"/>
  <c r="EA49" i="24"/>
  <c r="EB37" i="24" s="1"/>
  <c r="DU50" i="24"/>
  <c r="DW50" i="24" s="1"/>
  <c r="DW10" i="24"/>
  <c r="DW11" i="24"/>
  <c r="DW13" i="24"/>
  <c r="DW49" i="24"/>
  <c r="DX41" i="24" s="1"/>
  <c r="DW42" i="24"/>
  <c r="EF40" i="24" l="1"/>
  <c r="EF37" i="24"/>
  <c r="EF41" i="24"/>
  <c r="CU16" i="21"/>
  <c r="EB40" i="24"/>
  <c r="EB38" i="24"/>
  <c r="EB41" i="24"/>
  <c r="EB15" i="24"/>
  <c r="DX40" i="24"/>
  <c r="DX38" i="24"/>
  <c r="DX13" i="24"/>
  <c r="DX11" i="24"/>
  <c r="DW51" i="24"/>
  <c r="CR16" i="21" s="1"/>
  <c r="DX37" i="24"/>
  <c r="DX10" i="24"/>
  <c r="DX15" i="24" s="1"/>
  <c r="DW15" i="24"/>
  <c r="EF42" i="24" l="1"/>
  <c r="EF16" i="24" s="1"/>
  <c r="CV16" i="21"/>
  <c r="CQ12" i="21"/>
  <c r="CQ13" i="21"/>
  <c r="CS16" i="21"/>
  <c r="CQ15" i="21"/>
  <c r="B23" i="20"/>
  <c r="B38" i="20" s="1"/>
  <c r="B56" i="20" s="1"/>
  <c r="I215" i="23"/>
  <c r="M215" i="23"/>
  <c r="Q215" i="23" s="1"/>
  <c r="CR6" i="21" s="1"/>
  <c r="CS6" i="21" s="1"/>
  <c r="CN16" i="21"/>
  <c r="CK16" i="21"/>
  <c r="DR12" i="24"/>
  <c r="DQ39" i="24" s="1"/>
  <c r="DR51" i="24"/>
  <c r="DT50" i="24" s="1"/>
  <c r="DT49" i="24"/>
  <c r="DQ41" i="24"/>
  <c r="DR40" i="24"/>
  <c r="DR36" i="24"/>
  <c r="DR37" i="24" s="1"/>
  <c r="DQ36" i="24"/>
  <c r="DQ32" i="24"/>
  <c r="DQ33" i="24" s="1"/>
  <c r="DQ11" i="24"/>
  <c r="DR11" i="24" s="1"/>
  <c r="DR9" i="24"/>
  <c r="DR7" i="24"/>
  <c r="DQ6" i="24"/>
  <c r="DQ10" i="24" s="1"/>
  <c r="DQ15" i="24" s="1"/>
  <c r="DR4" i="24"/>
  <c r="DR6" i="24" s="1"/>
  <c r="DR10" i="24" s="1"/>
  <c r="DN12" i="24"/>
  <c r="DN51" i="24"/>
  <c r="DP50" i="24" s="1"/>
  <c r="DM41" i="24"/>
  <c r="DN36" i="24"/>
  <c r="DN37" i="24" s="1"/>
  <c r="DM36" i="24"/>
  <c r="DM32" i="24"/>
  <c r="DM33" i="24" s="1"/>
  <c r="DM37" i="24" s="1"/>
  <c r="DM11" i="24"/>
  <c r="DN11" i="24" s="1"/>
  <c r="DN9" i="24"/>
  <c r="DN7" i="24"/>
  <c r="DM6" i="24"/>
  <c r="DM10" i="24" s="1"/>
  <c r="DM15" i="24" s="1"/>
  <c r="DN4" i="24"/>
  <c r="DN6" i="24" s="1"/>
  <c r="DN10" i="24" s="1"/>
  <c r="CK15" i="21"/>
  <c r="M214" i="23"/>
  <c r="Q214" i="23" s="1"/>
  <c r="CO6" i="21" s="1"/>
  <c r="CP6" i="21" s="1"/>
  <c r="H16" i="20"/>
  <c r="G16" i="20"/>
  <c r="H15" i="20"/>
  <c r="G15" i="20"/>
  <c r="F15" i="20"/>
  <c r="F16" i="20" s="1"/>
  <c r="G11" i="20"/>
  <c r="G7" i="20"/>
  <c r="F6" i="20"/>
  <c r="H6" i="20" s="1"/>
  <c r="H7" i="20" s="1"/>
  <c r="M213" i="23"/>
  <c r="Q213" i="23" s="1"/>
  <c r="CL6" i="21" s="1"/>
  <c r="CM6" i="21" s="1"/>
  <c r="CQ18" i="21" l="1"/>
  <c r="DR13" i="24"/>
  <c r="DR15" i="24" s="1"/>
  <c r="DQ37" i="24"/>
  <c r="DT51" i="24"/>
  <c r="DN13" i="24"/>
  <c r="DM39" i="24"/>
  <c r="DM40" i="24" s="1"/>
  <c r="DP49" i="24"/>
  <c r="DP51" i="24" s="1"/>
  <c r="DN40" i="24"/>
  <c r="CK18" i="21"/>
  <c r="I6" i="20"/>
  <c r="DJ12" i="24"/>
  <c r="DI39" i="24" s="1"/>
  <c r="DJ51" i="24"/>
  <c r="DL50" i="24" s="1"/>
  <c r="DI41" i="24"/>
  <c r="DJ36" i="24"/>
  <c r="DJ37" i="24" s="1"/>
  <c r="DI36" i="24"/>
  <c r="DI32" i="24"/>
  <c r="DI33" i="24" s="1"/>
  <c r="DI6" i="24"/>
  <c r="DI10" i="24" s="1"/>
  <c r="T212" i="23"/>
  <c r="CH6" i="21" s="1"/>
  <c r="CH5" i="21"/>
  <c r="I210" i="23"/>
  <c r="M210" i="23" s="1"/>
  <c r="Q210" i="23" s="1"/>
  <c r="Q212" i="23" s="1"/>
  <c r="CI6" i="21" s="1"/>
  <c r="I209" i="23"/>
  <c r="DQ50" i="24" l="1"/>
  <c r="DS50" i="24" s="1"/>
  <c r="DS11" i="24"/>
  <c r="DS10" i="24"/>
  <c r="DQ40" i="24"/>
  <c r="DS13" i="24"/>
  <c r="DM42" i="24"/>
  <c r="CN15" i="21"/>
  <c r="DN15" i="24"/>
  <c r="DO13" i="24" s="1"/>
  <c r="I7" i="20"/>
  <c r="D14" i="20"/>
  <c r="DJ40" i="24"/>
  <c r="CH16" i="21"/>
  <c r="DL49" i="24"/>
  <c r="DI37" i="24"/>
  <c r="DL51" i="24"/>
  <c r="CJ6" i="21"/>
  <c r="CH8" i="21"/>
  <c r="CK5" i="21" s="1"/>
  <c r="CE7" i="21"/>
  <c r="DF12" i="24"/>
  <c r="M209" i="23"/>
  <c r="Q209" i="23" s="1"/>
  <c r="CF6" i="21" s="1"/>
  <c r="CG6" i="21" s="1"/>
  <c r="I208" i="23"/>
  <c r="DF51" i="24"/>
  <c r="DH50" i="24" s="1"/>
  <c r="DE41" i="24"/>
  <c r="DF36" i="24"/>
  <c r="DF37" i="24" s="1"/>
  <c r="DE36" i="24"/>
  <c r="DE32" i="24"/>
  <c r="DE33" i="24" s="1"/>
  <c r="DE6" i="24"/>
  <c r="DE10" i="24" s="1"/>
  <c r="DT11" i="24" l="1"/>
  <c r="CK8" i="21"/>
  <c r="DT13" i="24"/>
  <c r="DT10" i="24"/>
  <c r="DS15" i="24"/>
  <c r="DQ42" i="24"/>
  <c r="DM50" i="24"/>
  <c r="DO50" i="24" s="1"/>
  <c r="DP13" i="24" s="1"/>
  <c r="DO10" i="24"/>
  <c r="DO11" i="24"/>
  <c r="CN18" i="21"/>
  <c r="DO41" i="24"/>
  <c r="DM49" i="24"/>
  <c r="DO38" i="24"/>
  <c r="DO37" i="24"/>
  <c r="DO40" i="24"/>
  <c r="D15" i="20"/>
  <c r="DI40" i="24"/>
  <c r="CE16" i="21"/>
  <c r="CE17" i="21"/>
  <c r="DH49" i="24"/>
  <c r="DH51" i="24" s="1"/>
  <c r="DE37" i="24"/>
  <c r="DF40" i="24"/>
  <c r="DE39" i="24"/>
  <c r="I207" i="23"/>
  <c r="CB7" i="21"/>
  <c r="CB17" i="21" s="1"/>
  <c r="DB12" i="24"/>
  <c r="DB51" i="24"/>
  <c r="CB16" i="21" s="1"/>
  <c r="DA41" i="24"/>
  <c r="DB36" i="24"/>
  <c r="DB40" i="24" s="1"/>
  <c r="DA36" i="24"/>
  <c r="DA32" i="24"/>
  <c r="DA33" i="24" s="1"/>
  <c r="DA37" i="24" s="1"/>
  <c r="DA6" i="24"/>
  <c r="DA10" i="24" s="1"/>
  <c r="CB5" i="21"/>
  <c r="M208" i="23"/>
  <c r="Q208" i="23" s="1"/>
  <c r="CC6" i="21" s="1"/>
  <c r="CD6" i="21" s="1"/>
  <c r="M207" i="23"/>
  <c r="Q207" i="23" s="1"/>
  <c r="BZ6" i="21" s="1"/>
  <c r="CA6" i="21" s="1"/>
  <c r="BY16" i="21"/>
  <c r="CX12" i="24"/>
  <c r="CW39" i="24" s="1"/>
  <c r="CZ50" i="24"/>
  <c r="CX51" i="24"/>
  <c r="CZ49" i="24" s="1"/>
  <c r="CW41" i="24"/>
  <c r="CX36" i="24"/>
  <c r="CX37" i="24" s="1"/>
  <c r="CW36" i="24"/>
  <c r="CW32" i="24"/>
  <c r="CW33" i="24" s="1"/>
  <c r="CW37" i="24" s="1"/>
  <c r="CW6" i="24"/>
  <c r="CW10" i="24" s="1"/>
  <c r="BY17" i="21"/>
  <c r="DT15" i="24" l="1"/>
  <c r="CN5" i="21"/>
  <c r="DP11" i="24"/>
  <c r="DS38" i="24"/>
  <c r="DQ49" i="24"/>
  <c r="DS41" i="24"/>
  <c r="DS37" i="24"/>
  <c r="DS40" i="24"/>
  <c r="DO42" i="24"/>
  <c r="DO51" i="24"/>
  <c r="CL16" i="21" s="1"/>
  <c r="DO49" i="24"/>
  <c r="DP41" i="24" s="1"/>
  <c r="DP10" i="24"/>
  <c r="DO15" i="24"/>
  <c r="DP38" i="24"/>
  <c r="DB37" i="24"/>
  <c r="DD49" i="24"/>
  <c r="DD50" i="24"/>
  <c r="DI42" i="24"/>
  <c r="DE40" i="24"/>
  <c r="DE42" i="24" s="1"/>
  <c r="DD51" i="24"/>
  <c r="DA39" i="24"/>
  <c r="DA40" i="24" s="1"/>
  <c r="DA42" i="24" s="1"/>
  <c r="CB8" i="21"/>
  <c r="CE5" i="21" s="1"/>
  <c r="CW40" i="24"/>
  <c r="CW42" i="24" s="1"/>
  <c r="CY37" i="24" s="1"/>
  <c r="CX40" i="24"/>
  <c r="CN8" i="21" l="1"/>
  <c r="CM16" i="21"/>
  <c r="DP15" i="24"/>
  <c r="DS42" i="24"/>
  <c r="DS51" i="24"/>
  <c r="CO16" i="21" s="1"/>
  <c r="CP16" i="21" s="1"/>
  <c r="DS49" i="24"/>
  <c r="DT37" i="24" s="1"/>
  <c r="DT38" i="24"/>
  <c r="DP37" i="24"/>
  <c r="DP40" i="24"/>
  <c r="DK38" i="24"/>
  <c r="DI49" i="24"/>
  <c r="DK41" i="24"/>
  <c r="DK37" i="24"/>
  <c r="DK40" i="24"/>
  <c r="CE8" i="21"/>
  <c r="DE49" i="24"/>
  <c r="DG38" i="24"/>
  <c r="DG41" i="24"/>
  <c r="DG37" i="24"/>
  <c r="DG40" i="24"/>
  <c r="DA49" i="24"/>
  <c r="DC38" i="24"/>
  <c r="DC41" i="24"/>
  <c r="DC37" i="24"/>
  <c r="DC40" i="24"/>
  <c r="CY40" i="24"/>
  <c r="CY41" i="24"/>
  <c r="CW49" i="24"/>
  <c r="CY38" i="24"/>
  <c r="CY42" i="24" l="1"/>
  <c r="CQ5" i="21"/>
  <c r="DT40" i="24"/>
  <c r="DT41" i="24"/>
  <c r="DK42" i="24"/>
  <c r="DK49" i="24"/>
  <c r="DL40" i="24" s="1"/>
  <c r="DG42" i="24"/>
  <c r="DG49" i="24"/>
  <c r="DH38" i="24" s="1"/>
  <c r="DC42" i="24"/>
  <c r="DC49" i="24"/>
  <c r="DD41" i="24" s="1"/>
  <c r="CQ8" i="21" l="1"/>
  <c r="CT5" i="21" s="1"/>
  <c r="DL41" i="24"/>
  <c r="DL37" i="24"/>
  <c r="DL38" i="24"/>
  <c r="DH40" i="24"/>
  <c r="DH37" i="24"/>
  <c r="DH41" i="24"/>
  <c r="DD38" i="24"/>
  <c r="DD37" i="24"/>
  <c r="DD40" i="24"/>
  <c r="CT8" i="21" l="1"/>
  <c r="E12" i="25"/>
  <c r="I12" i="25" s="1"/>
  <c r="E11" i="25"/>
  <c r="I11" i="25" s="1"/>
  <c r="I206" i="23"/>
  <c r="M206" i="23" s="1"/>
  <c r="I10" i="25"/>
  <c r="K10" i="25" s="1"/>
  <c r="I9" i="25"/>
  <c r="K9" i="25" s="1"/>
  <c r="CT12" i="24"/>
  <c r="CS39" i="24" s="1"/>
  <c r="CT51" i="24"/>
  <c r="CS41" i="24"/>
  <c r="CT36" i="24"/>
  <c r="CT37" i="24" s="1"/>
  <c r="CS36" i="24"/>
  <c r="CS32" i="24"/>
  <c r="CS33" i="24" s="1"/>
  <c r="CS37" i="24" s="1"/>
  <c r="CS6" i="24"/>
  <c r="CS10" i="24" s="1"/>
  <c r="BV5" i="21"/>
  <c r="CV50" i="24" l="1"/>
  <c r="K11" i="25"/>
  <c r="K12" i="25"/>
  <c r="Q206" i="23"/>
  <c r="BW6" i="21" s="1"/>
  <c r="BX6" i="21" s="1"/>
  <c r="CV49" i="24"/>
  <c r="BV16" i="21"/>
  <c r="CV51" i="24"/>
  <c r="CS40" i="24"/>
  <c r="CT40" i="24"/>
  <c r="BV8" i="21"/>
  <c r="BY5" i="21" s="1"/>
  <c r="CP12" i="24"/>
  <c r="CZ51" i="24" l="1"/>
  <c r="CY49" i="24"/>
  <c r="BY8" i="21"/>
  <c r="CS42" i="24"/>
  <c r="CO39" i="24"/>
  <c r="CP51" i="24"/>
  <c r="CR49" i="24" s="1"/>
  <c r="CO41" i="24"/>
  <c r="CP36" i="24"/>
  <c r="CP37" i="24" s="1"/>
  <c r="CO36" i="24"/>
  <c r="CO32" i="24"/>
  <c r="CO33" i="24" s="1"/>
  <c r="CO6" i="24"/>
  <c r="CO10" i="24" s="1"/>
  <c r="CZ37" i="24" l="1"/>
  <c r="CZ38" i="24"/>
  <c r="CZ40" i="24"/>
  <c r="CZ41" i="24"/>
  <c r="CU38" i="24"/>
  <c r="CS49" i="24"/>
  <c r="CU41" i="24"/>
  <c r="CU37" i="24"/>
  <c r="CU40" i="24"/>
  <c r="BS16" i="21"/>
  <c r="CR50" i="24"/>
  <c r="CP40" i="24"/>
  <c r="CO37" i="24"/>
  <c r="CU42" i="24" l="1"/>
  <c r="CU49" i="24"/>
  <c r="CV37" i="24" s="1"/>
  <c r="CO40" i="24"/>
  <c r="CV40" i="24" l="1"/>
  <c r="CV38" i="24"/>
  <c r="CV41" i="24"/>
  <c r="CO42" i="24"/>
  <c r="CQ41" i="24" l="1"/>
  <c r="CQ38" i="24"/>
  <c r="CQ37" i="24"/>
  <c r="CQ40" i="24"/>
  <c r="CO49" i="24"/>
  <c r="CQ42" i="24" l="1"/>
  <c r="BS8" i="21" l="1"/>
  <c r="BS5" i="21"/>
  <c r="I205" i="23"/>
  <c r="M205" i="23" s="1"/>
  <c r="Q205" i="23" s="1"/>
  <c r="BT6" i="21" s="1"/>
  <c r="BU6" i="21" l="1"/>
  <c r="CL51" i="24" l="1"/>
  <c r="CN50" i="24" l="1"/>
  <c r="CN49" i="24"/>
  <c r="BP16" i="21"/>
  <c r="CN51" i="24"/>
  <c r="CL12" i="24"/>
  <c r="CK39" i="24" s="1"/>
  <c r="CK41" i="24"/>
  <c r="CL36" i="24"/>
  <c r="CL37" i="24" s="1"/>
  <c r="CK36" i="24"/>
  <c r="CK32" i="24"/>
  <c r="CK33" i="24" s="1"/>
  <c r="CL40" i="24" l="1"/>
  <c r="CR51" i="24"/>
  <c r="CQ49" i="24"/>
  <c r="CK37" i="24"/>
  <c r="CK40" i="24" s="1"/>
  <c r="CR41" i="24" l="1"/>
  <c r="CR37" i="24"/>
  <c r="CR40" i="24"/>
  <c r="CR38" i="24"/>
  <c r="CK42" i="24"/>
  <c r="CM37" i="24" l="1"/>
  <c r="CM41" i="24"/>
  <c r="CM38" i="24"/>
  <c r="CM40" i="24"/>
  <c r="CK49" i="24"/>
  <c r="CM49" i="24" s="1"/>
  <c r="CN41" i="24" l="1"/>
  <c r="CN37" i="24"/>
  <c r="CN40" i="24"/>
  <c r="CN38" i="24"/>
  <c r="CM42" i="24"/>
  <c r="CK6" i="24" l="1"/>
  <c r="CK10" i="24" s="1"/>
  <c r="BP5" i="21"/>
  <c r="I204" i="23"/>
  <c r="M204" i="23" s="1"/>
  <c r="Q204" i="23" s="1"/>
  <c r="BQ6" i="21" s="1"/>
  <c r="BR6" i="21" s="1"/>
  <c r="BP8" i="21" l="1"/>
  <c r="CH51" i="24" l="1"/>
  <c r="CG41" i="24"/>
  <c r="CG32" i="24"/>
  <c r="CG33" i="24" s="1"/>
  <c r="CH36" i="24"/>
  <c r="CH37" i="24" s="1"/>
  <c r="CG36" i="24"/>
  <c r="CH12" i="24"/>
  <c r="CG39" i="24" s="1"/>
  <c r="CG6" i="24"/>
  <c r="CG10" i="24" s="1"/>
  <c r="I203" i="23"/>
  <c r="M203" i="23" s="1"/>
  <c r="Q203" i="23" s="1"/>
  <c r="BN6" i="21" s="1"/>
  <c r="BM16" i="21" l="1"/>
  <c r="CJ49" i="24"/>
  <c r="CG53" i="24" s="1"/>
  <c r="CJ50" i="24"/>
  <c r="CG54" i="24" s="1"/>
  <c r="CH40" i="24"/>
  <c r="CG37" i="24"/>
  <c r="BO6" i="21"/>
  <c r="CF12" i="24"/>
  <c r="CF28" i="24"/>
  <c r="BJ16" i="21" s="1"/>
  <c r="CE25" i="24"/>
  <c r="CF22" i="24"/>
  <c r="CE22" i="24"/>
  <c r="CE6" i="24"/>
  <c r="CE10" i="24" s="1"/>
  <c r="I202" i="23"/>
  <c r="M202" i="23" s="1"/>
  <c r="Q202" i="23" s="1"/>
  <c r="BK6" i="21" s="1"/>
  <c r="BL6" i="21" s="1"/>
  <c r="CD12" i="24"/>
  <c r="CD28" i="24"/>
  <c r="BG16" i="21" s="1"/>
  <c r="CC25" i="24"/>
  <c r="CD22" i="24"/>
  <c r="CC22" i="24"/>
  <c r="CC6" i="24"/>
  <c r="CC10" i="24" s="1"/>
  <c r="BG5" i="21"/>
  <c r="I201" i="23"/>
  <c r="M201" i="23" s="1"/>
  <c r="Q201" i="23" s="1"/>
  <c r="BH6" i="21" s="1"/>
  <c r="BI6" i="21" s="1"/>
  <c r="CJ51" i="24" l="1"/>
  <c r="CG40" i="24"/>
  <c r="CE26" i="24"/>
  <c r="CC26" i="24"/>
  <c r="BG8" i="21"/>
  <c r="BJ5" i="21" s="1"/>
  <c r="I200" i="23"/>
  <c r="CB12" i="24"/>
  <c r="CB28" i="24"/>
  <c r="BD16" i="21" s="1"/>
  <c r="CA25" i="24"/>
  <c r="CB22" i="24"/>
  <c r="CA22" i="24"/>
  <c r="CA6" i="24"/>
  <c r="CA10" i="24" s="1"/>
  <c r="BD5" i="21"/>
  <c r="BY26" i="24"/>
  <c r="BA7" i="21"/>
  <c r="BA5" i="21"/>
  <c r="I199" i="23"/>
  <c r="BX25" i="24"/>
  <c r="BY22" i="24"/>
  <c r="BX22" i="24"/>
  <c r="BW22" i="24"/>
  <c r="BZ12" i="24"/>
  <c r="CG42" i="24" l="1"/>
  <c r="CA26" i="24"/>
  <c r="BJ8" i="21"/>
  <c r="BM5" i="21" s="1"/>
  <c r="BX26" i="24"/>
  <c r="M200" i="23"/>
  <c r="Q200" i="23" s="1"/>
  <c r="BE6" i="21" s="1"/>
  <c r="BF6" i="21" s="1"/>
  <c r="BD8" i="21"/>
  <c r="BA8" i="21"/>
  <c r="M199" i="23"/>
  <c r="Q199" i="23" s="1"/>
  <c r="BB6" i="21" s="1"/>
  <c r="BC6" i="21" s="1"/>
  <c r="CG49" i="24" l="1"/>
  <c r="CI37" i="24"/>
  <c r="CI41" i="24"/>
  <c r="CI38" i="24"/>
  <c r="CI40" i="24"/>
  <c r="BM8" i="21"/>
  <c r="CI49" i="24" l="1"/>
  <c r="BY6" i="24"/>
  <c r="BY10" i="24" s="1"/>
  <c r="BW28" i="24"/>
  <c r="AX16" i="21" s="1"/>
  <c r="BV25" i="24"/>
  <c r="BV22" i="24"/>
  <c r="BX12" i="24"/>
  <c r="BW6" i="24"/>
  <c r="BW10" i="24" s="1"/>
  <c r="I198" i="23"/>
  <c r="EB36" i="24" l="1"/>
  <c r="EB33" i="24"/>
  <c r="EB42" i="24" s="1"/>
  <c r="EB16" i="24" s="1"/>
  <c r="DX33" i="24"/>
  <c r="DX36" i="24"/>
  <c r="DT33" i="24"/>
  <c r="DP36" i="24"/>
  <c r="DP33" i="24"/>
  <c r="DP42" i="24" s="1"/>
  <c r="DP16" i="24" s="1"/>
  <c r="DT36" i="24"/>
  <c r="DL36" i="24"/>
  <c r="DL33" i="24"/>
  <c r="DH36" i="24"/>
  <c r="DH33" i="24"/>
  <c r="DH42" i="24" s="1"/>
  <c r="DD36" i="24"/>
  <c r="DD33" i="24"/>
  <c r="CZ33" i="24"/>
  <c r="CZ36" i="24"/>
  <c r="CV36" i="24"/>
  <c r="CV33" i="24"/>
  <c r="CV42" i="24" s="1"/>
  <c r="CR33" i="24"/>
  <c r="CR36" i="24"/>
  <c r="CN33" i="24"/>
  <c r="CN36" i="24"/>
  <c r="CJ33" i="24"/>
  <c r="CJ36" i="24"/>
  <c r="CJ41" i="24"/>
  <c r="CJ37" i="24"/>
  <c r="CJ38" i="24"/>
  <c r="CJ40" i="24"/>
  <c r="BV26" i="24"/>
  <c r="M198" i="23"/>
  <c r="Q198" i="23" s="1"/>
  <c r="AY6" i="21" s="1"/>
  <c r="AZ6" i="21" s="1"/>
  <c r="BV12" i="24"/>
  <c r="BU6" i="24"/>
  <c r="BU10" i="24" s="1"/>
  <c r="I197" i="23"/>
  <c r="M197" i="23" s="1"/>
  <c r="Q197" i="23" s="1"/>
  <c r="AV6" i="21" s="1"/>
  <c r="AW6" i="21" s="1"/>
  <c r="T197" i="23"/>
  <c r="DT42" i="24" l="1"/>
  <c r="DT16" i="24" s="1"/>
  <c r="DX42" i="24"/>
  <c r="DX16" i="24" s="1"/>
  <c r="DL42" i="24"/>
  <c r="DD42" i="24"/>
  <c r="CZ42" i="24"/>
  <c r="CN42" i="24"/>
  <c r="CR42" i="24"/>
  <c r="G49" i="20"/>
  <c r="BT12" i="24"/>
  <c r="BS6" i="24"/>
  <c r="BS10" i="24" s="1"/>
  <c r="AS10" i="21"/>
  <c r="I194" i="23"/>
  <c r="M194" i="23" s="1"/>
  <c r="Q194" i="23" s="1"/>
  <c r="Q196" i="23" l="1"/>
  <c r="AS6" i="21" s="1"/>
  <c r="AT6" i="21" s="1"/>
  <c r="BR12" i="24"/>
  <c r="BQ6" i="24" l="1"/>
  <c r="BQ10" i="24" s="1"/>
  <c r="I193" i="23"/>
  <c r="M193" i="23" s="1"/>
  <c r="Q193" i="23" s="1"/>
  <c r="AP6" i="21" s="1"/>
  <c r="I192" i="23"/>
  <c r="M192" i="23" s="1"/>
  <c r="Q192" i="23" s="1"/>
  <c r="AM6" i="21" s="1"/>
  <c r="BP12" i="24"/>
  <c r="BO6" i="24"/>
  <c r="BO10" i="24" s="1"/>
  <c r="I1048576" i="23"/>
  <c r="I191" i="23"/>
  <c r="M191" i="23" s="1"/>
  <c r="Q191" i="23" s="1"/>
  <c r="AJ6" i="21" s="1"/>
  <c r="AK6" i="21" s="1"/>
  <c r="BN12" i="24"/>
  <c r="BM6" i="24"/>
  <c r="BM10" i="24" s="1"/>
  <c r="BL12" i="24"/>
  <c r="BK6" i="24"/>
  <c r="BK10" i="24" s="1"/>
  <c r="I190" i="23"/>
  <c r="M190" i="23" s="1"/>
  <c r="Q190" i="23" s="1"/>
  <c r="AG6" i="21" s="1"/>
  <c r="AH6" i="21" s="1"/>
  <c r="BJ12" i="24"/>
  <c r="BI6" i="24"/>
  <c r="BI10" i="24" s="1"/>
  <c r="I189" i="23"/>
  <c r="M189" i="23" s="1"/>
  <c r="AQ6" i="21" l="1"/>
  <c r="AN6" i="21"/>
  <c r="Q189" i="23"/>
  <c r="AD6" i="21" s="1"/>
  <c r="AE6" i="21" s="1"/>
  <c r="BH12" i="24" l="1"/>
  <c r="BG6" i="24"/>
  <c r="BG10" i="24" s="1"/>
  <c r="I188" i="23"/>
  <c r="M188" i="23" s="1"/>
  <c r="Q188" i="23" s="1"/>
  <c r="AA6" i="21" s="1"/>
  <c r="AB6" i="21" s="1"/>
  <c r="I187" i="23"/>
  <c r="BF12" i="24"/>
  <c r="BE6" i="24"/>
  <c r="BE10" i="24" s="1"/>
  <c r="M187" i="23" l="1"/>
  <c r="Q187" i="23" s="1"/>
  <c r="X6" i="21" s="1"/>
  <c r="BD12" i="24"/>
  <c r="BC6" i="24"/>
  <c r="BC10" i="24" s="1"/>
  <c r="Y6" i="21" l="1"/>
  <c r="I186" i="23"/>
  <c r="M186" i="23" s="1"/>
  <c r="BB12" i="24"/>
  <c r="BA6" i="24"/>
  <c r="BA10" i="24" s="1"/>
  <c r="Q186" i="23" l="1"/>
  <c r="U6" i="21" s="1"/>
  <c r="V6" i="21" s="1"/>
  <c r="I185" i="23"/>
  <c r="M185" i="23" s="1"/>
  <c r="Q185" i="23" s="1"/>
  <c r="R6" i="21" s="1"/>
  <c r="S6" i="21" s="1"/>
  <c r="I181" i="23"/>
  <c r="AZ12" i="24"/>
  <c r="AY6" i="24"/>
  <c r="AY10" i="24" s="1"/>
  <c r="P17" i="21"/>
  <c r="AW11" i="24" l="1"/>
  <c r="AW6" i="24"/>
  <c r="AW10" i="24" s="1"/>
  <c r="AW15" i="24" s="1"/>
  <c r="M17" i="21"/>
  <c r="I177" i="23"/>
  <c r="AY11" i="24" l="1"/>
  <c r="M181" i="23"/>
  <c r="Q181" i="23" s="1"/>
  <c r="O6" i="21" s="1"/>
  <c r="P6" i="21" s="1"/>
  <c r="M177" i="23"/>
  <c r="Q177" i="23" s="1"/>
  <c r="L6" i="21" s="1"/>
  <c r="M6" i="21" s="1"/>
  <c r="I16" i="21"/>
  <c r="BA11" i="24" l="1"/>
  <c r="AY15" i="24"/>
  <c r="I173" i="23"/>
  <c r="H173" i="23"/>
  <c r="G173" i="23"/>
  <c r="J16" i="21"/>
  <c r="BC11" i="24" l="1"/>
  <c r="BA15" i="24"/>
  <c r="M173" i="23"/>
  <c r="Q173" i="23" s="1"/>
  <c r="I6" i="21" s="1"/>
  <c r="J6" i="21" s="1"/>
  <c r="BE11" i="24" l="1"/>
  <c r="BC15" i="24"/>
  <c r="F34" i="20"/>
  <c r="AS6" i="24"/>
  <c r="AS10" i="24" s="1"/>
  <c r="K52" i="23"/>
  <c r="K56" i="23"/>
  <c r="K60" i="23"/>
  <c r="K65" i="23"/>
  <c r="K69" i="23"/>
  <c r="K73" i="23"/>
  <c r="K78" i="23"/>
  <c r="K82" i="23"/>
  <c r="K91" i="23"/>
  <c r="K95" i="23"/>
  <c r="BG11" i="24" l="1"/>
  <c r="BE15" i="24"/>
  <c r="I168" i="23"/>
  <c r="H168" i="23"/>
  <c r="G168" i="23"/>
  <c r="BI11" i="24" l="1"/>
  <c r="BG15" i="24"/>
  <c r="M168" i="23"/>
  <c r="Q168" i="23" s="1"/>
  <c r="D17" i="21"/>
  <c r="AQ6" i="24"/>
  <c r="AQ10" i="24" s="1"/>
  <c r="BK11" i="24" l="1"/>
  <c r="BI15" i="24"/>
  <c r="F6" i="21"/>
  <c r="G6" i="21" s="1"/>
  <c r="E15" i="21"/>
  <c r="E18" i="21" s="1"/>
  <c r="H15" i="21" s="1"/>
  <c r="D7" i="21"/>
  <c r="I163" i="23"/>
  <c r="Q163" i="23" s="1"/>
  <c r="C6" i="21" s="1"/>
  <c r="D6" i="21" s="1"/>
  <c r="H163" i="23"/>
  <c r="G163" i="23"/>
  <c r="BM11" i="24" l="1"/>
  <c r="BK15" i="24"/>
  <c r="H18" i="21"/>
  <c r="K15" i="21" s="1"/>
  <c r="E5" i="21"/>
  <c r="C8" i="21"/>
  <c r="F5" i="21" s="1"/>
  <c r="F7" i="21" s="1"/>
  <c r="G7" i="21" s="1"/>
  <c r="D5" i="21"/>
  <c r="AO6" i="24"/>
  <c r="AO10" i="24" s="1"/>
  <c r="BO11" i="24" l="1"/>
  <c r="BM15" i="24"/>
  <c r="K18" i="21"/>
  <c r="F8" i="21"/>
  <c r="I5" i="21" s="1"/>
  <c r="I7" i="21" s="1"/>
  <c r="J7" i="21" s="1"/>
  <c r="E8" i="21"/>
  <c r="H5" i="21" s="1"/>
  <c r="G5" i="21"/>
  <c r="D8" i="21"/>
  <c r="I159" i="23"/>
  <c r="Q159" i="23" s="1"/>
  <c r="H159" i="23"/>
  <c r="G159" i="23"/>
  <c r="AM6" i="24"/>
  <c r="AM10" i="24" s="1"/>
  <c r="BQ11" i="24" l="1"/>
  <c r="BO15" i="24"/>
  <c r="N15" i="21"/>
  <c r="N18" i="21" s="1"/>
  <c r="J5" i="21"/>
  <c r="I8" i="21"/>
  <c r="L5" i="21" s="1"/>
  <c r="H8" i="21"/>
  <c r="K5" i="21" s="1"/>
  <c r="K8" i="21" s="1"/>
  <c r="N5" i="21" s="1"/>
  <c r="N8" i="21" s="1"/>
  <c r="Q5" i="21" s="1"/>
  <c r="Q8" i="21" s="1"/>
  <c r="T5" i="21" s="1"/>
  <c r="T8" i="21" s="1"/>
  <c r="W5" i="21" s="1"/>
  <c r="W8" i="21" s="1"/>
  <c r="Z5" i="21" s="1"/>
  <c r="Z8" i="21" s="1"/>
  <c r="AC5" i="21" s="1"/>
  <c r="AC8" i="21" s="1"/>
  <c r="AF5" i="21" s="1"/>
  <c r="AF8" i="21" s="1"/>
  <c r="AI5" i="21" s="1"/>
  <c r="AI8" i="21" s="1"/>
  <c r="AL5" i="21" s="1"/>
  <c r="AL8" i="21" s="1"/>
  <c r="AO5" i="21" s="1"/>
  <c r="AO8" i="21" s="1"/>
  <c r="AR5" i="21" s="1"/>
  <c r="G8" i="21"/>
  <c r="I154" i="23"/>
  <c r="Q154" i="23" s="1"/>
  <c r="H154" i="23"/>
  <c r="G154" i="23"/>
  <c r="AK6" i="24"/>
  <c r="AK10" i="24" s="1"/>
  <c r="I151" i="23"/>
  <c r="Q151" i="23" s="1"/>
  <c r="H151" i="23"/>
  <c r="G151" i="23"/>
  <c r="BS11" i="24" l="1"/>
  <c r="BQ15" i="24"/>
  <c r="AR8" i="21"/>
  <c r="AU5" i="21" s="1"/>
  <c r="AU8" i="21" s="1"/>
  <c r="AX5" i="21" s="1"/>
  <c r="AX8" i="21" s="1"/>
  <c r="Q15" i="21"/>
  <c r="M5" i="21"/>
  <c r="L8" i="21"/>
  <c r="O5" i="21" s="1"/>
  <c r="L7" i="21"/>
  <c r="M7" i="21" s="1"/>
  <c r="J8" i="21"/>
  <c r="AI6" i="24"/>
  <c r="AI10" i="24" s="1"/>
  <c r="I148" i="23"/>
  <c r="Q148" i="23" s="1"/>
  <c r="H148" i="23"/>
  <c r="G148" i="23"/>
  <c r="BU11" i="24" l="1"/>
  <c r="BS15" i="24"/>
  <c r="Q18" i="21"/>
  <c r="O7" i="21"/>
  <c r="P7" i="21" s="1"/>
  <c r="O8" i="21"/>
  <c r="R5" i="21" s="1"/>
  <c r="P5" i="21"/>
  <c r="M8" i="21"/>
  <c r="AG6" i="24"/>
  <c r="AG10" i="24" s="1"/>
  <c r="I144" i="23"/>
  <c r="Q144" i="23" s="1"/>
  <c r="H144" i="23"/>
  <c r="G144" i="23"/>
  <c r="I138" i="23"/>
  <c r="H138" i="23"/>
  <c r="G138" i="23"/>
  <c r="BW11" i="24" l="1"/>
  <c r="BU15" i="24"/>
  <c r="T15" i="21"/>
  <c r="R7" i="21"/>
  <c r="S7" i="21" s="1"/>
  <c r="S5" i="21"/>
  <c r="R8" i="21"/>
  <c r="P8" i="21"/>
  <c r="AE6" i="24"/>
  <c r="AE10" i="24" s="1"/>
  <c r="Q138" i="23"/>
  <c r="BY11" i="24" l="1"/>
  <c r="CA11" i="24" s="1"/>
  <c r="BW15" i="24"/>
  <c r="T18" i="21"/>
  <c r="S8" i="21"/>
  <c r="U5" i="21"/>
  <c r="I135" i="23"/>
  <c r="Q135" i="23" s="1"/>
  <c r="H135" i="23"/>
  <c r="G135" i="23"/>
  <c r="AC6" i="24"/>
  <c r="AC10" i="24" s="1"/>
  <c r="CC11" i="24" l="1"/>
  <c r="CA15" i="24"/>
  <c r="BY15" i="24"/>
  <c r="W15" i="21"/>
  <c r="U7" i="21"/>
  <c r="V7" i="21" s="1"/>
  <c r="V5" i="21"/>
  <c r="U8" i="21"/>
  <c r="AA6" i="24"/>
  <c r="AA10" i="24" s="1"/>
  <c r="CE11" i="24" l="1"/>
  <c r="CC15" i="24"/>
  <c r="W18" i="21"/>
  <c r="X5" i="21"/>
  <c r="V8" i="21"/>
  <c r="I131" i="23"/>
  <c r="Q131" i="23" s="1"/>
  <c r="H131" i="23"/>
  <c r="G131" i="23"/>
  <c r="CG11" i="24" l="1"/>
  <c r="CK11" i="24" s="1"/>
  <c r="CE15" i="24"/>
  <c r="Z15" i="21"/>
  <c r="Y5" i="21"/>
  <c r="X7" i="21"/>
  <c r="Y7" i="21" s="1"/>
  <c r="X8" i="21"/>
  <c r="AA5" i="21" s="1"/>
  <c r="Y6" i="24"/>
  <c r="Y10" i="24" s="1"/>
  <c r="I127" i="23"/>
  <c r="Q127" i="23" s="1"/>
  <c r="H127" i="23"/>
  <c r="G127" i="23"/>
  <c r="CO11" i="24" l="1"/>
  <c r="CS11" i="24" s="1"/>
  <c r="CK15" i="24"/>
  <c r="CG15" i="24"/>
  <c r="Z18" i="21"/>
  <c r="AA7" i="21"/>
  <c r="AB7" i="21" s="1"/>
  <c r="AA8" i="21"/>
  <c r="AD5" i="21" s="1"/>
  <c r="AB5" i="21"/>
  <c r="Y8" i="21"/>
  <c r="W6" i="24"/>
  <c r="I123" i="23"/>
  <c r="Q123" i="23" s="1"/>
  <c r="H123" i="23"/>
  <c r="G123" i="23"/>
  <c r="CW11" i="24" l="1"/>
  <c r="CS15" i="24"/>
  <c r="CO15" i="24"/>
  <c r="AC15" i="21"/>
  <c r="AD7" i="21"/>
  <c r="AE7" i="21" s="1"/>
  <c r="AE5" i="21"/>
  <c r="AD8" i="21"/>
  <c r="AG5" i="21" s="1"/>
  <c r="AB8" i="21"/>
  <c r="W10" i="24"/>
  <c r="U6" i="24"/>
  <c r="I118" i="23"/>
  <c r="Q118" i="23" s="1"/>
  <c r="H118" i="23"/>
  <c r="G118" i="23"/>
  <c r="S6" i="24"/>
  <c r="I114" i="23"/>
  <c r="Q114" i="23" s="1"/>
  <c r="H114" i="23"/>
  <c r="G114" i="23"/>
  <c r="DA11" i="24" l="1"/>
  <c r="CW15" i="24"/>
  <c r="AC18" i="21"/>
  <c r="AG7" i="21"/>
  <c r="AH7" i="21" s="1"/>
  <c r="AG8" i="21"/>
  <c r="AH5" i="21"/>
  <c r="AE8" i="21"/>
  <c r="Q6" i="24"/>
  <c r="I110" i="23"/>
  <c r="Q110" i="23" s="1"/>
  <c r="H110" i="23"/>
  <c r="G110" i="23"/>
  <c r="O6" i="24"/>
  <c r="G105" i="23"/>
  <c r="H105" i="23"/>
  <c r="I105" i="23"/>
  <c r="Q105" i="23" s="1"/>
  <c r="DE11" i="24" l="1"/>
  <c r="DA15" i="24"/>
  <c r="AF15" i="21"/>
  <c r="AJ5" i="21"/>
  <c r="AH8" i="21"/>
  <c r="M11" i="24"/>
  <c r="O11" i="24" s="1"/>
  <c r="M9" i="24"/>
  <c r="O9" i="24" s="1"/>
  <c r="M7" i="24"/>
  <c r="O7" i="24" s="1"/>
  <c r="M6" i="24"/>
  <c r="K6" i="24"/>
  <c r="K10" i="24" s="1"/>
  <c r="K15" i="24" s="1"/>
  <c r="L15" i="24" s="1"/>
  <c r="I6" i="24"/>
  <c r="I10" i="24" s="1"/>
  <c r="I15" i="24" s="1"/>
  <c r="G6" i="24"/>
  <c r="G10" i="24" s="1"/>
  <c r="G15" i="24" s="1"/>
  <c r="E6" i="24"/>
  <c r="E10" i="24" s="1"/>
  <c r="E15" i="24" s="1"/>
  <c r="F15" i="24" s="1"/>
  <c r="C6" i="24"/>
  <c r="C10" i="24" s="1"/>
  <c r="C15" i="24" s="1"/>
  <c r="B2" i="24"/>
  <c r="DB11" i="24" s="1"/>
  <c r="DF11" i="24" l="1"/>
  <c r="DI11" i="24"/>
  <c r="DE15" i="24"/>
  <c r="DJ7" i="24"/>
  <c r="DJ9" i="24"/>
  <c r="DJ4" i="24"/>
  <c r="DJ6" i="24" s="1"/>
  <c r="DJ10" i="24" s="1"/>
  <c r="DF9" i="24"/>
  <c r="DF4" i="24"/>
  <c r="DF6" i="24" s="1"/>
  <c r="DF7" i="24"/>
  <c r="CX4" i="24"/>
  <c r="CX6" i="24" s="1"/>
  <c r="CX10" i="24" s="1"/>
  <c r="DB4" i="24"/>
  <c r="DB6" i="24" s="1"/>
  <c r="DB9" i="24"/>
  <c r="DB7" i="24"/>
  <c r="CX7" i="24"/>
  <c r="CX9" i="24"/>
  <c r="CT9" i="24"/>
  <c r="CT4" i="24"/>
  <c r="CT6" i="24" s="1"/>
  <c r="CT7" i="24"/>
  <c r="CT11" i="24"/>
  <c r="CX11" i="24"/>
  <c r="J15" i="24"/>
  <c r="CP7" i="24"/>
  <c r="CP9" i="24"/>
  <c r="CP4" i="24"/>
  <c r="CP6" i="24" s="1"/>
  <c r="CP10" i="24" s="1"/>
  <c r="CL9" i="24"/>
  <c r="CL7" i="24"/>
  <c r="CL4" i="24"/>
  <c r="CL6" i="24" s="1"/>
  <c r="CL10" i="24" s="1"/>
  <c r="CL11" i="24"/>
  <c r="CP11" i="24"/>
  <c r="CH9" i="24"/>
  <c r="CH4" i="24"/>
  <c r="CH6" i="24" s="1"/>
  <c r="CH7" i="24"/>
  <c r="CD9" i="24"/>
  <c r="CF9" i="24"/>
  <c r="CF7" i="24"/>
  <c r="CF4" i="24"/>
  <c r="CF6" i="24" s="1"/>
  <c r="CD7" i="24"/>
  <c r="CD4" i="24"/>
  <c r="CD6" i="24" s="1"/>
  <c r="CB4" i="24"/>
  <c r="CB6" i="24" s="1"/>
  <c r="CB9" i="24"/>
  <c r="CB7" i="24"/>
  <c r="CB11" i="24"/>
  <c r="CD11" i="24"/>
  <c r="CF11" i="24"/>
  <c r="CH11" i="24"/>
  <c r="BX4" i="24"/>
  <c r="BX6" i="24" s="1"/>
  <c r="BZ9" i="24"/>
  <c r="BX7" i="24"/>
  <c r="BZ4" i="24"/>
  <c r="BZ6" i="24" s="1"/>
  <c r="BX9" i="24"/>
  <c r="BZ7" i="24"/>
  <c r="BV9" i="24"/>
  <c r="BV4" i="24"/>
  <c r="BV6" i="24" s="1"/>
  <c r="BV7" i="24"/>
  <c r="BT9" i="24"/>
  <c r="BT7" i="24"/>
  <c r="BT4" i="24"/>
  <c r="BT6" i="24" s="1"/>
  <c r="BL9" i="24"/>
  <c r="BJ4" i="24"/>
  <c r="BJ6" i="24" s="1"/>
  <c r="BJ7" i="24"/>
  <c r="BR9" i="24"/>
  <c r="BP4" i="24"/>
  <c r="BP6" i="24" s="1"/>
  <c r="BL7" i="24"/>
  <c r="BP7" i="24"/>
  <c r="BR7" i="24"/>
  <c r="BL4" i="24"/>
  <c r="BL6" i="24" s="1"/>
  <c r="BN4" i="24"/>
  <c r="BN6" i="24" s="1"/>
  <c r="BR4" i="24"/>
  <c r="BR6" i="24" s="1"/>
  <c r="BJ9" i="24"/>
  <c r="BN9" i="24"/>
  <c r="BN7" i="24"/>
  <c r="BP9" i="24"/>
  <c r="BF9" i="24"/>
  <c r="BF7" i="24"/>
  <c r="BF4" i="24"/>
  <c r="BF6" i="24" s="1"/>
  <c r="BH9" i="24"/>
  <c r="BH4" i="24"/>
  <c r="BH6" i="24" s="1"/>
  <c r="BH7" i="24"/>
  <c r="BD7" i="24"/>
  <c r="BD4" i="24"/>
  <c r="BD6" i="24" s="1"/>
  <c r="BD9" i="24"/>
  <c r="BB9" i="24"/>
  <c r="BB4" i="24"/>
  <c r="BB6" i="24" s="1"/>
  <c r="BB7" i="24"/>
  <c r="AZ4" i="24"/>
  <c r="AZ6" i="24" s="1"/>
  <c r="AZ9" i="24"/>
  <c r="AZ7" i="24"/>
  <c r="AX4" i="24"/>
  <c r="AX6" i="24" s="1"/>
  <c r="AX7" i="24"/>
  <c r="AX9" i="24"/>
  <c r="AX11" i="24"/>
  <c r="AZ11" i="24"/>
  <c r="BB11" i="24"/>
  <c r="BD11" i="24"/>
  <c r="BF11" i="24"/>
  <c r="BH11" i="24"/>
  <c r="BJ11" i="24"/>
  <c r="BL11" i="24"/>
  <c r="BN11" i="24"/>
  <c r="BP11" i="24"/>
  <c r="BR11" i="24"/>
  <c r="BT11" i="24"/>
  <c r="BV11" i="24"/>
  <c r="BX11" i="24"/>
  <c r="BZ11" i="24"/>
  <c r="AF18" i="21"/>
  <c r="AJ7" i="21"/>
  <c r="AK7" i="21" s="1"/>
  <c r="AJ8" i="21"/>
  <c r="AM5" i="21" s="1"/>
  <c r="AK5" i="21"/>
  <c r="AT9" i="24"/>
  <c r="AT7" i="24"/>
  <c r="AT4" i="24"/>
  <c r="AT6" i="24" s="1"/>
  <c r="AR4" i="24"/>
  <c r="AR6" i="24" s="1"/>
  <c r="AR9" i="24"/>
  <c r="AR7" i="24"/>
  <c r="AP7" i="24"/>
  <c r="AP9" i="24"/>
  <c r="AP4" i="24"/>
  <c r="AP6" i="24" s="1"/>
  <c r="AN7" i="24"/>
  <c r="AN9" i="24"/>
  <c r="AN4" i="24"/>
  <c r="AN6" i="24" s="1"/>
  <c r="AL4" i="24"/>
  <c r="AL6" i="24" s="1"/>
  <c r="AL7" i="24"/>
  <c r="AL9" i="24"/>
  <c r="AJ9" i="24"/>
  <c r="AJ7" i="24"/>
  <c r="AJ4" i="24"/>
  <c r="AJ6" i="24" s="1"/>
  <c r="AH9" i="24"/>
  <c r="AH7" i="24"/>
  <c r="AH4" i="24"/>
  <c r="AH6" i="24" s="1"/>
  <c r="AF9" i="24"/>
  <c r="AF7" i="24"/>
  <c r="AF4" i="24"/>
  <c r="AF6" i="24" s="1"/>
  <c r="AD9" i="24"/>
  <c r="AD4" i="24"/>
  <c r="AD6" i="24" s="1"/>
  <c r="AD7" i="24"/>
  <c r="AB9" i="24"/>
  <c r="AB7" i="24"/>
  <c r="AB4" i="24"/>
  <c r="AB6" i="24" s="1"/>
  <c r="Z9" i="24"/>
  <c r="Z7" i="24"/>
  <c r="Z4" i="24"/>
  <c r="Z6" i="24" s="1"/>
  <c r="X9" i="24"/>
  <c r="X7" i="24"/>
  <c r="X4" i="24"/>
  <c r="X6" i="24" s="1"/>
  <c r="V4" i="24"/>
  <c r="V6" i="24" s="1"/>
  <c r="T4" i="24"/>
  <c r="T6" i="24" s="1"/>
  <c r="M10" i="24"/>
  <c r="M15" i="24" s="1"/>
  <c r="N15" i="24" s="1"/>
  <c r="H15" i="24"/>
  <c r="L9" i="24"/>
  <c r="P4" i="24"/>
  <c r="P6" i="24" s="1"/>
  <c r="R4" i="24"/>
  <c r="R6" i="24" s="1"/>
  <c r="D15" i="24"/>
  <c r="N4" i="24"/>
  <c r="N6" i="24" s="1"/>
  <c r="F4" i="24"/>
  <c r="F6" i="24" s="1"/>
  <c r="H7" i="24"/>
  <c r="P7" i="24"/>
  <c r="Q7" i="24"/>
  <c r="S7" i="24" s="1"/>
  <c r="J4" i="24"/>
  <c r="J6" i="24" s="1"/>
  <c r="J7" i="24"/>
  <c r="D11" i="24"/>
  <c r="N7" i="24"/>
  <c r="L4" i="24"/>
  <c r="L6" i="24" s="1"/>
  <c r="L7" i="24"/>
  <c r="F11" i="24"/>
  <c r="P9" i="24"/>
  <c r="Q9" i="24"/>
  <c r="D9" i="24"/>
  <c r="H11" i="24"/>
  <c r="N9" i="24"/>
  <c r="H4" i="24"/>
  <c r="H6" i="24" s="1"/>
  <c r="F9" i="24"/>
  <c r="J11" i="24"/>
  <c r="P11" i="24"/>
  <c r="Q11" i="24"/>
  <c r="H9" i="24"/>
  <c r="N11" i="24"/>
  <c r="O10" i="24"/>
  <c r="O15" i="24" s="1"/>
  <c r="P15" i="24" s="1"/>
  <c r="D7" i="24"/>
  <c r="J9" i="24"/>
  <c r="L11" i="24"/>
  <c r="D4" i="24"/>
  <c r="D6" i="24" s="1"/>
  <c r="F7" i="24"/>
  <c r="CX13" i="24" l="1"/>
  <c r="DF10" i="24"/>
  <c r="CT10" i="24"/>
  <c r="DJ11" i="24"/>
  <c r="DI15" i="24"/>
  <c r="CP13" i="24"/>
  <c r="DB10" i="24"/>
  <c r="CL13" i="24"/>
  <c r="CH10" i="24"/>
  <c r="CD10" i="24"/>
  <c r="CD13" i="24" s="1"/>
  <c r="CD15" i="24" s="1"/>
  <c r="CC27" i="24" s="1"/>
  <c r="CC28" i="24" s="1"/>
  <c r="BH16" i="21" s="1"/>
  <c r="BI16" i="21" s="1"/>
  <c r="CF10" i="24"/>
  <c r="CF13" i="24" s="1"/>
  <c r="CF15" i="24" s="1"/>
  <c r="CE27" i="24" s="1"/>
  <c r="CE28" i="24" s="1"/>
  <c r="BK16" i="21" s="1"/>
  <c r="BL16" i="21" s="1"/>
  <c r="AT10" i="24"/>
  <c r="BT10" i="24"/>
  <c r="BT13" i="24" s="1"/>
  <c r="BT15" i="24" s="1"/>
  <c r="AS16" i="21" s="1"/>
  <c r="AT16" i="21" s="1"/>
  <c r="CH13" i="24"/>
  <c r="BP10" i="24"/>
  <c r="BP13" i="24" s="1"/>
  <c r="BP15" i="24" s="1"/>
  <c r="AM16" i="21" s="1"/>
  <c r="AN16" i="21" s="1"/>
  <c r="BB10" i="24"/>
  <c r="BB13" i="24" s="1"/>
  <c r="BB15" i="24" s="1"/>
  <c r="R16" i="21" s="1"/>
  <c r="S16" i="21" s="1"/>
  <c r="L10" i="24"/>
  <c r="BR10" i="24"/>
  <c r="BR13" i="24" s="1"/>
  <c r="BR15" i="24" s="1"/>
  <c r="BR17" i="24" s="1"/>
  <c r="BR19" i="24" s="1"/>
  <c r="BN10" i="24"/>
  <c r="BN13" i="24" s="1"/>
  <c r="BN15" i="24" s="1"/>
  <c r="AJ16" i="21" s="1"/>
  <c r="AK16" i="21" s="1"/>
  <c r="CB10" i="24"/>
  <c r="CB13" i="24" s="1"/>
  <c r="CB15" i="24" s="1"/>
  <c r="CA27" i="24" s="1"/>
  <c r="CA28" i="24" s="1"/>
  <c r="BE16" i="21" s="1"/>
  <c r="BF16" i="21" s="1"/>
  <c r="BL10" i="24"/>
  <c r="BL13" i="24" s="1"/>
  <c r="BL15" i="24" s="1"/>
  <c r="AG16" i="21" s="1"/>
  <c r="AH16" i="21" s="1"/>
  <c r="BH10" i="24"/>
  <c r="BH13" i="24" s="1"/>
  <c r="BH15" i="24" s="1"/>
  <c r="AA16" i="21" s="1"/>
  <c r="AB16" i="21" s="1"/>
  <c r="BV10" i="24"/>
  <c r="BV13" i="24" s="1"/>
  <c r="BV15" i="24" s="1"/>
  <c r="AV16" i="21" s="1"/>
  <c r="AW16" i="21" s="1"/>
  <c r="AX10" i="24"/>
  <c r="AX13" i="24" s="1"/>
  <c r="AX15" i="24" s="1"/>
  <c r="L16" i="21" s="1"/>
  <c r="M16" i="21" s="1"/>
  <c r="X10" i="24"/>
  <c r="AF10" i="24"/>
  <c r="AN10" i="24"/>
  <c r="BF10" i="24"/>
  <c r="BF13" i="24" s="1"/>
  <c r="BF15" i="24" s="1"/>
  <c r="X16" i="21" s="1"/>
  <c r="Y16" i="21" s="1"/>
  <c r="BD10" i="24"/>
  <c r="BD13" i="24" s="1"/>
  <c r="BD15" i="24" s="1"/>
  <c r="U16" i="21" s="1"/>
  <c r="V16" i="21" s="1"/>
  <c r="J10" i="24"/>
  <c r="AZ10" i="24"/>
  <c r="AZ13" i="24" s="1"/>
  <c r="AZ15" i="24" s="1"/>
  <c r="O16" i="21" s="1"/>
  <c r="P16" i="21" s="1"/>
  <c r="BZ10" i="24"/>
  <c r="BZ13" i="24" s="1"/>
  <c r="BZ15" i="24" s="1"/>
  <c r="BX27" i="24" s="1"/>
  <c r="BJ10" i="24"/>
  <c r="BJ13" i="24" s="1"/>
  <c r="BJ15" i="24" s="1"/>
  <c r="AD16" i="21" s="1"/>
  <c r="AE16" i="21" s="1"/>
  <c r="BX10" i="24"/>
  <c r="BX13" i="24" s="1"/>
  <c r="BX15" i="24" s="1"/>
  <c r="BV27" i="24" s="1"/>
  <c r="BV28" i="24" s="1"/>
  <c r="AY16" i="21" s="1"/>
  <c r="AZ16" i="21" s="1"/>
  <c r="AI15" i="21"/>
  <c r="AM7" i="21"/>
  <c r="AN7" i="21" s="1"/>
  <c r="AN5" i="21"/>
  <c r="AM8" i="21"/>
  <c r="AP5" i="21" s="1"/>
  <c r="AK8" i="21"/>
  <c r="AB10" i="24"/>
  <c r="N10" i="24"/>
  <c r="AH10" i="24"/>
  <c r="AL10" i="24"/>
  <c r="AR10" i="24"/>
  <c r="R11" i="24"/>
  <c r="S11" i="24"/>
  <c r="AD10" i="24"/>
  <c r="AJ10" i="24"/>
  <c r="R9" i="24"/>
  <c r="S9" i="24"/>
  <c r="S10" i="24" s="1"/>
  <c r="U7" i="24"/>
  <c r="T7" i="24"/>
  <c r="Z10" i="24"/>
  <c r="AP10" i="24"/>
  <c r="H10" i="24"/>
  <c r="F10" i="24"/>
  <c r="D10" i="24"/>
  <c r="R7" i="24"/>
  <c r="Q10" i="24"/>
  <c r="Q15" i="24" s="1"/>
  <c r="R15" i="24" s="1"/>
  <c r="P10" i="24"/>
  <c r="DJ13" i="24" l="1"/>
  <c r="CT13" i="24"/>
  <c r="DF13" i="24"/>
  <c r="DB13" i="24"/>
  <c r="CX15" i="24"/>
  <c r="CY13" i="24" s="1"/>
  <c r="CL15" i="24"/>
  <c r="CP15" i="24"/>
  <c r="CH15" i="24"/>
  <c r="AP16" i="21"/>
  <c r="AQ16" i="21" s="1"/>
  <c r="R10" i="24"/>
  <c r="AI18" i="21"/>
  <c r="AP7" i="21"/>
  <c r="AQ7" i="21" s="1"/>
  <c r="AQ5" i="21"/>
  <c r="AP8" i="21"/>
  <c r="AN8" i="21"/>
  <c r="S15" i="24"/>
  <c r="T15" i="24" s="1"/>
  <c r="V7" i="24"/>
  <c r="T11" i="24"/>
  <c r="U11" i="24"/>
  <c r="T9" i="24"/>
  <c r="T10" i="24" s="1"/>
  <c r="U9" i="24"/>
  <c r="V9" i="24" s="1"/>
  <c r="I102" i="23"/>
  <c r="Q102" i="23" s="1"/>
  <c r="H102" i="23"/>
  <c r="G102" i="23"/>
  <c r="G99" i="23"/>
  <c r="I99" i="23"/>
  <c r="Q99" i="23" s="1"/>
  <c r="H99" i="23"/>
  <c r="DF15" i="24" l="1"/>
  <c r="DG13" i="24" s="1"/>
  <c r="CT15" i="24"/>
  <c r="CU13" i="24" s="1"/>
  <c r="CW50" i="24"/>
  <c r="CY10" i="24"/>
  <c r="CY11" i="24"/>
  <c r="DJ15" i="24"/>
  <c r="DK13" i="24" s="1"/>
  <c r="DB15" i="24"/>
  <c r="CM11" i="24"/>
  <c r="CM10" i="24"/>
  <c r="CM13" i="24"/>
  <c r="CQ11" i="24"/>
  <c r="CQ10" i="24"/>
  <c r="CQ13" i="24"/>
  <c r="CK50" i="24"/>
  <c r="CO50" i="24"/>
  <c r="CI10" i="24"/>
  <c r="CI11" i="24"/>
  <c r="CI13" i="24"/>
  <c r="CG50" i="24"/>
  <c r="AS5" i="21"/>
  <c r="AL15" i="21"/>
  <c r="AQ8" i="21"/>
  <c r="U10" i="24"/>
  <c r="U15" i="24" s="1"/>
  <c r="V15" i="24" s="1"/>
  <c r="W11" i="24"/>
  <c r="V11" i="24"/>
  <c r="V10" i="24"/>
  <c r="I95" i="23"/>
  <c r="H95" i="23"/>
  <c r="G95" i="23"/>
  <c r="DA50" i="24" l="1"/>
  <c r="DC11" i="24"/>
  <c r="DC10" i="24"/>
  <c r="CY15" i="24"/>
  <c r="CY51" i="24"/>
  <c r="BZ16" i="21" s="1"/>
  <c r="CA16" i="21" s="1"/>
  <c r="CY50" i="24"/>
  <c r="CZ13" i="24" s="1"/>
  <c r="CS50" i="24"/>
  <c r="CU11" i="24"/>
  <c r="CU10" i="24"/>
  <c r="DC13" i="24"/>
  <c r="DI50" i="24"/>
  <c r="DK10" i="24"/>
  <c r="DK11" i="24"/>
  <c r="DE50" i="24"/>
  <c r="DG11" i="24"/>
  <c r="DG10" i="24"/>
  <c r="CQ15" i="24"/>
  <c r="CQ50" i="24"/>
  <c r="CR10" i="24" s="1"/>
  <c r="CQ51" i="24"/>
  <c r="BT16" i="21" s="1"/>
  <c r="BU16" i="21" s="1"/>
  <c r="CM15" i="24"/>
  <c r="CM50" i="24"/>
  <c r="CN13" i="24" s="1"/>
  <c r="CM51" i="24"/>
  <c r="BQ16" i="21" s="1"/>
  <c r="BR16" i="21" s="1"/>
  <c r="CI50" i="24"/>
  <c r="CJ13" i="24" s="1"/>
  <c r="CI51" i="24"/>
  <c r="BN16" i="21" s="1"/>
  <c r="CI42" i="24"/>
  <c r="AL18" i="21"/>
  <c r="AS7" i="21"/>
  <c r="AT7" i="21" s="1"/>
  <c r="AS8" i="21"/>
  <c r="AV5" i="21" s="1"/>
  <c r="AT5" i="21"/>
  <c r="Y11" i="24"/>
  <c r="X11" i="24"/>
  <c r="W15" i="24"/>
  <c r="X15" i="24" s="1"/>
  <c r="Q95" i="23"/>
  <c r="CZ11" i="24" l="1"/>
  <c r="DG50" i="24"/>
  <c r="DH13" i="24" s="1"/>
  <c r="DG51" i="24"/>
  <c r="CF16" i="21" s="1"/>
  <c r="CG16" i="21" s="1"/>
  <c r="CU15" i="24"/>
  <c r="DH10" i="24"/>
  <c r="DG15" i="24"/>
  <c r="DL11" i="24"/>
  <c r="DK15" i="24"/>
  <c r="DC15" i="24"/>
  <c r="CZ10" i="24"/>
  <c r="CZ15" i="24" s="1"/>
  <c r="CZ16" i="24" s="1"/>
  <c r="DK50" i="24"/>
  <c r="DL13" i="24" s="1"/>
  <c r="DK51" i="24"/>
  <c r="CI16" i="21" s="1"/>
  <c r="CJ16" i="21" s="1"/>
  <c r="CU50" i="24"/>
  <c r="CV13" i="24" s="1"/>
  <c r="CU51" i="24"/>
  <c r="BW16" i="21" s="1"/>
  <c r="BX16" i="21" s="1"/>
  <c r="DC50" i="24"/>
  <c r="DD13" i="24" s="1"/>
  <c r="DC51" i="24"/>
  <c r="CC16" i="21" s="1"/>
  <c r="CD16" i="21" s="1"/>
  <c r="CN11" i="24"/>
  <c r="CN10" i="24"/>
  <c r="CR13" i="24"/>
  <c r="CR11" i="24"/>
  <c r="CJ10" i="24"/>
  <c r="CJ11" i="24"/>
  <c r="BO16" i="21"/>
  <c r="AV7" i="21"/>
  <c r="AW7" i="21" s="1"/>
  <c r="AV8" i="21"/>
  <c r="AW5" i="21"/>
  <c r="AT8" i="21"/>
  <c r="AS11" i="21"/>
  <c r="AO15" i="21"/>
  <c r="Z11" i="24"/>
  <c r="AA11" i="24"/>
  <c r="Y15" i="24"/>
  <c r="Z15" i="24" s="1"/>
  <c r="I91" i="23"/>
  <c r="H91" i="23"/>
  <c r="G91" i="23"/>
  <c r="CV11" i="24" l="1"/>
  <c r="DH11" i="24"/>
  <c r="DL10" i="24"/>
  <c r="DH15" i="24"/>
  <c r="DH16" i="24" s="1"/>
  <c r="DD10" i="24"/>
  <c r="DD11" i="24"/>
  <c r="CV10" i="24"/>
  <c r="CV15" i="24" s="1"/>
  <c r="CV16" i="24" s="1"/>
  <c r="DL15" i="24"/>
  <c r="DL16" i="24" s="1"/>
  <c r="CR15" i="24"/>
  <c r="CR16" i="24" s="1"/>
  <c r="CN15" i="24"/>
  <c r="CN16" i="24" s="1"/>
  <c r="CJ15" i="24"/>
  <c r="CJ42" i="24"/>
  <c r="AW8" i="21"/>
  <c r="AY5" i="21"/>
  <c r="AO18" i="21"/>
  <c r="AB11" i="24"/>
  <c r="AC11" i="24"/>
  <c r="AA15" i="24"/>
  <c r="AB15" i="24" s="1"/>
  <c r="Q91" i="23"/>
  <c r="DD15" i="24" l="1"/>
  <c r="DD16" i="24" s="1"/>
  <c r="CJ16" i="24"/>
  <c r="AY7" i="21"/>
  <c r="AZ7" i="21" s="1"/>
  <c r="AY8" i="21"/>
  <c r="AZ5" i="21"/>
  <c r="AR15" i="21"/>
  <c r="AE11" i="24"/>
  <c r="AD11" i="24"/>
  <c r="AC15" i="24"/>
  <c r="AD15" i="24" s="1"/>
  <c r="I86" i="23"/>
  <c r="Q86" i="23" s="1"/>
  <c r="H86" i="23"/>
  <c r="G86" i="23"/>
  <c r="I82" i="23"/>
  <c r="H82" i="23"/>
  <c r="G82" i="23"/>
  <c r="AZ8" i="21" l="1"/>
  <c r="BB5" i="21"/>
  <c r="AR18" i="21"/>
  <c r="AU15" i="21" s="1"/>
  <c r="AU18" i="21" s="1"/>
  <c r="AX15" i="21" s="1"/>
  <c r="AX18" i="21" s="1"/>
  <c r="BA15" i="21" s="1"/>
  <c r="AG11" i="24"/>
  <c r="AF11" i="24"/>
  <c r="AE15" i="24"/>
  <c r="AF15" i="24" s="1"/>
  <c r="Q82" i="23"/>
  <c r="BB7" i="21" l="1"/>
  <c r="BC7" i="21" s="1"/>
  <c r="BB8" i="21"/>
  <c r="BC5" i="21"/>
  <c r="AH11" i="24"/>
  <c r="AI11" i="24"/>
  <c r="AG15" i="24"/>
  <c r="AH15" i="24" s="1"/>
  <c r="J78" i="23"/>
  <c r="I78" i="23"/>
  <c r="H78" i="23"/>
  <c r="G78" i="23"/>
  <c r="I73" i="23"/>
  <c r="H73" i="23"/>
  <c r="G73" i="23"/>
  <c r="J69" i="23"/>
  <c r="I69" i="23"/>
  <c r="H69" i="23"/>
  <c r="G69" i="23"/>
  <c r="J65" i="23"/>
  <c r="I65" i="23"/>
  <c r="H65" i="23"/>
  <c r="G65" i="23"/>
  <c r="Q60" i="23"/>
  <c r="Q56" i="23"/>
  <c r="Q52" i="23"/>
  <c r="Q48" i="23"/>
  <c r="Q44" i="23"/>
  <c r="Q40" i="23"/>
  <c r="Q35" i="23"/>
  <c r="Q31" i="23"/>
  <c r="Q27" i="23"/>
  <c r="Q22" i="23"/>
  <c r="I18" i="23"/>
  <c r="Q18" i="23" s="1"/>
  <c r="G18" i="23"/>
  <c r="Q14" i="23"/>
  <c r="BE5" i="21" l="1"/>
  <c r="BC8" i="21"/>
  <c r="AJ11" i="24"/>
  <c r="AK11" i="24"/>
  <c r="AI15" i="24"/>
  <c r="AJ15" i="24" s="1"/>
  <c r="Q78" i="23"/>
  <c r="Q73" i="23"/>
  <c r="Q65" i="23"/>
  <c r="Q69" i="23"/>
  <c r="BE7" i="21" l="1"/>
  <c r="BF7" i="21" s="1"/>
  <c r="BF5" i="21"/>
  <c r="BE8" i="21"/>
  <c r="BH5" i="21" s="1"/>
  <c r="AL11" i="24"/>
  <c r="AM11" i="24"/>
  <c r="AK15" i="24"/>
  <c r="AL15" i="24" s="1"/>
  <c r="H67" i="20"/>
  <c r="G67" i="20"/>
  <c r="F67" i="20"/>
  <c r="G63" i="20"/>
  <c r="G59" i="20"/>
  <c r="BH7" i="21" l="1"/>
  <c r="BI7" i="21" s="1"/>
  <c r="BH8" i="21"/>
  <c r="BI5" i="21"/>
  <c r="BF8" i="21"/>
  <c r="AN11" i="24"/>
  <c r="AO11" i="24"/>
  <c r="AM15" i="24"/>
  <c r="AN15" i="24" s="1"/>
  <c r="BK5" i="21" l="1"/>
  <c r="BI8" i="21"/>
  <c r="AP11" i="24"/>
  <c r="AQ11" i="24"/>
  <c r="AO15" i="24"/>
  <c r="AP15" i="24" s="1"/>
  <c r="BK7" i="21" l="1"/>
  <c r="BL7" i="21" s="1"/>
  <c r="BL5" i="21"/>
  <c r="BK8" i="21"/>
  <c r="BN5" i="21" s="1"/>
  <c r="AR11" i="24"/>
  <c r="AS11" i="24"/>
  <c r="AQ15" i="24"/>
  <c r="AR15" i="24" s="1"/>
  <c r="C16" i="21" s="1"/>
  <c r="BN7" i="21" l="1"/>
  <c r="BO7" i="21" s="1"/>
  <c r="BN8" i="21"/>
  <c r="BQ5" i="21" s="1"/>
  <c r="BO5" i="21"/>
  <c r="BL8" i="21"/>
  <c r="D16" i="21"/>
  <c r="C18" i="21"/>
  <c r="AT11" i="24"/>
  <c r="AT13" i="24" s="1"/>
  <c r="AS15" i="24"/>
  <c r="BQ7" i="21" l="1"/>
  <c r="BR7" i="21" s="1"/>
  <c r="BQ8" i="21"/>
  <c r="BR5" i="21"/>
  <c r="BO8" i="21"/>
  <c r="AT15" i="24"/>
  <c r="F16" i="21" s="1"/>
  <c r="G16" i="21" s="1"/>
  <c r="F15" i="21"/>
  <c r="D18" i="21"/>
  <c r="G15" i="21" s="1"/>
  <c r="H49" i="20"/>
  <c r="F49" i="20"/>
  <c r="G45" i="20"/>
  <c r="G41" i="20"/>
  <c r="H34" i="20"/>
  <c r="G34" i="20"/>
  <c r="G35" i="20" s="1"/>
  <c r="F35" i="20"/>
  <c r="G30" i="20"/>
  <c r="G26" i="20"/>
  <c r="BT5" i="21" l="1"/>
  <c r="BR8" i="21"/>
  <c r="H35" i="20"/>
  <c r="F17" i="21"/>
  <c r="G17" i="21" s="1"/>
  <c r="F18" i="21"/>
  <c r="BT7" i="21" l="1"/>
  <c r="BU7" i="21" s="1"/>
  <c r="BU5" i="21"/>
  <c r="BT8" i="21"/>
  <c r="I15" i="21"/>
  <c r="G18" i="21"/>
  <c r="J15" i="21" s="1"/>
  <c r="BW5" i="21" l="1"/>
  <c r="BU8" i="21"/>
  <c r="J17" i="21"/>
  <c r="I18" i="21"/>
  <c r="L15" i="21" s="1"/>
  <c r="L18" i="21" s="1"/>
  <c r="BW7" i="21" l="1"/>
  <c r="BX7" i="21" s="1"/>
  <c r="BW8" i="21"/>
  <c r="BZ5" i="21" s="1"/>
  <c r="BX5" i="21"/>
  <c r="O15" i="21"/>
  <c r="O18" i="21" s="1"/>
  <c r="M18" i="21"/>
  <c r="P15" i="21" s="1"/>
  <c r="F62" i="20"/>
  <c r="J18" i="21"/>
  <c r="M15" i="21" s="1"/>
  <c r="BZ7" i="21" l="1"/>
  <c r="CA7" i="21" s="1"/>
  <c r="BZ8" i="21"/>
  <c r="CC5" i="21" s="1"/>
  <c r="CA5" i="21"/>
  <c r="BX8" i="21"/>
  <c r="R15" i="21"/>
  <c r="P18" i="21"/>
  <c r="S15" i="21" s="1"/>
  <c r="H62" i="20"/>
  <c r="H63" i="20" s="1"/>
  <c r="CC7" i="21" l="1"/>
  <c r="CD7" i="21" s="1"/>
  <c r="CD5" i="21"/>
  <c r="CC8" i="21"/>
  <c r="CF5" i="21" s="1"/>
  <c r="CA8" i="21"/>
  <c r="R17" i="21"/>
  <c r="S17" i="21" s="1"/>
  <c r="R18" i="21"/>
  <c r="I62" i="20"/>
  <c r="E66" i="20" s="1"/>
  <c r="CF7" i="21" l="1"/>
  <c r="CG7" i="21" s="1"/>
  <c r="CF8" i="21"/>
  <c r="CI5" i="21" s="1"/>
  <c r="CG5" i="21"/>
  <c r="CD8" i="21"/>
  <c r="U15" i="21"/>
  <c r="S18" i="21"/>
  <c r="V15" i="21" s="1"/>
  <c r="I63" i="20"/>
  <c r="CI7" i="21" l="1"/>
  <c r="CJ7" i="21" s="1"/>
  <c r="CI8" i="21"/>
  <c r="CL5" i="21" s="1"/>
  <c r="CJ5" i="21"/>
  <c r="CG8" i="21"/>
  <c r="U17" i="21"/>
  <c r="V17" i="21" s="1"/>
  <c r="U18" i="21"/>
  <c r="E67" i="20"/>
  <c r="CL7" i="21" l="1"/>
  <c r="CM7" i="21" s="1"/>
  <c r="CM5" i="21"/>
  <c r="CL8" i="21"/>
  <c r="CJ8" i="21"/>
  <c r="X15" i="21"/>
  <c r="V18" i="21"/>
  <c r="Y15" i="21" s="1"/>
  <c r="CO5" i="21" l="1"/>
  <c r="CM8" i="21"/>
  <c r="X17" i="21"/>
  <c r="Y17" i="21" s="1"/>
  <c r="X18" i="21"/>
  <c r="CO7" i="21" l="1"/>
  <c r="CP7" i="21" s="1"/>
  <c r="CP5" i="21"/>
  <c r="CO8" i="21"/>
  <c r="CR5" i="21" s="1"/>
  <c r="CR7" i="21" s="1"/>
  <c r="AA15" i="21"/>
  <c r="Y18" i="21"/>
  <c r="AB15" i="21" s="1"/>
  <c r="CP8" i="21" l="1"/>
  <c r="AA17" i="21"/>
  <c r="AB17" i="21" s="1"/>
  <c r="AA18" i="21"/>
  <c r="CS5" i="21" l="1"/>
  <c r="CS7" i="21"/>
  <c r="CR8" i="21"/>
  <c r="CU5" i="21" s="1"/>
  <c r="AD15" i="21"/>
  <c r="AB18" i="21"/>
  <c r="AE15" i="21" s="1"/>
  <c r="CU7" i="21" l="1"/>
  <c r="CV7" i="21" s="1"/>
  <c r="CV5" i="21"/>
  <c r="CU8" i="21"/>
  <c r="CS8" i="21"/>
  <c r="AD17" i="21"/>
  <c r="AE17" i="21" s="1"/>
  <c r="AD18" i="21"/>
  <c r="F30" i="20" l="1"/>
  <c r="CV8" i="21"/>
  <c r="AG15" i="21"/>
  <c r="AE18" i="21"/>
  <c r="AH15" i="21" s="1"/>
  <c r="F10" i="20" l="1"/>
  <c r="H10" i="20"/>
  <c r="H11" i="20" s="1"/>
  <c r="F45" i="20"/>
  <c r="F29" i="20"/>
  <c r="AG17" i="21"/>
  <c r="AH17" i="21" s="1"/>
  <c r="AG18" i="21"/>
  <c r="I10" i="20" l="1"/>
  <c r="E14" i="20" s="1"/>
  <c r="H29" i="20"/>
  <c r="H30" i="20" s="1"/>
  <c r="I11" i="20"/>
  <c r="AJ15" i="21"/>
  <c r="AH18" i="21"/>
  <c r="AK15" i="21" s="1"/>
  <c r="I29" i="20" l="1"/>
  <c r="E33" i="20" s="1"/>
  <c r="E34" i="20" s="1"/>
  <c r="I14" i="20"/>
  <c r="I15" i="20" s="1"/>
  <c r="E15" i="20"/>
  <c r="AJ17" i="21"/>
  <c r="AK17" i="21" s="1"/>
  <c r="AJ18" i="21"/>
  <c r="I30" i="20" l="1"/>
  <c r="AM15" i="21"/>
  <c r="AK18" i="21"/>
  <c r="AN15" i="21" s="1"/>
  <c r="AM17" i="21" l="1"/>
  <c r="AN17" i="21" s="1"/>
  <c r="AM18" i="21"/>
  <c r="AP15" i="21" l="1"/>
  <c r="AN18" i="21"/>
  <c r="AQ15" i="21" s="1"/>
  <c r="AP17" i="21" l="1"/>
  <c r="AQ17" i="21" s="1"/>
  <c r="AP18" i="21"/>
  <c r="AS15" i="21" l="1"/>
  <c r="AQ18" i="21"/>
  <c r="AT15" i="21" s="1"/>
  <c r="AS17" i="21" l="1"/>
  <c r="AT17" i="21" s="1"/>
  <c r="AS18" i="21"/>
  <c r="AV15" i="21" s="1"/>
  <c r="AV17" i="21" l="1"/>
  <c r="AW17" i="21" s="1"/>
  <c r="AV18" i="21"/>
  <c r="AT18" i="21"/>
  <c r="AW15" i="21" s="1"/>
  <c r="AW18" i="21" l="1"/>
  <c r="AZ15" i="21" s="1"/>
  <c r="AY15" i="21"/>
  <c r="AY17" i="21" l="1"/>
  <c r="AZ17" i="21" s="1"/>
  <c r="AY18" i="21"/>
  <c r="BB15" i="21" s="1"/>
  <c r="BB17" i="21" l="1"/>
  <c r="BC17" i="21" s="1"/>
  <c r="AZ18" i="21"/>
  <c r="BC15" i="21" s="1"/>
  <c r="BX28" i="24" l="1"/>
  <c r="BB16" i="21" s="1"/>
  <c r="BY28" i="24"/>
  <c r="BA16" i="21" s="1"/>
  <c r="BC16" i="21" l="1"/>
  <c r="BA18" i="21"/>
  <c r="BD15" i="21" s="1"/>
  <c r="BD18" i="21" s="1"/>
  <c r="BG15" i="21" s="1"/>
  <c r="BG18" i="21" s="1"/>
  <c r="BJ15" i="21" s="1"/>
  <c r="BJ18" i="21" s="1"/>
  <c r="BM15" i="21" s="1"/>
  <c r="BB18" i="21"/>
  <c r="BM18" i="21" l="1"/>
  <c r="BP15" i="21" s="1"/>
  <c r="BB21" i="21"/>
  <c r="BE15" i="21"/>
  <c r="BC18" i="21"/>
  <c r="BF15" i="21" s="1"/>
  <c r="BP18" i="21" l="1"/>
  <c r="BE17" i="21"/>
  <c r="BF17" i="21" s="1"/>
  <c r="BE18" i="21"/>
  <c r="BH15" i="21" s="1"/>
  <c r="BS15" i="21" l="1"/>
  <c r="BH17" i="21"/>
  <c r="BI17" i="21" s="1"/>
  <c r="BH18" i="21"/>
  <c r="BK15" i="21" s="1"/>
  <c r="BF18" i="21"/>
  <c r="BI15" i="21" s="1"/>
  <c r="BS18" i="21" l="1"/>
  <c r="BV15" i="21" s="1"/>
  <c r="BV18" i="21" s="1"/>
  <c r="BY15" i="21" s="1"/>
  <c r="BY18" i="21" s="1"/>
  <c r="CB15" i="21" s="1"/>
  <c r="CB18" i="21" s="1"/>
  <c r="CE15" i="21" s="1"/>
  <c r="CE18" i="21" s="1"/>
  <c r="CH15" i="21" s="1"/>
  <c r="CH18" i="21" s="1"/>
  <c r="BK17" i="21"/>
  <c r="BL17" i="21" s="1"/>
  <c r="BK18" i="21"/>
  <c r="BN15" i="21" s="1"/>
  <c r="F44" i="20"/>
  <c r="BI18" i="21"/>
  <c r="BL15" i="21" s="1"/>
  <c r="BN17" i="21" l="1"/>
  <c r="BO17" i="21" s="1"/>
  <c r="BN18" i="21"/>
  <c r="BQ15" i="21" s="1"/>
  <c r="BL18" i="21"/>
  <c r="BO15" i="21" s="1"/>
  <c r="H44" i="20"/>
  <c r="H45" i="20" s="1"/>
  <c r="BQ17" i="21" l="1"/>
  <c r="BR17" i="21" s="1"/>
  <c r="BQ18" i="21"/>
  <c r="BO18" i="21"/>
  <c r="BR15" i="21" s="1"/>
  <c r="I44" i="20"/>
  <c r="BT15" i="21" l="1"/>
  <c r="BR18" i="21"/>
  <c r="BU15" i="21" s="1"/>
  <c r="I45" i="20"/>
  <c r="E48" i="20"/>
  <c r="BT17" i="21" l="1"/>
  <c r="BU17" i="21" s="1"/>
  <c r="BT18" i="21"/>
  <c r="E49" i="20"/>
  <c r="CI15" i="24"/>
  <c r="BU18" i="21" l="1"/>
  <c r="BX15" i="21" s="1"/>
  <c r="BW15" i="21"/>
  <c r="BW17" i="21" l="1"/>
  <c r="BX17" i="21" s="1"/>
  <c r="BW18" i="21"/>
  <c r="BZ15" i="21" s="1"/>
  <c r="BZ17" i="21" l="1"/>
  <c r="CA17" i="21" s="1"/>
  <c r="BZ18" i="21"/>
  <c r="CC15" i="21" s="1"/>
  <c r="BX18" i="21"/>
  <c r="CA15" i="21" s="1"/>
  <c r="CC17" i="21" l="1"/>
  <c r="CD17" i="21" s="1"/>
  <c r="CC18" i="21"/>
  <c r="CF15" i="21" s="1"/>
  <c r="CA18" i="21"/>
  <c r="CD15" i="21" s="1"/>
  <c r="CF17" i="21" l="1"/>
  <c r="CG17" i="21" s="1"/>
  <c r="CF18" i="21"/>
  <c r="CD18" i="21"/>
  <c r="CG15" i="21" s="1"/>
  <c r="CI15" i="21" l="1"/>
  <c r="CG18" i="21"/>
  <c r="CJ15" i="21" s="1"/>
  <c r="CF23" i="21"/>
  <c r="CI17" i="21" l="1"/>
  <c r="CJ17" i="21" s="1"/>
  <c r="CI18" i="21"/>
  <c r="CL15" i="21" s="1"/>
  <c r="CL17" i="21" l="1"/>
  <c r="CM17" i="21" s="1"/>
  <c r="CL18" i="21"/>
  <c r="CI23" i="21"/>
  <c r="CJ18" i="21"/>
  <c r="CM15" i="21" s="1"/>
  <c r="CO15" i="21" l="1"/>
  <c r="CM18" i="21"/>
  <c r="CP15" i="21" s="1"/>
  <c r="CO18" i="21" l="1"/>
  <c r="CO17" i="21"/>
  <c r="CP17" i="21" s="1"/>
  <c r="CR15" i="21" l="1"/>
  <c r="CP18" i="21"/>
  <c r="CS15" i="21" s="1"/>
  <c r="CR17" i="21" l="1"/>
  <c r="CS17" i="21" s="1"/>
  <c r="CR18" i="21"/>
  <c r="CU15" i="21" s="1"/>
  <c r="CU17" i="21" l="1"/>
  <c r="CV17" i="21" s="1"/>
  <c r="CU18" i="21"/>
  <c r="CR23" i="21"/>
  <c r="CS18" i="21"/>
  <c r="CV15" i="21" s="1"/>
  <c r="CU23" i="21" l="1"/>
  <c r="F41" i="20" s="1"/>
  <c r="CV18" i="21"/>
  <c r="F25" i="20" l="1"/>
  <c r="H25" i="20" s="1"/>
  <c r="H26" i="20" s="1"/>
  <c r="F59" i="20"/>
  <c r="F58" i="20" s="1"/>
  <c r="F40" i="20"/>
  <c r="I25" i="20" l="1"/>
  <c r="I26" i="20" s="1"/>
  <c r="H40" i="20"/>
  <c r="H41" i="20" s="1"/>
  <c r="H58" i="20"/>
  <c r="H59" i="20" s="1"/>
  <c r="D33" i="20" l="1"/>
  <c r="I33" i="20" s="1"/>
  <c r="I34" i="20" s="1"/>
  <c r="I40" i="20"/>
  <c r="D48" i="20" s="1"/>
  <c r="I58" i="20"/>
  <c r="D66" i="20" s="1"/>
  <c r="D34" i="20"/>
  <c r="I41" i="20" l="1"/>
  <c r="I59" i="20"/>
  <c r="D49" i="20"/>
  <c r="I48" i="20"/>
  <c r="I49" i="20" s="1"/>
  <c r="D67" i="20"/>
  <c r="I66" i="20"/>
  <c r="I67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Tamayo</author>
  </authors>
  <commentList>
    <comment ref="M207" authorId="0" shapeId="0" xr:uid="{4104E4AB-5585-4F31-A95E-E10B1F7DAC66}">
      <text>
        <r>
          <rPr>
            <sz val="9"/>
            <color indexed="81"/>
            <rFont val="Tahoma"/>
            <family val="2"/>
          </rPr>
          <t xml:space="preserve">
Actualización julio 2025 185 días
</t>
        </r>
      </text>
    </comment>
  </commentList>
</comments>
</file>

<file path=xl/sharedStrings.xml><?xml version="1.0" encoding="utf-8"?>
<sst xmlns="http://schemas.openxmlformats.org/spreadsheetml/2006/main" count="987" uniqueCount="518">
  <si>
    <t>Rpet Formula</t>
  </si>
  <si>
    <t>Handling Fee</t>
  </si>
  <si>
    <t>Scrap Fee</t>
  </si>
  <si>
    <t>Sell Side Invema</t>
  </si>
  <si>
    <t>cpp</t>
  </si>
  <si>
    <t>$/MT</t>
  </si>
  <si>
    <t>Vpet Formula</t>
  </si>
  <si>
    <t>Pre-Mix Price</t>
  </si>
  <si>
    <t>25% PCR</t>
  </si>
  <si>
    <t>75% virgen</t>
  </si>
  <si>
    <t>Mixing Fee</t>
  </si>
  <si>
    <t>Sell Side Pre-Mix</t>
  </si>
  <si>
    <t>USD</t>
  </si>
  <si>
    <t>50% PCR</t>
  </si>
  <si>
    <t>50% virgen</t>
  </si>
  <si>
    <t>TERCERA PARTE 75/25</t>
  </si>
  <si>
    <t>TERCERA PARTE 50/50</t>
  </si>
  <si>
    <t>Kardex</t>
  </si>
  <si>
    <t>TERCERA PARTE 100%PCR</t>
  </si>
  <si>
    <t xml:space="preserve">Virgen </t>
  </si>
  <si>
    <t>100% PCR</t>
  </si>
  <si>
    <t>Sell Side</t>
  </si>
  <si>
    <t>Cantidad 
(kg)</t>
  </si>
  <si>
    <t>Precio/TM 
(USD$)</t>
  </si>
  <si>
    <t>Precio Total 
(USD$)</t>
  </si>
  <si>
    <t>Inventario inicial</t>
  </si>
  <si>
    <t>Total Ingresos</t>
  </si>
  <si>
    <t>Consumo (Facturación)</t>
  </si>
  <si>
    <t>Inventario Final</t>
  </si>
  <si>
    <t>ICIS Dashboard Price History</t>
  </si>
  <si>
    <t>Generated</t>
  </si>
  <si>
    <t>03 May 2021 23:34:05</t>
  </si>
  <si>
    <t>Data</t>
  </si>
  <si>
    <t>Price History</t>
  </si>
  <si>
    <t>Date Range</t>
  </si>
  <si>
    <t>From 03 May 2020 to 03 May 2021</t>
  </si>
  <si>
    <t>Original Currency</t>
  </si>
  <si>
    <t>Original Unit</t>
  </si>
  <si>
    <t>tonne</t>
  </si>
  <si>
    <t>Original Frequency</t>
  </si>
  <si>
    <t>Weekly</t>
  </si>
  <si>
    <t>Selected Currency</t>
  </si>
  <si>
    <t>Selected Unit</t>
  </si>
  <si>
    <t xml:space="preserve">Referencia índice resina para ABI </t>
  </si>
  <si>
    <t>Selected Frequency</t>
  </si>
  <si>
    <t>Date</t>
  </si>
  <si>
    <t>PET Bottle Grade FOB China Assessment Spot Full Market Range Weekly (Low) : USD/tonne</t>
  </si>
  <si>
    <t>PET Bottle Grade FOB China Assessment Spot Full Market Range Weekly (High) : USD/tonne</t>
  </si>
  <si>
    <t>PET Bottle Grade FOB China Assessment Spot Full Market Range Weekly (Mid) : USD/tonne</t>
  </si>
  <si>
    <t xml:space="preserve">Logistics </t>
  </si>
  <si>
    <t xml:space="preserve">Surcharge </t>
  </si>
  <si>
    <t xml:space="preserve">Total precio ABI  </t>
  </si>
  <si>
    <t>08-May-2020</t>
  </si>
  <si>
    <t>15-May-2020</t>
  </si>
  <si>
    <t>22-May-2020</t>
  </si>
  <si>
    <t>29-May-2020</t>
  </si>
  <si>
    <t>05-Jun-2020</t>
  </si>
  <si>
    <t>12-Jun-2020</t>
  </si>
  <si>
    <t>19-Jun-2020</t>
  </si>
  <si>
    <t>26-Jun-2020</t>
  </si>
  <si>
    <t>03-Jul-2020</t>
  </si>
  <si>
    <t>10-Jul-2020</t>
  </si>
  <si>
    <t>17-Jul-2020</t>
  </si>
  <si>
    <t>24-Jul-2020</t>
  </si>
  <si>
    <t>31-Jul-2020</t>
  </si>
  <si>
    <t>07-Aug-2020</t>
  </si>
  <si>
    <t>14-Aug-2020</t>
  </si>
  <si>
    <t>21-Aug-2020</t>
  </si>
  <si>
    <t>28-Aug-2020</t>
  </si>
  <si>
    <t>04-Sep-2020</t>
  </si>
  <si>
    <t>11-Sep-2020</t>
  </si>
  <si>
    <t>18-Sep-2020</t>
  </si>
  <si>
    <t>25-Sep-2020</t>
  </si>
  <si>
    <t>02-Oct-2020</t>
  </si>
  <si>
    <t>09-Oct-2020</t>
  </si>
  <si>
    <t>16-Oct-2020</t>
  </si>
  <si>
    <t>23-Oct-2020</t>
  </si>
  <si>
    <t>30-Oct-2020</t>
  </si>
  <si>
    <t>06-Nov-2020</t>
  </si>
  <si>
    <t>13-Nov-2020</t>
  </si>
  <si>
    <t>20-Nov-2020</t>
  </si>
  <si>
    <t>27-Nov-2020</t>
  </si>
  <si>
    <t>04-Dec-2020</t>
  </si>
  <si>
    <t>11-Dec-2020</t>
  </si>
  <si>
    <t>18-Dec-2020</t>
  </si>
  <si>
    <t>25-Dec-2020</t>
  </si>
  <si>
    <t>08-Jan-2021</t>
  </si>
  <si>
    <t>15-Jan-2021</t>
  </si>
  <si>
    <t>22-Jan-2021</t>
  </si>
  <si>
    <t>29-Jan-2021</t>
  </si>
  <si>
    <t>05-Feb-2021</t>
  </si>
  <si>
    <t>12-Feb-2021</t>
  </si>
  <si>
    <t>19-Feb-2021</t>
  </si>
  <si>
    <t>26-Feb-2021</t>
  </si>
  <si>
    <t>05-Mar-2021</t>
  </si>
  <si>
    <t>12-Mar-2021</t>
  </si>
  <si>
    <t>19-Mar-2021</t>
  </si>
  <si>
    <t>26-Mar-2021</t>
  </si>
  <si>
    <t>02-Apr-2021</t>
  </si>
  <si>
    <t>09-Apr-2021</t>
  </si>
  <si>
    <t>16-Apr-2021</t>
  </si>
  <si>
    <t>23-Apr-2021</t>
  </si>
  <si>
    <t>30-Apr-2021</t>
  </si>
  <si>
    <t>07-May-2021</t>
  </si>
  <si>
    <t>14-May-2021</t>
  </si>
  <si>
    <t>21-May-2021</t>
  </si>
  <si>
    <t>28-May-2021</t>
  </si>
  <si>
    <t>04-Jun-2021</t>
  </si>
  <si>
    <t>11-Jun-2021</t>
  </si>
  <si>
    <t>18-Jun-2021</t>
  </si>
  <si>
    <t>25-Jun-2021</t>
  </si>
  <si>
    <t>02-Jul-2021</t>
  </si>
  <si>
    <t>09-Jul-2021</t>
  </si>
  <si>
    <t>16-Jul-2021</t>
  </si>
  <si>
    <t>23-Jul-2021</t>
  </si>
  <si>
    <t>30-Jul-2021</t>
  </si>
  <si>
    <t>06-Aug-2021</t>
  </si>
  <si>
    <t>13-Aug-2021</t>
  </si>
  <si>
    <t>20-Aug-2021</t>
  </si>
  <si>
    <t>27-Aug-2021</t>
  </si>
  <si>
    <t>Exchange rates supplied by Bloomberg and XE.com (http://www.XE.com).</t>
  </si>
  <si>
    <t>Prices that have been converted from the originally quoted unit or currency are shown to two decimal places.</t>
  </si>
  <si>
    <t>When exporting multiple quote series, empty cells may appear in the quote table as publishing dates may not align or may vary over holiday periods.</t>
  </si>
  <si>
    <t>For prices downloaded in any frequency other than the original frequency, ICIS has made some assumptions in averaging (see methodology for frequency).</t>
  </si>
  <si>
    <t>To view prices as assessed by ICIS, please download series in their original published frequency.</t>
  </si>
  <si>
    <t>Vírgen</t>
  </si>
  <si>
    <t xml:space="preserve">PCR </t>
  </si>
  <si>
    <t>03-Sep-2021</t>
  </si>
  <si>
    <t>10-Sep-2021</t>
  </si>
  <si>
    <t>17-Sep-2021</t>
  </si>
  <si>
    <t>24-Sep-2021</t>
  </si>
  <si>
    <t>01-Oct-2021</t>
  </si>
  <si>
    <t>08-Oct-2021</t>
  </si>
  <si>
    <t>15-Oct-2021</t>
  </si>
  <si>
    <t>22-Oct-2021</t>
  </si>
  <si>
    <t>29-Oct-2021</t>
  </si>
  <si>
    <t>03-Dec-2021</t>
  </si>
  <si>
    <t>10-Dec-2021</t>
  </si>
  <si>
    <t>17-Dec-2021</t>
  </si>
  <si>
    <t>24-Dec-2022</t>
  </si>
  <si>
    <t>7 jan 2022</t>
  </si>
  <si>
    <t>14 jan 2022</t>
  </si>
  <si>
    <t>21 jan 2022</t>
  </si>
  <si>
    <t>28 jan 2022</t>
  </si>
  <si>
    <t>NOV</t>
  </si>
  <si>
    <t>DIC</t>
  </si>
  <si>
    <t>ENE (ccp)</t>
  </si>
  <si>
    <t>ENE</t>
  </si>
  <si>
    <t>FEB (ccp)</t>
  </si>
  <si>
    <t>FEB</t>
  </si>
  <si>
    <t>MAR</t>
  </si>
  <si>
    <t>Bale to Flake (% Yield Loss)</t>
  </si>
  <si>
    <t>Net Price After Yield</t>
  </si>
  <si>
    <t>Bale to Flake (Conversion Cost)</t>
  </si>
  <si>
    <t>Flake to Pellet (% Yield Loss)</t>
  </si>
  <si>
    <t>Flake to Pellet (Converson Cost)</t>
  </si>
  <si>
    <t xml:space="preserve">EXWORKS </t>
  </si>
  <si>
    <t>Logistics (63.93 USD)</t>
  </si>
  <si>
    <t>MAR (ccp)</t>
  </si>
  <si>
    <t>25-Feb-2022</t>
  </si>
  <si>
    <t>04-Mar-2022</t>
  </si>
  <si>
    <t>11-Mar-2022</t>
  </si>
  <si>
    <t>18-Mar-2022</t>
  </si>
  <si>
    <t>25-Mar-2022</t>
  </si>
  <si>
    <t>ABR</t>
  </si>
  <si>
    <t>ABR (ccp)</t>
  </si>
  <si>
    <t>MAY (ccp)</t>
  </si>
  <si>
    <t>MAY</t>
  </si>
  <si>
    <t>JUN (ccp)</t>
  </si>
  <si>
    <t>JUN</t>
  </si>
  <si>
    <t>JUL (ccp)</t>
  </si>
  <si>
    <t>JUL</t>
  </si>
  <si>
    <t>AGO (ccp)</t>
  </si>
  <si>
    <t>AGO</t>
  </si>
  <si>
    <t>29-Jul-2022</t>
  </si>
  <si>
    <t>05-Aug-2022</t>
  </si>
  <si>
    <t>12-Aug-2022</t>
  </si>
  <si>
    <t>19-Aug-2022</t>
  </si>
  <si>
    <t>SEP  (ccp)</t>
  </si>
  <si>
    <t xml:space="preserve">SEP </t>
  </si>
  <si>
    <t>OCT  (ccp)</t>
  </si>
  <si>
    <t xml:space="preserve">OCT </t>
  </si>
  <si>
    <t>NOV  (ccp)</t>
  </si>
  <si>
    <t>DIC  (ccp)</t>
  </si>
  <si>
    <t>ENE  (ccp)</t>
  </si>
  <si>
    <t>FEB  (ccp)</t>
  </si>
  <si>
    <t xml:space="preserve">FEB </t>
  </si>
  <si>
    <t>MAR  (ccp)</t>
  </si>
  <si>
    <t>SELL SIDE PreMix (FENC @ 75% + Invema @ 25%)</t>
  </si>
  <si>
    <t>SELL SIDE PreMix (FENC @ 50% + Invema @ 50%)</t>
  </si>
  <si>
    <t>Sell Side FENC</t>
  </si>
  <si>
    <t>ABR  (ccp)</t>
  </si>
  <si>
    <t>26-May-2023</t>
  </si>
  <si>
    <t>MAY  (ccp)</t>
  </si>
  <si>
    <t>02-Jun-2023</t>
  </si>
  <si>
    <t>09-Jun-2023</t>
  </si>
  <si>
    <t>16-Jun-2023</t>
  </si>
  <si>
    <t>23-Jun-2023</t>
  </si>
  <si>
    <t>LANDED</t>
  </si>
  <si>
    <t>CME TERM SOFR (%) 180</t>
  </si>
  <si>
    <t>JUN  (ccp)</t>
  </si>
  <si>
    <t>JUL (cpp)</t>
  </si>
  <si>
    <t>SELL SIDE PreMix (FENC @ 0 + Invema @ 100%)</t>
  </si>
  <si>
    <t>AGO (cpp)</t>
  </si>
  <si>
    <t>30-Jun-2023</t>
  </si>
  <si>
    <t>SEP  (cpp)</t>
  </si>
  <si>
    <t>07-Jul-2023</t>
  </si>
  <si>
    <t>14-Jul-2023</t>
  </si>
  <si>
    <t>21-Jul-2023</t>
  </si>
  <si>
    <t>28-Jul-2023</t>
  </si>
  <si>
    <t>04-Aug-2023</t>
  </si>
  <si>
    <t>11-Aug-2023</t>
  </si>
  <si>
    <t>18-Aug-2023</t>
  </si>
  <si>
    <t>25-Aug-2023</t>
  </si>
  <si>
    <t>NOV   (cpp)</t>
  </si>
  <si>
    <t xml:space="preserve">NOV </t>
  </si>
  <si>
    <t>DIC   (cpp)</t>
  </si>
  <si>
    <t>01-Sep-2023</t>
  </si>
  <si>
    <t>08-Sep-2023</t>
  </si>
  <si>
    <t>15-Sep-2023</t>
  </si>
  <si>
    <t>22-Sep-2023</t>
  </si>
  <si>
    <t>29-Sep-2023</t>
  </si>
  <si>
    <r>
      <t>PET Bottle Grade FOB China Assessment Spot Full Market Range Weekly (Mid) : USD/tonne</t>
    </r>
    <r>
      <rPr>
        <b/>
        <sz val="11"/>
        <color rgb="FFFF0000"/>
        <rFont val="Calibri"/>
        <family val="2"/>
      </rPr>
      <t xml:space="preserve"> (N-4 a partir de julio 2023)</t>
    </r>
  </si>
  <si>
    <t>ENE   (cpp)</t>
  </si>
  <si>
    <t>13-Oct-2023</t>
  </si>
  <si>
    <t>20-Oct-2023</t>
  </si>
  <si>
    <t>27-Oct-2023</t>
  </si>
  <si>
    <t>03-Nov-2023</t>
  </si>
  <si>
    <t>10-Nov-2023</t>
  </si>
  <si>
    <t>17-Nov-2023</t>
  </si>
  <si>
    <t>24-Nov-2023</t>
  </si>
  <si>
    <t>FEB   (cpp)</t>
  </si>
  <si>
    <t>MAR  (cpp)</t>
  </si>
  <si>
    <t>01-Dec-2023</t>
  </si>
  <si>
    <t>08-Dec-2023</t>
  </si>
  <si>
    <t>15-Dec-2023</t>
  </si>
  <si>
    <t>22-Dec-2023</t>
  </si>
  <si>
    <t>05-Jan-2024</t>
  </si>
  <si>
    <t>12-Jan-2024</t>
  </si>
  <si>
    <t>19-Jan-2024</t>
  </si>
  <si>
    <t>26-Jan-2024</t>
  </si>
  <si>
    <t>02-Feb-2024</t>
  </si>
  <si>
    <t>09-Feb-2024</t>
  </si>
  <si>
    <t>23-Feb-2024</t>
  </si>
  <si>
    <t>01-Mar-2024</t>
  </si>
  <si>
    <t>ABR  (cpp)</t>
  </si>
  <si>
    <t>MAY  (cpp)</t>
  </si>
  <si>
    <t>JUN  (cpp)</t>
  </si>
  <si>
    <t>08-Mar-2024</t>
  </si>
  <si>
    <t>15-Mar-2024</t>
  </si>
  <si>
    <t>22-Mar-2024</t>
  </si>
  <si>
    <t>29-Mar-2024</t>
  </si>
  <si>
    <t>05-Apr-2024</t>
  </si>
  <si>
    <t>12-Apr-2024</t>
  </si>
  <si>
    <t>19-Apr-2024</t>
  </si>
  <si>
    <t>26-Apr-2024</t>
  </si>
  <si>
    <t>03-May-2024</t>
  </si>
  <si>
    <t>10-May-2024</t>
  </si>
  <si>
    <t>17-May-2024</t>
  </si>
  <si>
    <t>24-May-2024</t>
  </si>
  <si>
    <t>31-May-2024</t>
  </si>
  <si>
    <t>07-Jun-2024</t>
  </si>
  <si>
    <t>14-Jun-2024</t>
  </si>
  <si>
    <t>21-Jun-2024</t>
  </si>
  <si>
    <t>JUL   (cpp)</t>
  </si>
  <si>
    <t xml:space="preserve">JUL </t>
  </si>
  <si>
    <t xml:space="preserve"> </t>
  </si>
  <si>
    <t>Ingresos Resina</t>
  </si>
  <si>
    <t>Spot Ago</t>
  </si>
  <si>
    <t>Pond Ago</t>
  </si>
  <si>
    <t>Fromula</t>
  </si>
  <si>
    <t>Desc 50%</t>
  </si>
  <si>
    <t>Precio Agosto</t>
  </si>
  <si>
    <t>AGO   (cpp)</t>
  </si>
  <si>
    <t>SEP   (cpp)</t>
  </si>
  <si>
    <t>SEP</t>
  </si>
  <si>
    <t>28-Jun-2024</t>
  </si>
  <si>
    <t>05-Jul-2024</t>
  </si>
  <si>
    <t>12-Jul-2024</t>
  </si>
  <si>
    <t>19-Jul-2024</t>
  </si>
  <si>
    <t>26-Jul-2024</t>
  </si>
  <si>
    <t>02-Aug-2024</t>
  </si>
  <si>
    <t>09-Aug-2024</t>
  </si>
  <si>
    <t>16-Aug-2024</t>
  </si>
  <si>
    <t>23-Aug-2024</t>
  </si>
  <si>
    <t>30-Aug-2024</t>
  </si>
  <si>
    <t xml:space="preserve">ENKA </t>
  </si>
  <si>
    <t>ENKA PARITY EC-CO (EXW)</t>
  </si>
  <si>
    <t>Flete</t>
  </si>
  <si>
    <t>Precio CIF</t>
  </si>
  <si>
    <t xml:space="preserve">ARP </t>
  </si>
  <si>
    <t>Flete 50%</t>
  </si>
  <si>
    <t>ARP</t>
  </si>
  <si>
    <t>$$ ENKA</t>
  </si>
  <si>
    <t>$$ INVEMA</t>
  </si>
  <si>
    <t>Precio Pond</t>
  </si>
  <si>
    <t>oct   (cpp)</t>
  </si>
  <si>
    <t>oct</t>
  </si>
  <si>
    <t>Nov   (cpp)</t>
  </si>
  <si>
    <t>Nov</t>
  </si>
  <si>
    <t>Ingreso Agosto</t>
  </si>
  <si>
    <t>Ingreso Sep - Oct</t>
  </si>
  <si>
    <t>Precio Octubre</t>
  </si>
  <si>
    <t>Precio Nov</t>
  </si>
  <si>
    <t>PCR NOV INVEMA</t>
  </si>
  <si>
    <t>dif</t>
  </si>
  <si>
    <t xml:space="preserve">Precio Dic </t>
  </si>
  <si>
    <t>Ingreso Dic</t>
  </si>
  <si>
    <t>Dic   (cpp)</t>
  </si>
  <si>
    <t>Dic</t>
  </si>
  <si>
    <t>Precio Dic</t>
  </si>
  <si>
    <t>06-Sep-2024</t>
  </si>
  <si>
    <t>13-Sep-2024</t>
  </si>
  <si>
    <t>20-Sep-2024</t>
  </si>
  <si>
    <t>27-Sep-2024</t>
  </si>
  <si>
    <t>04-Oct-2024</t>
  </si>
  <si>
    <t>11-Oct-2024</t>
  </si>
  <si>
    <t>18-Oct-2024</t>
  </si>
  <si>
    <t>25-Oct-2024</t>
  </si>
  <si>
    <t>01-Nov-2024</t>
  </si>
  <si>
    <t>08-Nov-2024</t>
  </si>
  <si>
    <t>15-Nov-2024</t>
  </si>
  <si>
    <t>22-Nov-2024</t>
  </si>
  <si>
    <t>29-Nov-2024</t>
  </si>
  <si>
    <t>06-Dec-2024</t>
  </si>
  <si>
    <t>Precio Ene</t>
  </si>
  <si>
    <t>Ene  (cpp)</t>
  </si>
  <si>
    <t>Ene</t>
  </si>
  <si>
    <t>Ingreso Nov</t>
  </si>
  <si>
    <t>Precio Feb</t>
  </si>
  <si>
    <t>Feb  (cpp)</t>
  </si>
  <si>
    <t>Feb</t>
  </si>
  <si>
    <t>Ingreso Ene</t>
  </si>
  <si>
    <t xml:space="preserve">Precio Enero </t>
  </si>
  <si>
    <t>Precio Marzo</t>
  </si>
  <si>
    <t>Mar  (cpp)</t>
  </si>
  <si>
    <t>Mar</t>
  </si>
  <si>
    <t>Descuento $35USD</t>
  </si>
  <si>
    <t>Finance fee PCR (SOFR +3,8%@180)</t>
  </si>
  <si>
    <t>PRECIO ENKA - NUEVO 2025</t>
  </si>
  <si>
    <t>IHS Curbside x Deposit AVG (CPP)</t>
  </si>
  <si>
    <t>Average Bale USD</t>
  </si>
  <si>
    <t>Net Bale Price After Yield (% Yield Loss)</t>
  </si>
  <si>
    <t>Fixed PCR Conversion</t>
  </si>
  <si>
    <t>Adjusted PCR Conversion Cost</t>
  </si>
  <si>
    <t>Total Conversion Cost</t>
  </si>
  <si>
    <t>EX WORKS</t>
  </si>
  <si>
    <t>Flete Colombia - El Salvador (Variable)</t>
  </si>
  <si>
    <t>Libor Rate - SOFR Rate</t>
  </si>
  <si>
    <t>NEW Discount</t>
  </si>
  <si>
    <t>TOTAL USD/Tn</t>
  </si>
  <si>
    <t>$ x TM</t>
  </si>
  <si>
    <t>CANTIDAD KGS</t>
  </si>
  <si>
    <t>RESINAS PCR</t>
  </si>
  <si>
    <t>POND.</t>
  </si>
  <si>
    <t xml:space="preserve">POND. </t>
  </si>
  <si>
    <t>%</t>
  </si>
  <si>
    <t>$ POND</t>
  </si>
  <si>
    <t>13-Dec-2024</t>
  </si>
  <si>
    <t>20-Dec-2024</t>
  </si>
  <si>
    <t>03-Jan-2025</t>
  </si>
  <si>
    <t>10-Jan-2025</t>
  </si>
  <si>
    <t>17-Jan-2025</t>
  </si>
  <si>
    <t>24-Jan-2025</t>
  </si>
  <si>
    <t>31-Jan-2025</t>
  </si>
  <si>
    <t>07-Feb-2025</t>
  </si>
  <si>
    <t>14-Feb-2025</t>
  </si>
  <si>
    <t>21-Feb-2025</t>
  </si>
  <si>
    <t>28-Feb-2025</t>
  </si>
  <si>
    <t>07-Mar-2025</t>
  </si>
  <si>
    <t>14-Mar-2025</t>
  </si>
  <si>
    <t xml:space="preserve">Precio Abril </t>
  </si>
  <si>
    <t>Abr  (cpp)</t>
  </si>
  <si>
    <t>Abr</t>
  </si>
  <si>
    <t>Precio Mayo</t>
  </si>
  <si>
    <t xml:space="preserve">Precio Mayo </t>
  </si>
  <si>
    <t>Mayo  (cpp)</t>
  </si>
  <si>
    <t xml:space="preserve">Mayo </t>
  </si>
  <si>
    <t xml:space="preserve">ABRIL </t>
  </si>
  <si>
    <t xml:space="preserve">Precio Junio </t>
  </si>
  <si>
    <t>MAYO</t>
  </si>
  <si>
    <t>Junio  (cpp)</t>
  </si>
  <si>
    <t>21-Mar-2025</t>
  </si>
  <si>
    <t>28-Mar-2025</t>
  </si>
  <si>
    <t>04-Apr-2025</t>
  </si>
  <si>
    <t>11-Apr-2025</t>
  </si>
  <si>
    <t>18-Apr-2025</t>
  </si>
  <si>
    <t>25-Apr-2025</t>
  </si>
  <si>
    <t xml:space="preserve">Junio </t>
  </si>
  <si>
    <t>Mes Recepcion</t>
  </si>
  <si>
    <t>Cantidad Kg</t>
  </si>
  <si>
    <t>ICIS</t>
  </si>
  <si>
    <t>Adder</t>
  </si>
  <si>
    <t>Landed</t>
  </si>
  <si>
    <t>Finance Fee</t>
  </si>
  <si>
    <t>Precio Total</t>
  </si>
  <si>
    <t>Mayo</t>
  </si>
  <si>
    <t>Junio</t>
  </si>
  <si>
    <t>Julio</t>
  </si>
  <si>
    <t>Agosto</t>
  </si>
  <si>
    <t xml:space="preserve">Precio Julio </t>
  </si>
  <si>
    <t>Precio Julio</t>
  </si>
  <si>
    <t>JUNIO</t>
  </si>
  <si>
    <t>Julio  (cpp)</t>
  </si>
  <si>
    <t>Finance fee V (SOFR +3,8%@185)</t>
  </si>
  <si>
    <t>02-May-2025</t>
  </si>
  <si>
    <t>09-May-2025</t>
  </si>
  <si>
    <t>16-May-2025</t>
  </si>
  <si>
    <t>23-May-2025</t>
  </si>
  <si>
    <t>30-May-2025</t>
  </si>
  <si>
    <t>06-Jun-2025</t>
  </si>
  <si>
    <t>13-Jun-2025</t>
  </si>
  <si>
    <t>20-Jun-2025</t>
  </si>
  <si>
    <t>27-Jun-2025</t>
  </si>
  <si>
    <t>Septiembre</t>
  </si>
  <si>
    <t>Octubre</t>
  </si>
  <si>
    <t>Noviembre</t>
  </si>
  <si>
    <t>Diciembre</t>
  </si>
  <si>
    <t>Enero</t>
  </si>
  <si>
    <t xml:space="preserve">Precio Agosto </t>
  </si>
  <si>
    <t xml:space="preserve">JULIO </t>
  </si>
  <si>
    <t>Agosto  (cpp)</t>
  </si>
  <si>
    <t>Sep   (cpp)</t>
  </si>
  <si>
    <t>Sep</t>
  </si>
  <si>
    <t>Precio Sep</t>
  </si>
  <si>
    <t xml:space="preserve">Precio Sep </t>
  </si>
  <si>
    <t>Precio $ TM</t>
  </si>
  <si>
    <t>Sobre costo reducción PCR</t>
  </si>
  <si>
    <t>DAK Spot</t>
  </si>
  <si>
    <t xml:space="preserve">Ingreso  Sep </t>
  </si>
  <si>
    <t>Precio Oct</t>
  </si>
  <si>
    <t>Sep  (cpp)</t>
  </si>
  <si>
    <t>Oct   (cpp)</t>
  </si>
  <si>
    <t xml:space="preserve">Precio Oct </t>
  </si>
  <si>
    <t>04-Jul-2025</t>
  </si>
  <si>
    <t>11-Jul-2025</t>
  </si>
  <si>
    <t>18-Jul-2025</t>
  </si>
  <si>
    <t>25-Jul-2025</t>
  </si>
  <si>
    <t>01-Aug-2025</t>
  </si>
  <si>
    <t>08-Aug-2025</t>
  </si>
  <si>
    <t>15-Aug-2025</t>
  </si>
  <si>
    <t>22-Aug-2025</t>
  </si>
  <si>
    <t>29-Aug-2025</t>
  </si>
  <si>
    <t>05-Sep-2025</t>
  </si>
  <si>
    <t>12-Sep-2025</t>
  </si>
  <si>
    <t>19-Sep-2025</t>
  </si>
  <si>
    <t>26-Sep-2025</t>
  </si>
  <si>
    <t>Oct</t>
  </si>
  <si>
    <t xml:space="preserve">SELL SIDE PreMix (100% Virgen) </t>
  </si>
  <si>
    <t>0% PCR</t>
  </si>
  <si>
    <t>100% virgen</t>
  </si>
  <si>
    <t xml:space="preserve">Nov </t>
  </si>
  <si>
    <t>Dic    (cpp)</t>
  </si>
  <si>
    <t xml:space="preserve">Dic </t>
  </si>
  <si>
    <t>Ene   (cpp)</t>
  </si>
  <si>
    <t>PRECIO INVEMA</t>
  </si>
  <si>
    <t>Febrero</t>
  </si>
  <si>
    <t>03-Oct-2025</t>
  </si>
  <si>
    <t>10-Oct-2025</t>
  </si>
  <si>
    <t>17-Oct-2025</t>
  </si>
  <si>
    <t>24-Oct-2025</t>
  </si>
  <si>
    <t>31-Oct-2025</t>
  </si>
  <si>
    <t>07-Nov-2025</t>
  </si>
  <si>
    <t>14-Nov-2025</t>
  </si>
  <si>
    <t>21-Nov-2025</t>
  </si>
  <si>
    <t>28-Nov-2025</t>
  </si>
  <si>
    <t>05-Dec-2025</t>
  </si>
  <si>
    <t>12-Dec-2025</t>
  </si>
  <si>
    <t>19-Dec-2025</t>
  </si>
  <si>
    <t>26-Dec-2025</t>
  </si>
  <si>
    <t>PCR</t>
  </si>
  <si>
    <t>Virgen</t>
  </si>
  <si>
    <t>Ano/mês</t>
  </si>
  <si>
    <t>Colombia</t>
  </si>
  <si>
    <t>ELS</t>
  </si>
  <si>
    <t>jan/26</t>
  </si>
  <si>
    <t xml:space="preserve">$        162,14 </t>
  </si>
  <si>
    <t xml:space="preserve"> $        185,00 </t>
  </si>
  <si>
    <t>fev/26</t>
  </si>
  <si>
    <t xml:space="preserve">$        136,95 </t>
  </si>
  <si>
    <t xml:space="preserve"> $        197,00 </t>
  </si>
  <si>
    <t xml:space="preserve">Drewry </t>
  </si>
  <si>
    <t xml:space="preserve"> $        185,80 </t>
  </si>
  <si>
    <t xml:space="preserve"> $        175,80 </t>
  </si>
  <si>
    <t>mai/26</t>
  </si>
  <si>
    <t xml:space="preserve"> $        161,18 </t>
  </si>
  <si>
    <t xml:space="preserve">$        105,23 </t>
  </si>
  <si>
    <t xml:space="preserve"> $        149,67 </t>
  </si>
  <si>
    <t xml:space="preserve"> $        168,00 </t>
  </si>
  <si>
    <t>set/26</t>
  </si>
  <si>
    <t>out/26</t>
  </si>
  <si>
    <t>dez/26</t>
  </si>
  <si>
    <t xml:space="preserve">$        168,00 </t>
  </si>
  <si>
    <t>09-Jan-2026</t>
  </si>
  <si>
    <t>16-Jan-2026</t>
  </si>
  <si>
    <t>23-Jan-2026</t>
  </si>
  <si>
    <t>30-Jan-2026</t>
  </si>
  <si>
    <t>06-Feb-2026</t>
  </si>
  <si>
    <t>Precio aplicable Mar   2026</t>
  </si>
  <si>
    <t>SELL SIDE para aplicar en Mar   2026</t>
  </si>
  <si>
    <t>Precio Mar</t>
  </si>
  <si>
    <t>Feb   (cpp)</t>
  </si>
  <si>
    <t>Mar (cpp)</t>
  </si>
  <si>
    <t>Index</t>
  </si>
  <si>
    <t xml:space="preserve">Freight </t>
  </si>
  <si>
    <t xml:space="preserve">Is it constant ? </t>
  </si>
  <si>
    <t xml:space="preserve">Not available I nthe formulae </t>
  </si>
  <si>
    <t>Tax</t>
  </si>
  <si>
    <t>SOFR</t>
  </si>
  <si>
    <t>CIF</t>
  </si>
  <si>
    <t>TLC</t>
  </si>
  <si>
    <t xml:space="preserve">Formulae is different than how is it calucated </t>
  </si>
  <si>
    <t xml:space="preserve">constant </t>
  </si>
  <si>
    <t xml:space="preserve">constant ? </t>
  </si>
  <si>
    <t xml:space="preserve">Constant </t>
  </si>
  <si>
    <t xml:space="preserve">scrap is not used </t>
  </si>
  <si>
    <t xml:space="preserve">Can I consider the whole 40 as part of Tax ? 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</si>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</sst>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(&quot;$&quot;* #,##0.00_);_(&quot;$&quot;* \(#,##0.00\);_(&quot;$&quot;* &quot;-&quot;??_);_(@_)"/>
    <numFmt numFmtId="164" formatCode="_-* #,##0_-;\-* #,##0_-;_-* &quot;-&quot;_-;_-@_-"/>
    <numFmt numFmtId="165" formatCode="_-&quot;$&quot;\ * #,##0.00_-;\-&quot;$&quot;\ * #,##0.00_-;_-&quot;$&quot;\ * &quot;-&quot;??_-;_-@_-"/>
    <numFmt numFmtId="166" formatCode="_-* #,##0.00_-;\-* #,##0.00_-;_-* &quot;-&quot;??_-;_-@_-"/>
    <numFmt numFmtId="167" formatCode="&quot;$&quot;#,##0.00;[Red]\-&quot;$&quot;#,##0.00"/>
    <numFmt numFmtId="168" formatCode="_-&quot;$&quot;* #,##0.00_-;\-&quot;$&quot;* #,##0.00_-;_-&quot;$&quot;* &quot;-&quot;??_-;_-@_-"/>
    <numFmt numFmtId="169" formatCode="_-* #,##0_-;\-* #,##0_-;_-* &quot;-&quot;??_-;_-@_-"/>
    <numFmt numFmtId="170" formatCode="_(&quot;$&quot;* #,##0.0_);_(&quot;$&quot;* \(#,##0.0\);_(&quot;$&quot;* &quot;-&quot;??_);_(@_)"/>
    <numFmt numFmtId="171" formatCode="dd\-mmm\-yyyy"/>
    <numFmt numFmtId="172" formatCode="0.0"/>
    <numFmt numFmtId="173" formatCode="_-&quot;$&quot;* #,##0_-;\-&quot;$&quot;* #,##0_-;_-&quot;$&quot;* &quot;-&quot;??_-;_-@_-"/>
    <numFmt numFmtId="174" formatCode="_-* #,##0.00_-;\-* #,##0.00_-;_-* &quot;-&quot;_-;_-@_-"/>
    <numFmt numFmtId="175" formatCode="_-* #,##0.000_-;\-* #,##0.000_-;_-* &quot;-&quot;_-;_-@_-"/>
    <numFmt numFmtId="176" formatCode="[$$-440A]#,##0.00"/>
    <numFmt numFmtId="177" formatCode="_-* #,##0.000_-;\-* #,##0.000_-;_-* &quot;-&quot;??_-;_-@_-"/>
    <numFmt numFmtId="178" formatCode="_-* #,##0.0_-;\-* #,##0.0_-;_-* &quot;-&quot;??_-;_-@_-"/>
    <numFmt numFmtId="179" formatCode="0.0000"/>
    <numFmt numFmtId="180" formatCode="_-* #,##0.0000_-;\-* #,##0.0000_-;_-* &quot;-&quot;??_-;_-@_-"/>
    <numFmt numFmtId="181" formatCode="0.0%"/>
    <numFmt numFmtId="182" formatCode="&quot;$&quot;#,##0.00"/>
    <numFmt numFmtId="183" formatCode="_-* #,##0.0_-;\-* #,##0.0_-;_-* &quot;-&quot;_-;_-@_-"/>
    <numFmt numFmtId="184" formatCode="_-* #,##0.0_-;\-* #,##0.0_-;_-* &quot;-&quot;?_-;_-@_-"/>
    <numFmt numFmtId="185" formatCode="0.000%"/>
    <numFmt numFmtId="186" formatCode="_-* #,##0.0000_-;\-* #,##0.0000_-;_-* &quot;-&quot;_-;_-@_-"/>
  </numFmts>
  <fonts count="4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5"/>
      <color indexed="64"/>
      <name val="Calibri"/>
      <family val="2"/>
    </font>
    <font>
      <sz val="11"/>
      <color indexed="64"/>
      <name val="Calibri"/>
      <family val="2"/>
    </font>
    <font>
      <b/>
      <sz val="11"/>
      <name val="Arial"/>
      <family val="2"/>
    </font>
    <font>
      <b/>
      <sz val="11"/>
      <color indexed="64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9"/>
      <color indexed="81"/>
      <name val="Tahoma"/>
      <family val="2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medium">
        <color indexed="64"/>
      </left>
      <right style="thick">
        <color indexed="8"/>
      </right>
      <top style="medium">
        <color indexed="64"/>
      </top>
      <bottom/>
      <diagonal/>
    </border>
    <border>
      <left style="thick">
        <color indexed="8"/>
      </left>
      <right style="thick">
        <color indexed="8"/>
      </right>
      <top style="medium">
        <color indexed="64"/>
      </top>
      <bottom/>
      <diagonal/>
    </border>
    <border>
      <left style="thick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8"/>
      </left>
      <right style="thin">
        <color indexed="8"/>
      </right>
      <top/>
      <bottom/>
      <diagonal/>
    </border>
    <border>
      <left/>
      <right style="thick">
        <color indexed="8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166" fontId="7" fillId="0" borderId="0" applyFont="0" applyFill="0" applyBorder="0" applyAlignment="0" applyProtection="0"/>
    <xf numFmtId="0" fontId="7" fillId="0" borderId="0"/>
    <xf numFmtId="168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9" fillId="0" borderId="0"/>
    <xf numFmtId="0" fontId="9" fillId="0" borderId="0"/>
    <xf numFmtId="4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0" fillId="0" borderId="0"/>
    <xf numFmtId="0" fontId="7" fillId="0" borderId="0"/>
    <xf numFmtId="0" fontId="21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8" fontId="7" fillId="0" borderId="0" applyFont="0" applyFill="0" applyBorder="0" applyAlignment="0" applyProtection="0"/>
    <xf numFmtId="0" fontId="7" fillId="0" borderId="0"/>
  </cellStyleXfs>
  <cellXfs count="355">
    <xf numFmtId="0" fontId="0" fillId="0" borderId="0" xfId="0"/>
    <xf numFmtId="0" fontId="4" fillId="3" borderId="0" xfId="0" applyFont="1" applyFill="1" applyAlignment="1">
      <alignment horizontal="center"/>
    </xf>
    <xf numFmtId="0" fontId="2" fillId="4" borderId="0" xfId="0" applyFont="1" applyFill="1"/>
    <xf numFmtId="0" fontId="0" fillId="4" borderId="0" xfId="0" applyFill="1"/>
    <xf numFmtId="0" fontId="2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167" fontId="0" fillId="0" borderId="0" xfId="0" applyNumberFormat="1"/>
    <xf numFmtId="167" fontId="8" fillId="5" borderId="0" xfId="0" applyNumberFormat="1" applyFont="1" applyFill="1" applyAlignment="1">
      <alignment horizontal="center"/>
    </xf>
    <xf numFmtId="4" fontId="0" fillId="0" borderId="0" xfId="0" applyNumberFormat="1"/>
    <xf numFmtId="0" fontId="1" fillId="7" borderId="0" xfId="0" applyFont="1" applyFill="1" applyAlignment="1">
      <alignment horizontal="center" wrapText="1"/>
    </xf>
    <xf numFmtId="0" fontId="1" fillId="8" borderId="0" xfId="0" applyFont="1" applyFill="1" applyAlignment="1">
      <alignment horizontal="center" wrapText="1"/>
    </xf>
    <xf numFmtId="169" fontId="0" fillId="0" borderId="0" xfId="1" applyNumberFormat="1" applyFont="1"/>
    <xf numFmtId="3" fontId="0" fillId="0" borderId="0" xfId="0" applyNumberFormat="1"/>
    <xf numFmtId="166" fontId="0" fillId="0" borderId="0" xfId="0" applyNumberFormat="1"/>
    <xf numFmtId="0" fontId="11" fillId="11" borderId="6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1" fillId="12" borderId="9" xfId="0" applyFont="1" applyFill="1" applyBorder="1" applyAlignment="1">
      <alignment horizontal="left" vertical="center"/>
    </xf>
    <xf numFmtId="169" fontId="0" fillId="0" borderId="0" xfId="0" applyNumberFormat="1"/>
    <xf numFmtId="0" fontId="11" fillId="12" borderId="9" xfId="5" applyFont="1" applyFill="1" applyBorder="1" applyAlignment="1">
      <alignment vertical="center"/>
    </xf>
    <xf numFmtId="0" fontId="9" fillId="0" borderId="0" xfId="6"/>
    <xf numFmtId="0" fontId="13" fillId="0" borderId="0" xfId="6" applyFont="1"/>
    <xf numFmtId="0" fontId="14" fillId="0" borderId="0" xfId="6" applyFont="1"/>
    <xf numFmtId="0" fontId="15" fillId="13" borderId="10" xfId="6" applyFont="1" applyFill="1" applyBorder="1" applyAlignment="1">
      <alignment horizontal="center" vertical="center" wrapText="1"/>
    </xf>
    <xf numFmtId="0" fontId="15" fillId="13" borderId="11" xfId="6" applyFont="1" applyFill="1" applyBorder="1" applyAlignment="1">
      <alignment horizontal="center" vertical="center" wrapText="1"/>
    </xf>
    <xf numFmtId="0" fontId="15" fillId="13" borderId="12" xfId="6" applyFont="1" applyFill="1" applyBorder="1" applyAlignment="1">
      <alignment horizontal="center" vertical="center" wrapText="1"/>
    </xf>
    <xf numFmtId="0" fontId="15" fillId="13" borderId="13" xfId="6" applyFont="1" applyFill="1" applyBorder="1" applyAlignment="1">
      <alignment horizontal="center" vertical="center" wrapText="1"/>
    </xf>
    <xf numFmtId="0" fontId="15" fillId="13" borderId="14" xfId="6" applyFont="1" applyFill="1" applyBorder="1" applyAlignment="1">
      <alignment horizontal="center" vertical="center" wrapText="1"/>
    </xf>
    <xf numFmtId="17" fontId="9" fillId="0" borderId="0" xfId="6" applyNumberFormat="1"/>
    <xf numFmtId="1" fontId="9" fillId="0" borderId="18" xfId="6" applyNumberFormat="1" applyBorder="1" applyAlignment="1">
      <alignment horizontal="center"/>
    </xf>
    <xf numFmtId="1" fontId="9" fillId="0" borderId="14" xfId="6" applyNumberFormat="1" applyBorder="1" applyAlignment="1">
      <alignment horizontal="center"/>
    </xf>
    <xf numFmtId="1" fontId="9" fillId="3" borderId="17" xfId="6" applyNumberFormat="1" applyFill="1" applyBorder="1" applyAlignment="1">
      <alignment horizontal="center"/>
    </xf>
    <xf numFmtId="0" fontId="9" fillId="0" borderId="14" xfId="6" applyBorder="1" applyAlignment="1">
      <alignment horizontal="center"/>
    </xf>
    <xf numFmtId="0" fontId="9" fillId="0" borderId="21" xfId="6" applyBorder="1" applyAlignment="1">
      <alignment horizontal="center"/>
    </xf>
    <xf numFmtId="0" fontId="9" fillId="0" borderId="22" xfId="6" applyBorder="1" applyAlignment="1">
      <alignment horizontal="center"/>
    </xf>
    <xf numFmtId="0" fontId="9" fillId="3" borderId="1" xfId="6" applyFill="1" applyBorder="1" applyAlignment="1">
      <alignment horizontal="center"/>
    </xf>
    <xf numFmtId="1" fontId="9" fillId="0" borderId="22" xfId="6" applyNumberFormat="1" applyBorder="1" applyAlignment="1">
      <alignment horizontal="center"/>
    </xf>
    <xf numFmtId="0" fontId="9" fillId="0" borderId="26" xfId="6" applyBorder="1" applyAlignment="1">
      <alignment horizontal="center"/>
    </xf>
    <xf numFmtId="0" fontId="9" fillId="0" borderId="27" xfId="6" applyBorder="1" applyAlignment="1">
      <alignment horizontal="center"/>
    </xf>
    <xf numFmtId="0" fontId="9" fillId="3" borderId="25" xfId="6" applyFill="1" applyBorder="1" applyAlignment="1">
      <alignment horizontal="center"/>
    </xf>
    <xf numFmtId="1" fontId="9" fillId="0" borderId="27" xfId="6" applyNumberFormat="1" applyBorder="1" applyAlignment="1">
      <alignment horizontal="center"/>
    </xf>
    <xf numFmtId="170" fontId="2" fillId="0" borderId="0" xfId="7" applyNumberFormat="1" applyFont="1" applyFill="1"/>
    <xf numFmtId="1" fontId="9" fillId="0" borderId="21" xfId="6" applyNumberFormat="1" applyBorder="1" applyAlignment="1">
      <alignment horizontal="center"/>
    </xf>
    <xf numFmtId="1" fontId="9" fillId="3" borderId="1" xfId="6" applyNumberFormat="1" applyFill="1" applyBorder="1" applyAlignment="1">
      <alignment horizontal="center"/>
    </xf>
    <xf numFmtId="2" fontId="9" fillId="0" borderId="0" xfId="6" applyNumberFormat="1"/>
    <xf numFmtId="3" fontId="11" fillId="0" borderId="0" xfId="6" applyNumberFormat="1" applyFont="1" applyAlignment="1">
      <alignment horizontal="center"/>
    </xf>
    <xf numFmtId="0" fontId="16" fillId="0" borderId="0" xfId="0" applyFont="1"/>
    <xf numFmtId="0" fontId="9" fillId="0" borderId="0" xfId="6" applyAlignment="1">
      <alignment horizontal="center"/>
    </xf>
    <xf numFmtId="0" fontId="11" fillId="0" borderId="0" xfId="6" applyFont="1" applyAlignment="1">
      <alignment horizontal="center"/>
    </xf>
    <xf numFmtId="1" fontId="9" fillId="0" borderId="0" xfId="6" applyNumberFormat="1" applyAlignment="1">
      <alignment horizontal="center"/>
    </xf>
    <xf numFmtId="3" fontId="9" fillId="0" borderId="0" xfId="6" applyNumberFormat="1"/>
    <xf numFmtId="0" fontId="17" fillId="0" borderId="0" xfId="0" applyFont="1"/>
    <xf numFmtId="0" fontId="9" fillId="3" borderId="22" xfId="6" applyFill="1" applyBorder="1" applyAlignment="1">
      <alignment horizontal="center"/>
    </xf>
    <xf numFmtId="0" fontId="9" fillId="3" borderId="27" xfId="6" applyFill="1" applyBorder="1" applyAlignment="1">
      <alignment horizontal="center"/>
    </xf>
    <xf numFmtId="1" fontId="9" fillId="3" borderId="14" xfId="6" applyNumberFormat="1" applyFill="1" applyBorder="1" applyAlignment="1">
      <alignment horizontal="center"/>
    </xf>
    <xf numFmtId="173" fontId="0" fillId="0" borderId="0" xfId="0" applyNumberFormat="1"/>
    <xf numFmtId="172" fontId="9" fillId="3" borderId="22" xfId="6" applyNumberFormat="1" applyFill="1" applyBorder="1" applyAlignment="1">
      <alignment horizontal="center"/>
    </xf>
    <xf numFmtId="2" fontId="9" fillId="0" borderId="14" xfId="6" applyNumberFormat="1" applyBorder="1" applyAlignment="1">
      <alignment horizontal="center"/>
    </xf>
    <xf numFmtId="176" fontId="0" fillId="0" borderId="0" xfId="0" applyNumberFormat="1"/>
    <xf numFmtId="0" fontId="9" fillId="0" borderId="17" xfId="6" applyBorder="1"/>
    <xf numFmtId="0" fontId="9" fillId="0" borderId="1" xfId="6" applyBorder="1"/>
    <xf numFmtId="0" fontId="9" fillId="0" borderId="25" xfId="6" applyBorder="1"/>
    <xf numFmtId="0" fontId="9" fillId="0" borderId="22" xfId="6" applyBorder="1"/>
    <xf numFmtId="0" fontId="9" fillId="0" borderId="27" xfId="6" applyBorder="1"/>
    <xf numFmtId="0" fontId="9" fillId="3" borderId="22" xfId="6" applyFill="1" applyBorder="1"/>
    <xf numFmtId="0" fontId="9" fillId="3" borderId="27" xfId="6" applyFill="1" applyBorder="1"/>
    <xf numFmtId="2" fontId="9" fillId="0" borderId="14" xfId="6" applyNumberFormat="1" applyBorder="1" applyAlignment="1">
      <alignment horizontal="center" vertical="center"/>
    </xf>
    <xf numFmtId="172" fontId="9" fillId="0" borderId="14" xfId="6" applyNumberFormat="1" applyBorder="1" applyAlignment="1">
      <alignment horizontal="center"/>
    </xf>
    <xf numFmtId="166" fontId="2" fillId="9" borderId="0" xfId="1" applyFont="1" applyFill="1"/>
    <xf numFmtId="166" fontId="0" fillId="0" borderId="0" xfId="1" applyFont="1"/>
    <xf numFmtId="177" fontId="0" fillId="0" borderId="0" xfId="1" applyNumberFormat="1" applyFont="1"/>
    <xf numFmtId="166" fontId="8" fillId="5" borderId="0" xfId="0" applyNumberFormat="1" applyFont="1" applyFill="1" applyAlignment="1">
      <alignment horizontal="center"/>
    </xf>
    <xf numFmtId="1" fontId="9" fillId="3" borderId="22" xfId="6" applyNumberFormat="1" applyFill="1" applyBorder="1" applyAlignment="1">
      <alignment horizontal="center"/>
    </xf>
    <xf numFmtId="2" fontId="9" fillId="0" borderId="22" xfId="6" applyNumberFormat="1" applyBorder="1" applyAlignment="1">
      <alignment horizontal="center"/>
    </xf>
    <xf numFmtId="2" fontId="9" fillId="0" borderId="22" xfId="6" applyNumberFormat="1" applyBorder="1" applyAlignment="1">
      <alignment horizontal="center" vertical="center"/>
    </xf>
    <xf numFmtId="172" fontId="9" fillId="0" borderId="22" xfId="6" applyNumberFormat="1" applyBorder="1" applyAlignment="1">
      <alignment horizontal="center"/>
    </xf>
    <xf numFmtId="1" fontId="9" fillId="0" borderId="22" xfId="6" applyNumberFormat="1" applyBorder="1"/>
    <xf numFmtId="1" fontId="9" fillId="3" borderId="22" xfId="6" applyNumberFormat="1" applyFill="1" applyBorder="1"/>
    <xf numFmtId="44" fontId="0" fillId="0" borderId="0" xfId="0" applyNumberFormat="1"/>
    <xf numFmtId="169" fontId="19" fillId="16" borderId="18" xfId="1" applyNumberFormat="1" applyFont="1" applyFill="1" applyBorder="1" applyAlignment="1">
      <alignment horizontal="center" vertical="center"/>
    </xf>
    <xf numFmtId="169" fontId="19" fillId="16" borderId="30" xfId="1" applyNumberFormat="1" applyFont="1" applyFill="1" applyBorder="1" applyAlignment="1">
      <alignment horizontal="center" vertical="center"/>
    </xf>
    <xf numFmtId="169" fontId="19" fillId="16" borderId="17" xfId="1" applyNumberFormat="1" applyFont="1" applyFill="1" applyBorder="1" applyAlignment="1">
      <alignment horizontal="center" vertical="center"/>
    </xf>
    <xf numFmtId="169" fontId="19" fillId="16" borderId="21" xfId="1" applyNumberFormat="1" applyFont="1" applyFill="1" applyBorder="1" applyAlignment="1">
      <alignment horizontal="center" vertical="center"/>
    </xf>
    <xf numFmtId="169" fontId="19" fillId="16" borderId="0" xfId="1" applyNumberFormat="1" applyFont="1" applyFill="1" applyBorder="1" applyAlignment="1">
      <alignment horizontal="center" vertical="center"/>
    </xf>
    <xf numFmtId="169" fontId="19" fillId="16" borderId="1" xfId="1" applyNumberFormat="1" applyFont="1" applyFill="1" applyBorder="1" applyAlignment="1">
      <alignment horizontal="center" vertical="center"/>
    </xf>
    <xf numFmtId="169" fontId="19" fillId="16" borderId="26" xfId="1" applyNumberFormat="1" applyFont="1" applyFill="1" applyBorder="1" applyAlignment="1">
      <alignment horizontal="center" vertical="center"/>
    </xf>
    <xf numFmtId="169" fontId="19" fillId="16" borderId="31" xfId="1" applyNumberFormat="1" applyFont="1" applyFill="1" applyBorder="1" applyAlignment="1">
      <alignment horizontal="center" vertical="center"/>
    </xf>
    <xf numFmtId="169" fontId="19" fillId="16" borderId="25" xfId="1" applyNumberFormat="1" applyFont="1" applyFill="1" applyBorder="1" applyAlignment="1">
      <alignment horizontal="center" vertical="center"/>
    </xf>
    <xf numFmtId="1" fontId="9" fillId="0" borderId="14" xfId="6" applyNumberFormat="1" applyBorder="1"/>
    <xf numFmtId="1" fontId="9" fillId="3" borderId="14" xfId="6" applyNumberFormat="1" applyFill="1" applyBorder="1"/>
    <xf numFmtId="0" fontId="9" fillId="0" borderId="14" xfId="6" applyBorder="1"/>
    <xf numFmtId="0" fontId="9" fillId="3" borderId="14" xfId="6" applyFill="1" applyBorder="1"/>
    <xf numFmtId="0" fontId="15" fillId="17" borderId="12" xfId="6" applyFont="1" applyFill="1" applyBorder="1" applyAlignment="1">
      <alignment horizontal="center" vertical="center" wrapText="1"/>
    </xf>
    <xf numFmtId="10" fontId="9" fillId="0" borderId="22" xfId="9" applyNumberFormat="1" applyFont="1" applyBorder="1" applyAlignment="1">
      <alignment horizontal="center"/>
    </xf>
    <xf numFmtId="178" fontId="2" fillId="9" borderId="0" xfId="1" applyNumberFormat="1" applyFont="1" applyFill="1"/>
    <xf numFmtId="166" fontId="9" fillId="3" borderId="14" xfId="6" applyNumberFormat="1" applyFill="1" applyBorder="1"/>
    <xf numFmtId="179" fontId="9" fillId="0" borderId="22" xfId="6" applyNumberFormat="1" applyBorder="1" applyAlignment="1">
      <alignment horizontal="center"/>
    </xf>
    <xf numFmtId="10" fontId="9" fillId="0" borderId="14" xfId="6" applyNumberFormat="1" applyBorder="1"/>
    <xf numFmtId="180" fontId="0" fillId="0" borderId="0" xfId="0" applyNumberFormat="1"/>
    <xf numFmtId="169" fontId="19" fillId="16" borderId="21" xfId="1" applyNumberFormat="1" applyFont="1" applyFill="1" applyBorder="1" applyAlignment="1"/>
    <xf numFmtId="169" fontId="19" fillId="16" borderId="0" xfId="1" applyNumberFormat="1" applyFont="1" applyFill="1" applyBorder="1" applyAlignment="1"/>
    <xf numFmtId="169" fontId="19" fillId="16" borderId="1" xfId="1" applyNumberFormat="1" applyFont="1" applyFill="1" applyBorder="1" applyAlignment="1"/>
    <xf numFmtId="9" fontId="9" fillId="0" borderId="27" xfId="9" applyFont="1" applyBorder="1"/>
    <xf numFmtId="2" fontId="9" fillId="0" borderId="27" xfId="6" applyNumberFormat="1" applyBorder="1"/>
    <xf numFmtId="0" fontId="9" fillId="0" borderId="27" xfId="6" applyBorder="1" applyAlignment="1">
      <alignment horizontal="center" vertical="center"/>
    </xf>
    <xf numFmtId="169" fontId="7" fillId="0" borderId="0" xfId="1" applyNumberFormat="1" applyFont="1"/>
    <xf numFmtId="172" fontId="9" fillId="0" borderId="27" xfId="6" applyNumberFormat="1" applyBorder="1"/>
    <xf numFmtId="1" fontId="9" fillId="0" borderId="27" xfId="6" applyNumberFormat="1" applyBorder="1"/>
    <xf numFmtId="178" fontId="0" fillId="0" borderId="0" xfId="0" applyNumberFormat="1"/>
    <xf numFmtId="14" fontId="24" fillId="16" borderId="0" xfId="12" applyNumberFormat="1" applyFont="1" applyFill="1" applyAlignment="1" applyProtection="1">
      <alignment horizontal="center" vertical="center"/>
      <protection locked="0"/>
    </xf>
    <xf numFmtId="169" fontId="13" fillId="6" borderId="16" xfId="1" applyNumberFormat="1" applyFont="1" applyFill="1" applyBorder="1" applyAlignment="1">
      <alignment horizontal="right"/>
    </xf>
    <xf numFmtId="169" fontId="13" fillId="6" borderId="17" xfId="1" applyNumberFormat="1" applyFont="1" applyFill="1" applyBorder="1" applyAlignment="1">
      <alignment horizontal="right"/>
    </xf>
    <xf numFmtId="169" fontId="13" fillId="6" borderId="20" xfId="1" applyNumberFormat="1" applyFont="1" applyFill="1" applyBorder="1" applyAlignment="1">
      <alignment horizontal="right"/>
    </xf>
    <xf numFmtId="169" fontId="13" fillId="6" borderId="1" xfId="1" applyNumberFormat="1" applyFont="1" applyFill="1" applyBorder="1" applyAlignment="1">
      <alignment horizontal="right"/>
    </xf>
    <xf numFmtId="169" fontId="13" fillId="6" borderId="24" xfId="1" applyNumberFormat="1" applyFont="1" applyFill="1" applyBorder="1" applyAlignment="1">
      <alignment horizontal="right"/>
    </xf>
    <xf numFmtId="169" fontId="13" fillId="6" borderId="25" xfId="1" applyNumberFormat="1" applyFont="1" applyFill="1" applyBorder="1" applyAlignment="1">
      <alignment horizontal="right"/>
    </xf>
    <xf numFmtId="169" fontId="13" fillId="6" borderId="29" xfId="1" applyNumberFormat="1" applyFont="1" applyFill="1" applyBorder="1" applyAlignment="1">
      <alignment horizontal="right"/>
    </xf>
    <xf numFmtId="169" fontId="13" fillId="6" borderId="0" xfId="1" applyNumberFormat="1" applyFont="1" applyFill="1" applyBorder="1" applyAlignment="1">
      <alignment horizontal="right"/>
    </xf>
    <xf numFmtId="169" fontId="13" fillId="6" borderId="30" xfId="1" applyNumberFormat="1" applyFont="1" applyFill="1" applyBorder="1" applyAlignment="1">
      <alignment horizontal="right"/>
    </xf>
    <xf numFmtId="169" fontId="13" fillId="6" borderId="31" xfId="1" applyNumberFormat="1" applyFont="1" applyFill="1" applyBorder="1" applyAlignment="1">
      <alignment horizontal="right"/>
    </xf>
    <xf numFmtId="169" fontId="23" fillId="16" borderId="0" xfId="1" applyNumberFormat="1" applyFont="1" applyFill="1" applyAlignment="1" applyProtection="1">
      <protection locked="0"/>
    </xf>
    <xf numFmtId="169" fontId="23" fillId="16" borderId="0" xfId="1" applyNumberFormat="1" applyFont="1" applyFill="1" applyAlignment="1" applyProtection="1">
      <alignment horizontal="right" vertical="center"/>
      <protection locked="0"/>
    </xf>
    <xf numFmtId="2" fontId="9" fillId="0" borderId="22" xfId="6" applyNumberFormat="1" applyBorder="1"/>
    <xf numFmtId="9" fontId="9" fillId="0" borderId="22" xfId="9" applyFont="1" applyBorder="1"/>
    <xf numFmtId="2" fontId="9" fillId="0" borderId="32" xfId="6" applyNumberFormat="1" applyBorder="1"/>
    <xf numFmtId="0" fontId="9" fillId="0" borderId="32" xfId="6" applyBorder="1"/>
    <xf numFmtId="9" fontId="9" fillId="0" borderId="32" xfId="9" applyFont="1" applyBorder="1"/>
    <xf numFmtId="0" fontId="12" fillId="0" borderId="0" xfId="6" applyFont="1" applyAlignment="1">
      <alignment vertical="center"/>
    </xf>
    <xf numFmtId="0" fontId="13" fillId="0" borderId="0" xfId="6" applyFont="1" applyAlignment="1">
      <alignment vertical="center"/>
    </xf>
    <xf numFmtId="0" fontId="9" fillId="0" borderId="0" xfId="6" applyAlignment="1">
      <alignment vertical="center"/>
    </xf>
    <xf numFmtId="171" fontId="13" fillId="6" borderId="15" xfId="6" applyNumberFormat="1" applyFont="1" applyFill="1" applyBorder="1" applyAlignment="1">
      <alignment horizontal="right" vertical="center"/>
    </xf>
    <xf numFmtId="171" fontId="13" fillId="6" borderId="19" xfId="6" applyNumberFormat="1" applyFont="1" applyFill="1" applyBorder="1" applyAlignment="1">
      <alignment horizontal="right" vertical="center"/>
    </xf>
    <xf numFmtId="171" fontId="13" fillId="6" borderId="23" xfId="6" applyNumberFormat="1" applyFont="1" applyFill="1" applyBorder="1" applyAlignment="1">
      <alignment horizontal="right" vertical="center"/>
    </xf>
    <xf numFmtId="171" fontId="13" fillId="6" borderId="28" xfId="6" applyNumberFormat="1" applyFont="1" applyFill="1" applyBorder="1" applyAlignment="1">
      <alignment horizontal="right" vertical="center"/>
    </xf>
    <xf numFmtId="171" fontId="13" fillId="6" borderId="18" xfId="6" applyNumberFormat="1" applyFont="1" applyFill="1" applyBorder="1" applyAlignment="1">
      <alignment horizontal="right" vertical="center"/>
    </xf>
    <xf numFmtId="171" fontId="13" fillId="6" borderId="21" xfId="6" applyNumberFormat="1" applyFont="1" applyFill="1" applyBorder="1" applyAlignment="1">
      <alignment horizontal="right" vertical="center"/>
    </xf>
    <xf numFmtId="171" fontId="13" fillId="6" borderId="26" xfId="6" applyNumberFormat="1" applyFont="1" applyFill="1" applyBorder="1" applyAlignment="1">
      <alignment horizontal="right" vertical="center"/>
    </xf>
    <xf numFmtId="171" fontId="13" fillId="6" borderId="14" xfId="6" applyNumberFormat="1" applyFont="1" applyFill="1" applyBorder="1" applyAlignment="1">
      <alignment horizontal="right" vertical="center"/>
    </xf>
    <xf numFmtId="171" fontId="13" fillId="6" borderId="22" xfId="6" applyNumberFormat="1" applyFont="1" applyFill="1" applyBorder="1" applyAlignment="1">
      <alignment horizontal="right" vertical="center"/>
    </xf>
    <xf numFmtId="171" fontId="13" fillId="6" borderId="27" xfId="6" applyNumberFormat="1" applyFont="1" applyFill="1" applyBorder="1" applyAlignment="1">
      <alignment horizontal="right" vertical="center"/>
    </xf>
    <xf numFmtId="9" fontId="0" fillId="0" borderId="0" xfId="9" applyFont="1"/>
    <xf numFmtId="181" fontId="0" fillId="0" borderId="0" xfId="9" applyNumberFormat="1" applyFont="1"/>
    <xf numFmtId="166" fontId="9" fillId="0" borderId="0" xfId="1" applyFont="1"/>
    <xf numFmtId="166" fontId="9" fillId="0" borderId="0" xfId="6" applyNumberFormat="1"/>
    <xf numFmtId="0" fontId="11" fillId="0" borderId="0" xfId="6" applyFont="1"/>
    <xf numFmtId="1" fontId="9" fillId="0" borderId="33" xfId="6" applyNumberFormat="1" applyBorder="1" applyAlignment="1">
      <alignment horizontal="center" vertical="center"/>
    </xf>
    <xf numFmtId="168" fontId="0" fillId="0" borderId="0" xfId="17" applyFont="1"/>
    <xf numFmtId="168" fontId="9" fillId="0" borderId="0" xfId="17" applyFont="1"/>
    <xf numFmtId="169" fontId="25" fillId="0" borderId="0" xfId="1" applyNumberFormat="1" applyFont="1"/>
    <xf numFmtId="174" fontId="26" fillId="0" borderId="0" xfId="8" applyNumberFormat="1" applyFont="1" applyAlignment="1">
      <alignment horizontal="left" vertical="center"/>
    </xf>
    <xf numFmtId="174" fontId="28" fillId="0" borderId="22" xfId="8" applyNumberFormat="1" applyFont="1" applyBorder="1" applyAlignment="1">
      <alignment horizontal="left" vertical="center"/>
    </xf>
    <xf numFmtId="182" fontId="26" fillId="0" borderId="21" xfId="8" applyNumberFormat="1" applyFont="1" applyBorder="1" applyAlignment="1">
      <alignment horizontal="left" vertical="center"/>
    </xf>
    <xf numFmtId="174" fontId="28" fillId="0" borderId="27" xfId="8" applyNumberFormat="1" applyFont="1" applyBorder="1" applyAlignment="1">
      <alignment horizontal="left" vertical="center"/>
    </xf>
    <xf numFmtId="182" fontId="26" fillId="0" borderId="26" xfId="8" applyNumberFormat="1" applyFont="1" applyBorder="1" applyAlignment="1">
      <alignment horizontal="left" vertical="center"/>
    </xf>
    <xf numFmtId="9" fontId="26" fillId="0" borderId="0" xfId="9" applyFont="1" applyAlignment="1">
      <alignment horizontal="left" vertical="center"/>
    </xf>
    <xf numFmtId="174" fontId="26" fillId="0" borderId="0" xfId="8" applyNumberFormat="1" applyFont="1" applyBorder="1" applyAlignment="1">
      <alignment horizontal="left" vertical="center"/>
    </xf>
    <xf numFmtId="174" fontId="28" fillId="0" borderId="0" xfId="8" applyNumberFormat="1" applyFont="1" applyAlignment="1">
      <alignment horizontal="left" vertical="center"/>
    </xf>
    <xf numFmtId="174" fontId="28" fillId="0" borderId="0" xfId="8" applyNumberFormat="1" applyFont="1" applyAlignment="1">
      <alignment horizontal="center" vertical="center"/>
    </xf>
    <xf numFmtId="9" fontId="26" fillId="0" borderId="0" xfId="9" applyFont="1" applyAlignment="1">
      <alignment horizontal="center" vertical="center"/>
    </xf>
    <xf numFmtId="174" fontId="26" fillId="0" borderId="1" xfId="8" applyNumberFormat="1" applyFont="1" applyBorder="1" applyAlignment="1">
      <alignment horizontal="left" vertical="center"/>
    </xf>
    <xf numFmtId="17" fontId="27" fillId="20" borderId="14" xfId="18" applyNumberFormat="1" applyFont="1" applyFill="1" applyBorder="1" applyAlignment="1" applyProtection="1">
      <alignment horizontal="center" vertical="center"/>
      <protection locked="0"/>
    </xf>
    <xf numFmtId="174" fontId="30" fillId="0" borderId="0" xfId="8" applyNumberFormat="1" applyFont="1" applyAlignment="1">
      <alignment horizontal="left" vertical="center"/>
    </xf>
    <xf numFmtId="174" fontId="27" fillId="18" borderId="14" xfId="8" applyNumberFormat="1" applyFont="1" applyFill="1" applyBorder="1" applyAlignment="1">
      <alignment horizontal="center" vertical="center"/>
    </xf>
    <xf numFmtId="174" fontId="27" fillId="18" borderId="18" xfId="8" applyNumberFormat="1" applyFont="1" applyFill="1" applyBorder="1" applyAlignment="1">
      <alignment horizontal="left" vertical="center"/>
    </xf>
    <xf numFmtId="174" fontId="27" fillId="18" borderId="30" xfId="8" applyNumberFormat="1" applyFont="1" applyFill="1" applyBorder="1" applyAlignment="1">
      <alignment horizontal="left" vertical="center"/>
    </xf>
    <xf numFmtId="174" fontId="27" fillId="18" borderId="17" xfId="8" applyNumberFormat="1" applyFont="1" applyFill="1" applyBorder="1" applyAlignment="1">
      <alignment horizontal="center" vertical="center"/>
    </xf>
    <xf numFmtId="9" fontId="26" fillId="0" borderId="1" xfId="9" applyFont="1" applyBorder="1" applyAlignment="1">
      <alignment horizontal="center" vertical="center"/>
    </xf>
    <xf numFmtId="9" fontId="26" fillId="0" borderId="25" xfId="9" applyFont="1" applyBorder="1" applyAlignment="1">
      <alignment horizontal="center" vertical="center"/>
    </xf>
    <xf numFmtId="174" fontId="27" fillId="18" borderId="0" xfId="8" applyNumberFormat="1" applyFont="1" applyFill="1" applyAlignment="1">
      <alignment horizontal="left" vertical="center"/>
    </xf>
    <xf numFmtId="174" fontId="26" fillId="0" borderId="0" xfId="8" applyNumberFormat="1" applyFont="1" applyFill="1" applyAlignment="1">
      <alignment horizontal="left" vertical="center" wrapText="1"/>
    </xf>
    <xf numFmtId="175" fontId="29" fillId="14" borderId="0" xfId="8" applyNumberFormat="1" applyFont="1" applyFill="1" applyAlignment="1">
      <alignment horizontal="left" vertical="center"/>
    </xf>
    <xf numFmtId="174" fontId="29" fillId="14" borderId="0" xfId="8" applyNumberFormat="1" applyFont="1" applyFill="1" applyAlignment="1">
      <alignment horizontal="left" vertical="center"/>
    </xf>
    <xf numFmtId="174" fontId="29" fillId="0" borderId="0" xfId="8" applyNumberFormat="1" applyFont="1" applyAlignment="1">
      <alignment horizontal="left" vertical="center"/>
    </xf>
    <xf numFmtId="174" fontId="26" fillId="0" borderId="0" xfId="8" applyNumberFormat="1" applyFont="1" applyFill="1" applyAlignment="1">
      <alignment horizontal="left" vertical="center"/>
    </xf>
    <xf numFmtId="9" fontId="26" fillId="0" borderId="0" xfId="9" applyFont="1" applyFill="1" applyAlignment="1">
      <alignment horizontal="right" vertical="center"/>
    </xf>
    <xf numFmtId="175" fontId="26" fillId="0" borderId="0" xfId="8" applyNumberFormat="1" applyFont="1" applyFill="1" applyAlignment="1">
      <alignment horizontal="left" vertical="center"/>
    </xf>
    <xf numFmtId="174" fontId="26" fillId="15" borderId="0" xfId="8" applyNumberFormat="1" applyFont="1" applyFill="1" applyAlignment="1">
      <alignment horizontal="left" vertical="center"/>
    </xf>
    <xf numFmtId="175" fontId="26" fillId="15" borderId="0" xfId="8" applyNumberFormat="1" applyFont="1" applyFill="1" applyAlignment="1">
      <alignment horizontal="left" vertical="center"/>
    </xf>
    <xf numFmtId="10" fontId="26" fillId="0" borderId="0" xfId="9" applyNumberFormat="1" applyFont="1" applyFill="1" applyAlignment="1">
      <alignment horizontal="center" vertical="center"/>
    </xf>
    <xf numFmtId="181" fontId="29" fillId="0" borderId="0" xfId="9" applyNumberFormat="1" applyFont="1" applyFill="1" applyAlignment="1">
      <alignment horizontal="center" vertical="center"/>
    </xf>
    <xf numFmtId="175" fontId="27" fillId="18" borderId="0" xfId="8" applyNumberFormat="1" applyFont="1" applyFill="1" applyAlignment="1">
      <alignment horizontal="left" vertical="center"/>
    </xf>
    <xf numFmtId="174" fontId="28" fillId="0" borderId="0" xfId="8" applyNumberFormat="1" applyFont="1" applyAlignment="1">
      <alignment vertical="center"/>
    </xf>
    <xf numFmtId="182" fontId="26" fillId="0" borderId="0" xfId="8" applyNumberFormat="1" applyFont="1" applyAlignment="1">
      <alignment horizontal="left" vertical="center"/>
    </xf>
    <xf numFmtId="174" fontId="26" fillId="0" borderId="0" xfId="8" applyNumberFormat="1" applyFont="1" applyAlignment="1">
      <alignment horizontal="center" vertical="center"/>
    </xf>
    <xf numFmtId="174" fontId="26" fillId="3" borderId="0" xfId="8" applyNumberFormat="1" applyFont="1" applyFill="1" applyAlignment="1">
      <alignment horizontal="center" vertical="center"/>
    </xf>
    <xf numFmtId="174" fontId="31" fillId="3" borderId="0" xfId="8" applyNumberFormat="1" applyFont="1" applyFill="1" applyAlignment="1">
      <alignment horizontal="center" vertical="center"/>
    </xf>
    <xf numFmtId="174" fontId="26" fillId="3" borderId="0" xfId="8" applyNumberFormat="1" applyFont="1" applyFill="1" applyAlignment="1">
      <alignment horizontal="left" vertical="center"/>
    </xf>
    <xf numFmtId="174" fontId="31" fillId="3" borderId="0" xfId="8" applyNumberFormat="1" applyFont="1" applyFill="1" applyAlignment="1">
      <alignment horizontal="left" vertical="center"/>
    </xf>
    <xf numFmtId="174" fontId="30" fillId="18" borderId="30" xfId="8" applyNumberFormat="1" applyFont="1" applyFill="1" applyBorder="1" applyAlignment="1">
      <alignment horizontal="left" vertical="center"/>
    </xf>
    <xf numFmtId="174" fontId="30" fillId="18" borderId="17" xfId="8" applyNumberFormat="1" applyFont="1" applyFill="1" applyBorder="1" applyAlignment="1">
      <alignment horizontal="left" vertical="center"/>
    </xf>
    <xf numFmtId="174" fontId="26" fillId="19" borderId="0" xfId="8" applyNumberFormat="1" applyFont="1" applyFill="1" applyBorder="1" applyAlignment="1">
      <alignment horizontal="left" vertical="center"/>
    </xf>
    <xf numFmtId="174" fontId="26" fillId="19" borderId="1" xfId="8" applyNumberFormat="1" applyFont="1" applyFill="1" applyBorder="1" applyAlignment="1">
      <alignment horizontal="left" vertical="center"/>
    </xf>
    <xf numFmtId="174" fontId="26" fillId="18" borderId="31" xfId="8" applyNumberFormat="1" applyFont="1" applyFill="1" applyBorder="1" applyAlignment="1">
      <alignment horizontal="left" vertical="center"/>
    </xf>
    <xf numFmtId="174" fontId="26" fillId="18" borderId="25" xfId="8" applyNumberFormat="1" applyFont="1" applyFill="1" applyBorder="1" applyAlignment="1">
      <alignment horizontal="left" vertical="center"/>
    </xf>
    <xf numFmtId="174" fontId="27" fillId="18" borderId="30" xfId="8" applyNumberFormat="1" applyFont="1" applyFill="1" applyBorder="1" applyAlignment="1">
      <alignment horizontal="center" vertical="center"/>
    </xf>
    <xf numFmtId="174" fontId="27" fillId="18" borderId="27" xfId="8" applyNumberFormat="1" applyFont="1" applyFill="1" applyBorder="1" applyAlignment="1"/>
    <xf numFmtId="185" fontId="26" fillId="0" borderId="0" xfId="9" applyNumberFormat="1" applyFont="1" applyAlignment="1">
      <alignment horizontal="center" vertical="center"/>
    </xf>
    <xf numFmtId="175" fontId="26" fillId="0" borderId="22" xfId="8" applyNumberFormat="1" applyFont="1" applyBorder="1" applyAlignment="1">
      <alignment horizontal="center"/>
    </xf>
    <xf numFmtId="183" fontId="26" fillId="14" borderId="22" xfId="8" applyNumberFormat="1" applyFont="1" applyFill="1" applyBorder="1" applyAlignment="1">
      <alignment horizontal="center"/>
    </xf>
    <xf numFmtId="9" fontId="26" fillId="0" borderId="22" xfId="9" applyFont="1" applyBorder="1" applyAlignment="1">
      <alignment horizontal="center" vertical="center"/>
    </xf>
    <xf numFmtId="183" fontId="26" fillId="0" borderId="22" xfId="8" applyNumberFormat="1" applyFont="1" applyBorder="1" applyAlignment="1">
      <alignment horizontal="center"/>
    </xf>
    <xf numFmtId="10" fontId="26" fillId="0" borderId="22" xfId="9" applyNumberFormat="1" applyFont="1" applyBorder="1" applyAlignment="1">
      <alignment horizontal="center"/>
    </xf>
    <xf numFmtId="10" fontId="27" fillId="18" borderId="27" xfId="9" applyNumberFormat="1" applyFont="1" applyFill="1" applyBorder="1" applyAlignment="1">
      <alignment horizontal="center"/>
    </xf>
    <xf numFmtId="174" fontId="26" fillId="0" borderId="22" xfId="8" applyNumberFormat="1" applyFont="1" applyBorder="1" applyAlignment="1">
      <alignment horizontal="left" vertical="center"/>
    </xf>
    <xf numFmtId="9" fontId="26" fillId="0" borderId="0" xfId="9" applyFont="1" applyBorder="1" applyAlignment="1">
      <alignment horizontal="center" vertical="center"/>
    </xf>
    <xf numFmtId="174" fontId="29" fillId="0" borderId="21" xfId="8" applyNumberFormat="1" applyFont="1" applyBorder="1" applyAlignment="1">
      <alignment horizontal="left" vertical="center"/>
    </xf>
    <xf numFmtId="174" fontId="26" fillId="0" borderId="0" xfId="8" applyNumberFormat="1" applyFont="1" applyBorder="1" applyAlignment="1">
      <alignment horizontal="center" vertical="center"/>
    </xf>
    <xf numFmtId="9" fontId="26" fillId="0" borderId="21" xfId="9" applyFont="1" applyFill="1" applyBorder="1" applyAlignment="1">
      <alignment horizontal="right" vertical="center"/>
    </xf>
    <xf numFmtId="9" fontId="26" fillId="0" borderId="0" xfId="9" applyFont="1" applyFill="1" applyBorder="1" applyAlignment="1">
      <alignment horizontal="right" vertical="center"/>
    </xf>
    <xf numFmtId="9" fontId="26" fillId="0" borderId="0" xfId="9" applyFont="1" applyFill="1" applyBorder="1" applyAlignment="1">
      <alignment horizontal="center" vertical="center"/>
    </xf>
    <xf numFmtId="175" fontId="26" fillId="0" borderId="21" xfId="8" applyNumberFormat="1" applyFont="1" applyFill="1" applyBorder="1" applyAlignment="1">
      <alignment horizontal="left" vertical="center"/>
    </xf>
    <xf numFmtId="9" fontId="26" fillId="0" borderId="0" xfId="9" applyFont="1" applyBorder="1" applyAlignment="1">
      <alignment horizontal="left" vertical="center"/>
    </xf>
    <xf numFmtId="9" fontId="26" fillId="0" borderId="1" xfId="9" applyFont="1" applyFill="1" applyBorder="1" applyAlignment="1">
      <alignment horizontal="right" vertical="center"/>
    </xf>
    <xf numFmtId="175" fontId="26" fillId="15" borderId="21" xfId="8" applyNumberFormat="1" applyFont="1" applyFill="1" applyBorder="1" applyAlignment="1">
      <alignment horizontal="left" vertical="center"/>
    </xf>
    <xf numFmtId="182" fontId="26" fillId="0" borderId="1" xfId="17" applyNumberFormat="1" applyFont="1" applyBorder="1" applyAlignment="1">
      <alignment horizontal="center" vertical="center"/>
    </xf>
    <xf numFmtId="174" fontId="26" fillId="0" borderId="21" xfId="8" applyNumberFormat="1" applyFont="1" applyFill="1" applyBorder="1" applyAlignment="1">
      <alignment horizontal="left" vertical="center"/>
    </xf>
    <xf numFmtId="9" fontId="26" fillId="0" borderId="1" xfId="9" applyFont="1" applyBorder="1" applyAlignment="1">
      <alignment horizontal="left" vertical="center"/>
    </xf>
    <xf numFmtId="174" fontId="26" fillId="0" borderId="0" xfId="8" applyNumberFormat="1" applyFont="1" applyFill="1" applyBorder="1" applyAlignment="1">
      <alignment horizontal="left" vertical="center"/>
    </xf>
    <xf numFmtId="174" fontId="26" fillId="0" borderId="0" xfId="8" applyNumberFormat="1" applyFont="1" applyFill="1" applyBorder="1" applyAlignment="1">
      <alignment horizontal="center" vertical="center"/>
    </xf>
    <xf numFmtId="175" fontId="27" fillId="18" borderId="26" xfId="8" applyNumberFormat="1" applyFont="1" applyFill="1" applyBorder="1" applyAlignment="1">
      <alignment horizontal="left" vertical="center"/>
    </xf>
    <xf numFmtId="174" fontId="27" fillId="18" borderId="31" xfId="8" applyNumberFormat="1" applyFont="1" applyFill="1" applyBorder="1" applyAlignment="1">
      <alignment horizontal="left" vertical="center"/>
    </xf>
    <xf numFmtId="9" fontId="27" fillId="18" borderId="31" xfId="9" applyFont="1" applyFill="1" applyBorder="1" applyAlignment="1">
      <alignment horizontal="center" vertical="center"/>
    </xf>
    <xf numFmtId="174" fontId="27" fillId="18" borderId="25" xfId="8" applyNumberFormat="1" applyFont="1" applyFill="1" applyBorder="1" applyAlignment="1">
      <alignment horizontal="left" vertical="center"/>
    </xf>
    <xf numFmtId="174" fontId="26" fillId="14" borderId="0" xfId="8" applyNumberFormat="1" applyFont="1" applyFill="1" applyBorder="1" applyAlignment="1">
      <alignment horizontal="left" vertical="center"/>
    </xf>
    <xf numFmtId="9" fontId="26" fillId="14" borderId="0" xfId="9" applyFont="1" applyFill="1" applyBorder="1" applyAlignment="1">
      <alignment horizontal="right" vertical="center"/>
    </xf>
    <xf numFmtId="181" fontId="29" fillId="14" borderId="0" xfId="9" applyNumberFormat="1" applyFont="1" applyFill="1" applyBorder="1" applyAlignment="1">
      <alignment horizontal="center" vertical="center"/>
    </xf>
    <xf numFmtId="182" fontId="29" fillId="14" borderId="0" xfId="8" applyNumberFormat="1" applyFont="1" applyFill="1" applyBorder="1" applyAlignment="1">
      <alignment horizontal="center" vertical="center"/>
    </xf>
    <xf numFmtId="9" fontId="26" fillId="14" borderId="22" xfId="9" applyFont="1" applyFill="1" applyBorder="1" applyAlignment="1">
      <alignment horizontal="center"/>
    </xf>
    <xf numFmtId="1" fontId="9" fillId="0" borderId="32" xfId="6" applyNumberFormat="1" applyBorder="1"/>
    <xf numFmtId="174" fontId="29" fillId="3" borderId="0" xfId="8" applyNumberFormat="1" applyFont="1" applyFill="1" applyBorder="1" applyAlignment="1">
      <alignment horizontal="center" vertical="center"/>
    </xf>
    <xf numFmtId="174" fontId="29" fillId="3" borderId="0" xfId="8" applyNumberFormat="1" applyFont="1" applyFill="1" applyBorder="1" applyAlignment="1">
      <alignment horizontal="left" vertical="center"/>
    </xf>
    <xf numFmtId="182" fontId="28" fillId="0" borderId="31" xfId="8" applyNumberFormat="1" applyFont="1" applyBorder="1" applyAlignment="1">
      <alignment horizontal="center" vertical="center"/>
    </xf>
    <xf numFmtId="174" fontId="28" fillId="14" borderId="31" xfId="8" applyNumberFormat="1" applyFont="1" applyFill="1" applyBorder="1" applyAlignment="1">
      <alignment horizontal="left" vertical="center"/>
    </xf>
    <xf numFmtId="169" fontId="25" fillId="14" borderId="0" xfId="1" applyNumberFormat="1" applyFont="1" applyFill="1"/>
    <xf numFmtId="169" fontId="0" fillId="14" borderId="0" xfId="1" applyNumberFormat="1" applyFont="1" applyFill="1"/>
    <xf numFmtId="178" fontId="23" fillId="16" borderId="0" xfId="1" applyNumberFormat="1" applyFont="1" applyFill="1" applyAlignment="1" applyProtection="1">
      <alignment horizontal="right" vertical="center"/>
      <protection locked="0"/>
    </xf>
    <xf numFmtId="174" fontId="29" fillId="14" borderId="21" xfId="8" applyNumberFormat="1" applyFont="1" applyFill="1" applyBorder="1" applyAlignment="1">
      <alignment horizontal="left" vertical="center"/>
    </xf>
    <xf numFmtId="166" fontId="0" fillId="14" borderId="0" xfId="1" applyFont="1" applyFill="1"/>
    <xf numFmtId="0" fontId="32" fillId="21" borderId="33" xfId="0" applyFont="1" applyFill="1" applyBorder="1" applyAlignment="1">
      <alignment horizontal="center" vertical="center" wrapText="1"/>
    </xf>
    <xf numFmtId="0" fontId="33" fillId="21" borderId="0" xfId="0" applyFont="1" applyFill="1" applyAlignment="1">
      <alignment horizontal="center" vertical="center" wrapText="1"/>
    </xf>
    <xf numFmtId="0" fontId="33" fillId="22" borderId="33" xfId="0" applyFont="1" applyFill="1" applyBorder="1" applyAlignment="1">
      <alignment horizontal="center" vertical="center" wrapText="1"/>
    </xf>
    <xf numFmtId="0" fontId="33" fillId="22" borderId="34" xfId="0" applyFont="1" applyFill="1" applyBorder="1" applyAlignment="1">
      <alignment horizontal="center" vertical="center" wrapText="1"/>
    </xf>
    <xf numFmtId="0" fontId="34" fillId="23" borderId="34" xfId="0" applyFont="1" applyFill="1" applyBorder="1" applyAlignment="1">
      <alignment horizontal="center" vertical="center" wrapText="1"/>
    </xf>
    <xf numFmtId="0" fontId="33" fillId="21" borderId="0" xfId="0" applyFont="1" applyFill="1" applyAlignment="1">
      <alignment vertical="center"/>
    </xf>
    <xf numFmtId="0" fontId="33" fillId="21" borderId="33" xfId="0" applyFont="1" applyFill="1" applyBorder="1" applyAlignment="1">
      <alignment vertical="center"/>
    </xf>
    <xf numFmtId="0" fontId="33" fillId="21" borderId="34" xfId="0" applyFont="1" applyFill="1" applyBorder="1" applyAlignment="1">
      <alignment vertical="center"/>
    </xf>
    <xf numFmtId="9" fontId="33" fillId="21" borderId="34" xfId="0" applyNumberFormat="1" applyFont="1" applyFill="1" applyBorder="1" applyAlignment="1">
      <alignment horizontal="right" vertical="center"/>
    </xf>
    <xf numFmtId="0" fontId="33" fillId="21" borderId="27" xfId="0" applyFont="1" applyFill="1" applyBorder="1" applyAlignment="1">
      <alignment vertical="center"/>
    </xf>
    <xf numFmtId="0" fontId="33" fillId="21" borderId="25" xfId="0" applyFont="1" applyFill="1" applyBorder="1" applyAlignment="1">
      <alignment vertical="center"/>
    </xf>
    <xf numFmtId="9" fontId="33" fillId="21" borderId="25" xfId="0" applyNumberFormat="1" applyFont="1" applyFill="1" applyBorder="1" applyAlignment="1">
      <alignment horizontal="right" vertical="center"/>
    </xf>
    <xf numFmtId="182" fontId="33" fillId="21" borderId="34" xfId="0" applyNumberFormat="1" applyFont="1" applyFill="1" applyBorder="1" applyAlignment="1">
      <alignment vertical="center"/>
    </xf>
    <xf numFmtId="1" fontId="33" fillId="21" borderId="34" xfId="0" applyNumberFormat="1" applyFont="1" applyFill="1" applyBorder="1" applyAlignment="1">
      <alignment vertical="center"/>
    </xf>
    <xf numFmtId="1" fontId="33" fillId="21" borderId="25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33" fillId="21" borderId="0" xfId="0" applyFont="1" applyFill="1" applyAlignment="1">
      <alignment horizontal="center" vertical="center"/>
    </xf>
    <xf numFmtId="0" fontId="33" fillId="21" borderId="33" xfId="0" applyFont="1" applyFill="1" applyBorder="1" applyAlignment="1">
      <alignment horizontal="center" vertical="center"/>
    </xf>
    <xf numFmtId="0" fontId="33" fillId="21" borderId="27" xfId="0" applyFont="1" applyFill="1" applyBorder="1" applyAlignment="1">
      <alignment horizontal="center" vertical="center"/>
    </xf>
    <xf numFmtId="9" fontId="26" fillId="14" borderId="0" xfId="9" applyFont="1" applyFill="1" applyBorder="1" applyAlignment="1">
      <alignment horizontal="center" vertical="center"/>
    </xf>
    <xf numFmtId="166" fontId="23" fillId="16" borderId="0" xfId="1" applyFont="1" applyFill="1" applyAlignment="1" applyProtection="1">
      <alignment horizontal="right" vertical="center"/>
      <protection locked="0"/>
    </xf>
    <xf numFmtId="2" fontId="9" fillId="3" borderId="32" xfId="6" applyNumberFormat="1" applyFill="1" applyBorder="1"/>
    <xf numFmtId="0" fontId="3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182" fontId="0" fillId="0" borderId="0" xfId="0" applyNumberFormat="1" applyAlignment="1">
      <alignment horizontal="left"/>
    </xf>
    <xf numFmtId="182" fontId="2" fillId="9" borderId="0" xfId="1" applyNumberFormat="1" applyFont="1" applyFill="1"/>
    <xf numFmtId="0" fontId="11" fillId="0" borderId="0" xfId="6" applyFont="1" applyAlignment="1">
      <alignment horizontal="center" vertical="center"/>
    </xf>
    <xf numFmtId="174" fontId="31" fillId="3" borderId="0" xfId="8" applyNumberFormat="1" applyFont="1" applyFill="1" applyBorder="1" applyAlignment="1">
      <alignment horizontal="left" vertical="center"/>
    </xf>
    <xf numFmtId="9" fontId="0" fillId="0" borderId="0" xfId="0" applyNumberFormat="1"/>
    <xf numFmtId="186" fontId="29" fillId="24" borderId="21" xfId="8" applyNumberFormat="1" applyFont="1" applyFill="1" applyBorder="1" applyAlignment="1">
      <alignment horizontal="left" vertical="center"/>
    </xf>
    <xf numFmtId="17" fontId="10" fillId="11" borderId="2" xfId="2" applyNumberFormat="1" applyFont="1" applyFill="1" applyBorder="1" applyAlignment="1">
      <alignment vertical="center"/>
    </xf>
    <xf numFmtId="14" fontId="5" fillId="0" borderId="0" xfId="0" applyNumberFormat="1" applyFont="1" applyAlignment="1">
      <alignment horizontal="center"/>
    </xf>
    <xf numFmtId="166" fontId="37" fillId="14" borderId="0" xfId="1" applyFont="1" applyFill="1"/>
    <xf numFmtId="174" fontId="29" fillId="3" borderId="21" xfId="8" applyNumberFormat="1" applyFont="1" applyFill="1" applyBorder="1" applyAlignment="1">
      <alignment horizontal="left" vertical="center"/>
    </xf>
    <xf numFmtId="0" fontId="32" fillId="0" borderId="33" xfId="0" applyFont="1" applyBorder="1" applyAlignment="1">
      <alignment vertical="center"/>
    </xf>
    <xf numFmtId="0" fontId="32" fillId="0" borderId="34" xfId="0" applyFont="1" applyBorder="1" applyAlignment="1">
      <alignment vertical="center"/>
    </xf>
    <xf numFmtId="0" fontId="33" fillId="0" borderId="27" xfId="0" applyFont="1" applyBorder="1" applyAlignment="1">
      <alignment vertical="center"/>
    </xf>
    <xf numFmtId="0" fontId="33" fillId="0" borderId="25" xfId="0" applyFont="1" applyBorder="1" applyAlignment="1">
      <alignment vertical="center"/>
    </xf>
    <xf numFmtId="17" fontId="33" fillId="0" borderId="27" xfId="0" applyNumberFormat="1" applyFont="1" applyBorder="1" applyAlignment="1">
      <alignment vertical="center"/>
    </xf>
    <xf numFmtId="0" fontId="33" fillId="25" borderId="25" xfId="0" applyFont="1" applyFill="1" applyBorder="1" applyAlignment="1">
      <alignment vertical="center"/>
    </xf>
    <xf numFmtId="182" fontId="0" fillId="0" borderId="0" xfId="0" applyNumberFormat="1" applyAlignment="1">
      <alignment horizontal="center"/>
    </xf>
    <xf numFmtId="0" fontId="33" fillId="8" borderId="27" xfId="0" applyFont="1" applyFill="1" applyBorder="1" applyAlignment="1">
      <alignment vertical="center"/>
    </xf>
    <xf numFmtId="0" fontId="33" fillId="8" borderId="25" xfId="0" applyFont="1" applyFill="1" applyBorder="1" applyAlignment="1">
      <alignment vertical="center"/>
    </xf>
    <xf numFmtId="9" fontId="29" fillId="14" borderId="0" xfId="9" applyFont="1" applyFill="1" applyBorder="1" applyAlignment="1">
      <alignment horizontal="center" vertical="center"/>
    </xf>
    <xf numFmtId="174" fontId="29" fillId="0" borderId="21" xfId="8" applyNumberFormat="1" applyFont="1" applyFill="1" applyBorder="1" applyAlignment="1">
      <alignment horizontal="left" vertical="center"/>
    </xf>
    <xf numFmtId="0" fontId="38" fillId="0" borderId="0" xfId="0" applyFont="1"/>
    <xf numFmtId="2" fontId="0" fillId="0" borderId="0" xfId="0" applyNumberFormat="1"/>
    <xf numFmtId="181" fontId="0" fillId="0" borderId="0" xfId="9" applyNumberFormat="1" applyFont="1" applyAlignment="1">
      <alignment horizontal="center" vertical="center"/>
    </xf>
    <xf numFmtId="0" fontId="0" fillId="26" borderId="0" xfId="0" applyFill="1"/>
    <xf numFmtId="2" fontId="0" fillId="26" borderId="0" xfId="0" applyNumberFormat="1" applyFill="1" applyAlignment="1">
      <alignment horizontal="center" vertical="center"/>
    </xf>
    <xf numFmtId="0" fontId="0" fillId="27" borderId="0" xfId="0" applyFill="1"/>
    <xf numFmtId="2" fontId="0" fillId="27" borderId="0" xfId="0" applyNumberFormat="1" applyFill="1" applyAlignment="1">
      <alignment horizontal="center" vertical="center"/>
    </xf>
    <xf numFmtId="0" fontId="38" fillId="27" borderId="0" xfId="0" applyFont="1" applyFill="1"/>
    <xf numFmtId="2" fontId="38" fillId="27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8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17" fontId="10" fillId="11" borderId="2" xfId="2" applyNumberFormat="1" applyFont="1" applyFill="1" applyBorder="1" applyAlignment="1">
      <alignment horizontal="center" vertical="center"/>
    </xf>
    <xf numFmtId="17" fontId="10" fillId="11" borderId="3" xfId="2" applyNumberFormat="1" applyFont="1" applyFill="1" applyBorder="1" applyAlignment="1">
      <alignment horizontal="center" vertical="center"/>
    </xf>
    <xf numFmtId="17" fontId="10" fillId="11" borderId="4" xfId="2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183" fontId="27" fillId="18" borderId="26" xfId="8" applyNumberFormat="1" applyFont="1" applyFill="1" applyBorder="1" applyAlignment="1">
      <alignment horizontal="center"/>
    </xf>
    <xf numFmtId="183" fontId="27" fillId="18" borderId="25" xfId="8" applyNumberFormat="1" applyFont="1" applyFill="1" applyBorder="1" applyAlignment="1">
      <alignment horizontal="center"/>
    </xf>
    <xf numFmtId="184" fontId="26" fillId="19" borderId="21" xfId="8" applyNumberFormat="1" applyFont="1" applyFill="1" applyBorder="1" applyAlignment="1">
      <alignment horizontal="center"/>
    </xf>
    <xf numFmtId="0" fontId="26" fillId="19" borderId="1" xfId="8" applyNumberFormat="1" applyFont="1" applyFill="1" applyBorder="1" applyAlignment="1">
      <alignment horizontal="center"/>
    </xf>
    <xf numFmtId="17" fontId="27" fillId="20" borderId="18" xfId="18" applyNumberFormat="1" applyFont="1" applyFill="1" applyBorder="1" applyAlignment="1" applyProtection="1">
      <alignment horizontal="center" vertical="center"/>
      <protection locked="0"/>
    </xf>
    <xf numFmtId="17" fontId="27" fillId="20" borderId="17" xfId="18" applyNumberFormat="1" applyFont="1" applyFill="1" applyBorder="1" applyAlignment="1" applyProtection="1">
      <alignment horizontal="center" vertical="center"/>
      <protection locked="0"/>
    </xf>
    <xf numFmtId="175" fontId="26" fillId="14" borderId="18" xfId="8" applyNumberFormat="1" applyFont="1" applyFill="1" applyBorder="1" applyAlignment="1">
      <alignment horizontal="center"/>
    </xf>
    <xf numFmtId="175" fontId="26" fillId="14" borderId="17" xfId="8" applyNumberFormat="1" applyFont="1" applyFill="1" applyBorder="1" applyAlignment="1">
      <alignment horizontal="center"/>
    </xf>
    <xf numFmtId="174" fontId="26" fillId="14" borderId="21" xfId="8" applyNumberFormat="1" applyFont="1" applyFill="1" applyBorder="1" applyAlignment="1">
      <alignment horizontal="center"/>
    </xf>
    <xf numFmtId="174" fontId="26" fillId="14" borderId="1" xfId="8" applyNumberFormat="1" applyFont="1" applyFill="1" applyBorder="1" applyAlignment="1">
      <alignment horizontal="center"/>
    </xf>
    <xf numFmtId="174" fontId="26" fillId="19" borderId="21" xfId="8" applyNumberFormat="1" applyFont="1" applyFill="1" applyBorder="1" applyAlignment="1">
      <alignment horizontal="center"/>
    </xf>
    <xf numFmtId="174" fontId="26" fillId="19" borderId="1" xfId="8" applyNumberFormat="1" applyFont="1" applyFill="1" applyBorder="1" applyAlignment="1">
      <alignment horizontal="center"/>
    </xf>
    <xf numFmtId="183" fontId="26" fillId="0" borderId="21" xfId="8" applyNumberFormat="1" applyFont="1" applyBorder="1" applyAlignment="1">
      <alignment horizontal="center"/>
    </xf>
    <xf numFmtId="183" fontId="26" fillId="0" borderId="1" xfId="8" applyNumberFormat="1" applyFont="1" applyBorder="1" applyAlignment="1">
      <alignment horizontal="center"/>
    </xf>
    <xf numFmtId="166" fontId="26" fillId="0" borderId="21" xfId="8" applyNumberFormat="1" applyFont="1" applyBorder="1" applyAlignment="1">
      <alignment horizontal="center"/>
    </xf>
    <xf numFmtId="0" fontId="26" fillId="0" borderId="1" xfId="8" applyNumberFormat="1" applyFont="1" applyBorder="1" applyAlignment="1">
      <alignment horizontal="center"/>
    </xf>
    <xf numFmtId="183" fontId="26" fillId="0" borderId="26" xfId="8" applyNumberFormat="1" applyFont="1" applyBorder="1" applyAlignment="1">
      <alignment horizontal="center" vertical="center"/>
    </xf>
    <xf numFmtId="183" fontId="26" fillId="0" borderId="25" xfId="8" applyNumberFormat="1" applyFont="1" applyBorder="1" applyAlignment="1">
      <alignment horizontal="center" vertical="center"/>
    </xf>
    <xf numFmtId="183" fontId="26" fillId="14" borderId="21" xfId="8" applyNumberFormat="1" applyFont="1" applyFill="1" applyBorder="1" applyAlignment="1">
      <alignment horizontal="center"/>
    </xf>
    <xf numFmtId="183" fontId="26" fillId="14" borderId="1" xfId="8" applyNumberFormat="1" applyFont="1" applyFill="1" applyBorder="1" applyAlignment="1">
      <alignment horizontal="center"/>
    </xf>
    <xf numFmtId="10" fontId="26" fillId="14" borderId="21" xfId="9" applyNumberFormat="1" applyFont="1" applyFill="1" applyBorder="1" applyAlignment="1">
      <alignment horizontal="center"/>
    </xf>
    <xf numFmtId="10" fontId="26" fillId="14" borderId="1" xfId="9" applyNumberFormat="1" applyFont="1" applyFill="1" applyBorder="1" applyAlignment="1">
      <alignment horizontal="center"/>
    </xf>
    <xf numFmtId="175" fontId="26" fillId="0" borderId="18" xfId="8" applyNumberFormat="1" applyFont="1" applyBorder="1" applyAlignment="1">
      <alignment horizontal="center"/>
    </xf>
    <xf numFmtId="175" fontId="26" fillId="0" borderId="17" xfId="8" applyNumberFormat="1" applyFont="1" applyBorder="1" applyAlignment="1">
      <alignment horizontal="center"/>
    </xf>
    <xf numFmtId="10" fontId="26" fillId="0" borderId="21" xfId="9" applyNumberFormat="1" applyFont="1" applyBorder="1" applyAlignment="1">
      <alignment horizontal="center"/>
    </xf>
    <xf numFmtId="10" fontId="26" fillId="0" borderId="1" xfId="9" applyNumberFormat="1" applyFont="1" applyBorder="1" applyAlignment="1">
      <alignment horizontal="center"/>
    </xf>
    <xf numFmtId="0" fontId="27" fillId="18" borderId="18" xfId="0" applyFont="1" applyFill="1" applyBorder="1" applyAlignment="1">
      <alignment horizontal="center"/>
    </xf>
    <xf numFmtId="0" fontId="27" fillId="18" borderId="30" xfId="0" applyFont="1" applyFill="1" applyBorder="1" applyAlignment="1">
      <alignment horizontal="center"/>
    </xf>
    <xf numFmtId="0" fontId="27" fillId="18" borderId="17" xfId="0" applyFont="1" applyFill="1" applyBorder="1" applyAlignment="1">
      <alignment horizontal="center"/>
    </xf>
    <xf numFmtId="0" fontId="26" fillId="0" borderId="18" xfId="0" applyFont="1" applyBorder="1" applyAlignment="1">
      <alignment horizontal="center"/>
    </xf>
    <xf numFmtId="0" fontId="26" fillId="0" borderId="30" xfId="0" applyFont="1" applyBorder="1" applyAlignment="1">
      <alignment horizontal="center"/>
    </xf>
    <xf numFmtId="0" fontId="26" fillId="0" borderId="17" xfId="0" applyFont="1" applyBorder="1" applyAlignment="1">
      <alignment horizontal="center"/>
    </xf>
    <xf numFmtId="0" fontId="26" fillId="14" borderId="21" xfId="0" applyFont="1" applyFill="1" applyBorder="1" applyAlignment="1">
      <alignment horizontal="center"/>
    </xf>
    <xf numFmtId="0" fontId="26" fillId="14" borderId="0" xfId="0" applyFont="1" applyFill="1" applyAlignment="1">
      <alignment horizontal="center"/>
    </xf>
    <xf numFmtId="0" fontId="26" fillId="14" borderId="1" xfId="0" applyFont="1" applyFill="1" applyBorder="1" applyAlignment="1">
      <alignment horizontal="center"/>
    </xf>
    <xf numFmtId="0" fontId="26" fillId="19" borderId="21" xfId="0" applyFont="1" applyFill="1" applyBorder="1" applyAlignment="1">
      <alignment horizontal="center"/>
    </xf>
    <xf numFmtId="0" fontId="26" fillId="19" borderId="0" xfId="0" applyFont="1" applyFill="1" applyAlignment="1">
      <alignment horizontal="center"/>
    </xf>
    <xf numFmtId="0" fontId="26" fillId="19" borderId="1" xfId="0" applyFont="1" applyFill="1" applyBorder="1" applyAlignment="1">
      <alignment horizontal="center"/>
    </xf>
    <xf numFmtId="0" fontId="26" fillId="0" borderId="21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26" xfId="0" applyFont="1" applyBorder="1" applyAlignment="1">
      <alignment horizontal="center"/>
    </xf>
    <xf numFmtId="0" fontId="26" fillId="0" borderId="31" xfId="0" applyFont="1" applyBorder="1" applyAlignment="1">
      <alignment horizontal="center"/>
    </xf>
    <xf numFmtId="0" fontId="26" fillId="0" borderId="25" xfId="0" applyFont="1" applyBorder="1" applyAlignment="1">
      <alignment horizontal="center"/>
    </xf>
    <xf numFmtId="0" fontId="27" fillId="18" borderId="26" xfId="0" applyFont="1" applyFill="1" applyBorder="1" applyAlignment="1">
      <alignment horizontal="center"/>
    </xf>
    <xf numFmtId="0" fontId="27" fillId="18" borderId="31" xfId="0" applyFont="1" applyFill="1" applyBorder="1" applyAlignment="1">
      <alignment horizontal="center"/>
    </xf>
    <xf numFmtId="0" fontId="27" fillId="18" borderId="25" xfId="0" applyFont="1" applyFill="1" applyBorder="1" applyAlignment="1">
      <alignment horizontal="center"/>
    </xf>
    <xf numFmtId="174" fontId="28" fillId="0" borderId="0" xfId="8" applyNumberFormat="1" applyFont="1" applyAlignment="1">
      <alignment horizontal="center" vertical="center"/>
    </xf>
    <xf numFmtId="174" fontId="26" fillId="0" borderId="0" xfId="8" applyNumberFormat="1" applyFont="1" applyAlignment="1">
      <alignment horizontal="center" vertical="center"/>
    </xf>
    <xf numFmtId="2" fontId="39" fillId="26" borderId="27" xfId="6" applyNumberFormat="1" applyFont="1" applyFill="1" applyBorder="1" applyAlignment="1">
      <alignment horizontal="center" vertical="center"/>
    </xf>
  </cellXfs>
  <cellStyles count="19">
    <cellStyle name="Comma" xfId="1" builtinId="3"/>
    <cellStyle name="Comma [0]" xfId="8" builtinId="6"/>
    <cellStyle name="Comma [0] 3" xfId="14" xr:uid="{B715723F-FBAD-44A2-8F59-0C0FA5EA7D95}"/>
    <cellStyle name="Currency" xfId="17" builtinId="4"/>
    <cellStyle name="Currency 2" xfId="7" xr:uid="{4931D18E-7AA0-49D9-BEA6-C1690D26FCEB}"/>
    <cellStyle name="Currency 3" xfId="13" xr:uid="{BBBEF3CB-39D5-4B36-9FA9-9F86355B8103}"/>
    <cellStyle name="Millares 2" xfId="4" xr:uid="{7C795C97-744B-4061-A729-9751E36B2282}"/>
    <cellStyle name="Moneda 2" xfId="3" xr:uid="{579A22C0-2690-45B7-A9C2-C02BA39B7390}"/>
    <cellStyle name="Normal" xfId="0" builtinId="0"/>
    <cellStyle name="Normal 16" xfId="5" xr:uid="{E8B17A28-EC91-4FAD-85E5-0E8134933171}"/>
    <cellStyle name="Normal 2" xfId="6" xr:uid="{6FEAD0EA-ABD4-4A93-9940-65FD88D1BBB4}"/>
    <cellStyle name="Normal 2 4 2" xfId="2" xr:uid="{1BDDD68F-8CF0-4048-A9C1-78362A6F5DAE}"/>
    <cellStyle name="Normal 2 4 2 2" xfId="16" xr:uid="{A9765CCD-059F-403B-8012-16BADE9930AA}"/>
    <cellStyle name="Normal 3" xfId="10" xr:uid="{6094AF88-00AC-461C-B7C7-047079762D0A}"/>
    <cellStyle name="Normal 5" xfId="12" xr:uid="{347AAFC0-68E9-4704-A561-7F187AA8E042}"/>
    <cellStyle name="Normal 91" xfId="11" xr:uid="{16C6DCE0-33F7-4C2E-A851-7F792FDD9EC6}"/>
    <cellStyle name="Normal 94" xfId="18" xr:uid="{4016D9DA-B1CA-4B01-9643-3858DE2D190C}"/>
    <cellStyle name="Percent" xfId="9" builtinId="5"/>
    <cellStyle name="Percent 4" xfId="15" xr:uid="{7A761A50-E443-42FF-B92F-9C0CA637F2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3</xdr:row>
      <xdr:rowOff>107950</xdr:rowOff>
    </xdr:from>
    <xdr:to>
      <xdr:col>11</xdr:col>
      <xdr:colOff>231</xdr:colOff>
      <xdr:row>6</xdr:row>
      <xdr:rowOff>76227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767F8A-515F-6D63-8509-0A720CD12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1750" y="660400"/>
          <a:ext cx="4502381" cy="5207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91CDE-DEE0-426F-9AC9-444ABEB5F74C}">
  <sheetPr>
    <outlinePr summaryBelow="0" summaryRight="0"/>
    <pageSetUpPr autoPageBreaks="0" fitToPage="1"/>
  </sheetPr>
  <dimension ref="B2:X1048576"/>
  <sheetViews>
    <sheetView showGridLines="0" tabSelected="1" zoomScale="80" zoomScaleNormal="80" workbookViewId="0">
      <pane xSplit="2" ySplit="13" topLeftCell="F208" activePane="bottomRight" state="frozen"/>
      <selection pane="topRight" activeCell="C1" sqref="C1"/>
      <selection pane="bottomLeft" activeCell="A14" sqref="A14"/>
      <selection pane="bottomRight" activeCell="Q217" sqref="Q217"/>
    </sheetView>
  </sheetViews>
  <sheetFormatPr defaultColWidth="11.54296875" defaultRowHeight="14.5" x14ac:dyDescent="0.35"/>
  <cols>
    <col min="1" max="1" width="4" style="25" customWidth="1"/>
    <col min="2" max="2" width="20" style="134" customWidth="1"/>
    <col min="3" max="5" width="25" style="25" customWidth="1"/>
    <col min="6" max="6" width="14.81640625" style="25" customWidth="1"/>
    <col min="7" max="8" width="16" style="25" hidden="1" customWidth="1"/>
    <col min="9" max="9" width="25.54296875" style="25" customWidth="1"/>
    <col min="10" max="14" width="15.81640625" style="25" customWidth="1"/>
    <col min="15" max="15" width="12.81640625" style="25" customWidth="1"/>
    <col min="16" max="16" width="10.54296875" style="25" bestFit="1" customWidth="1"/>
    <col min="17" max="17" width="12.81640625" style="25" customWidth="1"/>
    <col min="18" max="18" width="8.81640625" style="25" customWidth="1"/>
    <col min="20" max="20" width="15" style="25" hidden="1" customWidth="1"/>
    <col min="21" max="21" width="10" style="25" customWidth="1"/>
    <col min="22" max="23" width="8.81640625" style="25" customWidth="1"/>
    <col min="24" max="24" width="12.1796875" style="25" customWidth="1"/>
    <col min="25" max="259" width="8.81640625" style="25" customWidth="1"/>
    <col min="260" max="260" width="4" style="25" customWidth="1"/>
    <col min="261" max="261" width="20" style="25" customWidth="1"/>
    <col min="262" max="264" width="25" style="25" customWidth="1"/>
    <col min="265" max="515" width="8.81640625" style="25" customWidth="1"/>
    <col min="516" max="516" width="4" style="25" customWidth="1"/>
    <col min="517" max="517" width="20" style="25" customWidth="1"/>
    <col min="518" max="520" width="25" style="25" customWidth="1"/>
    <col min="521" max="771" width="8.81640625" style="25" customWidth="1"/>
    <col min="772" max="772" width="4" style="25" customWidth="1"/>
    <col min="773" max="773" width="20" style="25" customWidth="1"/>
    <col min="774" max="776" width="25" style="25" customWidth="1"/>
    <col min="777" max="1027" width="8.81640625" style="25" customWidth="1"/>
    <col min="1028" max="1028" width="4" style="25" customWidth="1"/>
    <col min="1029" max="1029" width="20" style="25" customWidth="1"/>
    <col min="1030" max="1032" width="25" style="25" customWidth="1"/>
    <col min="1033" max="1283" width="8.81640625" style="25" customWidth="1"/>
    <col min="1284" max="1284" width="4" style="25" customWidth="1"/>
    <col min="1285" max="1285" width="20" style="25" customWidth="1"/>
    <col min="1286" max="1288" width="25" style="25" customWidth="1"/>
    <col min="1289" max="1539" width="8.81640625" style="25" customWidth="1"/>
    <col min="1540" max="1540" width="4" style="25" customWidth="1"/>
    <col min="1541" max="1541" width="20" style="25" customWidth="1"/>
    <col min="1542" max="1544" width="25" style="25" customWidth="1"/>
    <col min="1545" max="1795" width="8.81640625" style="25" customWidth="1"/>
    <col min="1796" max="1796" width="4" style="25" customWidth="1"/>
    <col min="1797" max="1797" width="20" style="25" customWidth="1"/>
    <col min="1798" max="1800" width="25" style="25" customWidth="1"/>
    <col min="1801" max="2051" width="8.81640625" style="25" customWidth="1"/>
    <col min="2052" max="2052" width="4" style="25" customWidth="1"/>
    <col min="2053" max="2053" width="20" style="25" customWidth="1"/>
    <col min="2054" max="2056" width="25" style="25" customWidth="1"/>
    <col min="2057" max="2307" width="8.81640625" style="25" customWidth="1"/>
    <col min="2308" max="2308" width="4" style="25" customWidth="1"/>
    <col min="2309" max="2309" width="20" style="25" customWidth="1"/>
    <col min="2310" max="2312" width="25" style="25" customWidth="1"/>
    <col min="2313" max="2563" width="8.81640625" style="25" customWidth="1"/>
    <col min="2564" max="2564" width="4" style="25" customWidth="1"/>
    <col min="2565" max="2565" width="20" style="25" customWidth="1"/>
    <col min="2566" max="2568" width="25" style="25" customWidth="1"/>
    <col min="2569" max="2819" width="8.81640625" style="25" customWidth="1"/>
    <col min="2820" max="2820" width="4" style="25" customWidth="1"/>
    <col min="2821" max="2821" width="20" style="25" customWidth="1"/>
    <col min="2822" max="2824" width="25" style="25" customWidth="1"/>
    <col min="2825" max="3075" width="8.81640625" style="25" customWidth="1"/>
    <col min="3076" max="3076" width="4" style="25" customWidth="1"/>
    <col min="3077" max="3077" width="20" style="25" customWidth="1"/>
    <col min="3078" max="3080" width="25" style="25" customWidth="1"/>
    <col min="3081" max="3331" width="8.81640625" style="25" customWidth="1"/>
    <col min="3332" max="3332" width="4" style="25" customWidth="1"/>
    <col min="3333" max="3333" width="20" style="25" customWidth="1"/>
    <col min="3334" max="3336" width="25" style="25" customWidth="1"/>
    <col min="3337" max="3587" width="8.81640625" style="25" customWidth="1"/>
    <col min="3588" max="3588" width="4" style="25" customWidth="1"/>
    <col min="3589" max="3589" width="20" style="25" customWidth="1"/>
    <col min="3590" max="3592" width="25" style="25" customWidth="1"/>
    <col min="3593" max="3843" width="8.81640625" style="25" customWidth="1"/>
    <col min="3844" max="3844" width="4" style="25" customWidth="1"/>
    <col min="3845" max="3845" width="20" style="25" customWidth="1"/>
    <col min="3846" max="3848" width="25" style="25" customWidth="1"/>
    <col min="3849" max="4099" width="8.81640625" style="25" customWidth="1"/>
    <col min="4100" max="4100" width="4" style="25" customWidth="1"/>
    <col min="4101" max="4101" width="20" style="25" customWidth="1"/>
    <col min="4102" max="4104" width="25" style="25" customWidth="1"/>
    <col min="4105" max="4355" width="8.81640625" style="25" customWidth="1"/>
    <col min="4356" max="4356" width="4" style="25" customWidth="1"/>
    <col min="4357" max="4357" width="20" style="25" customWidth="1"/>
    <col min="4358" max="4360" width="25" style="25" customWidth="1"/>
    <col min="4361" max="4611" width="8.81640625" style="25" customWidth="1"/>
    <col min="4612" max="4612" width="4" style="25" customWidth="1"/>
    <col min="4613" max="4613" width="20" style="25" customWidth="1"/>
    <col min="4614" max="4616" width="25" style="25" customWidth="1"/>
    <col min="4617" max="4867" width="8.81640625" style="25" customWidth="1"/>
    <col min="4868" max="4868" width="4" style="25" customWidth="1"/>
    <col min="4869" max="4869" width="20" style="25" customWidth="1"/>
    <col min="4870" max="4872" width="25" style="25" customWidth="1"/>
    <col min="4873" max="5123" width="8.81640625" style="25" customWidth="1"/>
    <col min="5124" max="5124" width="4" style="25" customWidth="1"/>
    <col min="5125" max="5125" width="20" style="25" customWidth="1"/>
    <col min="5126" max="5128" width="25" style="25" customWidth="1"/>
    <col min="5129" max="5379" width="8.81640625" style="25" customWidth="1"/>
    <col min="5380" max="5380" width="4" style="25" customWidth="1"/>
    <col min="5381" max="5381" width="20" style="25" customWidth="1"/>
    <col min="5382" max="5384" width="25" style="25" customWidth="1"/>
    <col min="5385" max="5635" width="8.81640625" style="25" customWidth="1"/>
    <col min="5636" max="5636" width="4" style="25" customWidth="1"/>
    <col min="5637" max="5637" width="20" style="25" customWidth="1"/>
    <col min="5638" max="5640" width="25" style="25" customWidth="1"/>
    <col min="5641" max="5891" width="8.81640625" style="25" customWidth="1"/>
    <col min="5892" max="5892" width="4" style="25" customWidth="1"/>
    <col min="5893" max="5893" width="20" style="25" customWidth="1"/>
    <col min="5894" max="5896" width="25" style="25" customWidth="1"/>
    <col min="5897" max="6147" width="8.81640625" style="25" customWidth="1"/>
    <col min="6148" max="6148" width="4" style="25" customWidth="1"/>
    <col min="6149" max="6149" width="20" style="25" customWidth="1"/>
    <col min="6150" max="6152" width="25" style="25" customWidth="1"/>
    <col min="6153" max="6403" width="8.81640625" style="25" customWidth="1"/>
    <col min="6404" max="6404" width="4" style="25" customWidth="1"/>
    <col min="6405" max="6405" width="20" style="25" customWidth="1"/>
    <col min="6406" max="6408" width="25" style="25" customWidth="1"/>
    <col min="6409" max="6659" width="8.81640625" style="25" customWidth="1"/>
    <col min="6660" max="6660" width="4" style="25" customWidth="1"/>
    <col min="6661" max="6661" width="20" style="25" customWidth="1"/>
    <col min="6662" max="6664" width="25" style="25" customWidth="1"/>
    <col min="6665" max="6915" width="8.81640625" style="25" customWidth="1"/>
    <col min="6916" max="6916" width="4" style="25" customWidth="1"/>
    <col min="6917" max="6917" width="20" style="25" customWidth="1"/>
    <col min="6918" max="6920" width="25" style="25" customWidth="1"/>
    <col min="6921" max="7171" width="8.81640625" style="25" customWidth="1"/>
    <col min="7172" max="7172" width="4" style="25" customWidth="1"/>
    <col min="7173" max="7173" width="20" style="25" customWidth="1"/>
    <col min="7174" max="7176" width="25" style="25" customWidth="1"/>
    <col min="7177" max="7427" width="8.81640625" style="25" customWidth="1"/>
    <col min="7428" max="7428" width="4" style="25" customWidth="1"/>
    <col min="7429" max="7429" width="20" style="25" customWidth="1"/>
    <col min="7430" max="7432" width="25" style="25" customWidth="1"/>
    <col min="7433" max="7683" width="8.81640625" style="25" customWidth="1"/>
    <col min="7684" max="7684" width="4" style="25" customWidth="1"/>
    <col min="7685" max="7685" width="20" style="25" customWidth="1"/>
    <col min="7686" max="7688" width="25" style="25" customWidth="1"/>
    <col min="7689" max="7939" width="8.81640625" style="25" customWidth="1"/>
    <col min="7940" max="7940" width="4" style="25" customWidth="1"/>
    <col min="7941" max="7941" width="20" style="25" customWidth="1"/>
    <col min="7942" max="7944" width="25" style="25" customWidth="1"/>
    <col min="7945" max="8195" width="8.81640625" style="25" customWidth="1"/>
    <col min="8196" max="8196" width="4" style="25" customWidth="1"/>
    <col min="8197" max="8197" width="20" style="25" customWidth="1"/>
    <col min="8198" max="8200" width="25" style="25" customWidth="1"/>
    <col min="8201" max="8451" width="8.81640625" style="25" customWidth="1"/>
    <col min="8452" max="8452" width="4" style="25" customWidth="1"/>
    <col min="8453" max="8453" width="20" style="25" customWidth="1"/>
    <col min="8454" max="8456" width="25" style="25" customWidth="1"/>
    <col min="8457" max="8707" width="8.81640625" style="25" customWidth="1"/>
    <col min="8708" max="8708" width="4" style="25" customWidth="1"/>
    <col min="8709" max="8709" width="20" style="25" customWidth="1"/>
    <col min="8710" max="8712" width="25" style="25" customWidth="1"/>
    <col min="8713" max="8963" width="8.81640625" style="25" customWidth="1"/>
    <col min="8964" max="8964" width="4" style="25" customWidth="1"/>
    <col min="8965" max="8965" width="20" style="25" customWidth="1"/>
    <col min="8966" max="8968" width="25" style="25" customWidth="1"/>
    <col min="8969" max="9219" width="8.81640625" style="25" customWidth="1"/>
    <col min="9220" max="9220" width="4" style="25" customWidth="1"/>
    <col min="9221" max="9221" width="20" style="25" customWidth="1"/>
    <col min="9222" max="9224" width="25" style="25" customWidth="1"/>
    <col min="9225" max="9475" width="8.81640625" style="25" customWidth="1"/>
    <col min="9476" max="9476" width="4" style="25" customWidth="1"/>
    <col min="9477" max="9477" width="20" style="25" customWidth="1"/>
    <col min="9478" max="9480" width="25" style="25" customWidth="1"/>
    <col min="9481" max="9731" width="8.81640625" style="25" customWidth="1"/>
    <col min="9732" max="9732" width="4" style="25" customWidth="1"/>
    <col min="9733" max="9733" width="20" style="25" customWidth="1"/>
    <col min="9734" max="9736" width="25" style="25" customWidth="1"/>
    <col min="9737" max="9987" width="8.81640625" style="25" customWidth="1"/>
    <col min="9988" max="9988" width="4" style="25" customWidth="1"/>
    <col min="9989" max="9989" width="20" style="25" customWidth="1"/>
    <col min="9990" max="9992" width="25" style="25" customWidth="1"/>
    <col min="9993" max="10243" width="8.81640625" style="25" customWidth="1"/>
    <col min="10244" max="10244" width="4" style="25" customWidth="1"/>
    <col min="10245" max="10245" width="20" style="25" customWidth="1"/>
    <col min="10246" max="10248" width="25" style="25" customWidth="1"/>
    <col min="10249" max="10499" width="8.81640625" style="25" customWidth="1"/>
    <col min="10500" max="10500" width="4" style="25" customWidth="1"/>
    <col min="10501" max="10501" width="20" style="25" customWidth="1"/>
    <col min="10502" max="10504" width="25" style="25" customWidth="1"/>
    <col min="10505" max="10755" width="8.81640625" style="25" customWidth="1"/>
    <col min="10756" max="10756" width="4" style="25" customWidth="1"/>
    <col min="10757" max="10757" width="20" style="25" customWidth="1"/>
    <col min="10758" max="10760" width="25" style="25" customWidth="1"/>
    <col min="10761" max="11011" width="8.81640625" style="25" customWidth="1"/>
    <col min="11012" max="11012" width="4" style="25" customWidth="1"/>
    <col min="11013" max="11013" width="20" style="25" customWidth="1"/>
    <col min="11014" max="11016" width="25" style="25" customWidth="1"/>
    <col min="11017" max="11267" width="8.81640625" style="25" customWidth="1"/>
    <col min="11268" max="11268" width="4" style="25" customWidth="1"/>
    <col min="11269" max="11269" width="20" style="25" customWidth="1"/>
    <col min="11270" max="11272" width="25" style="25" customWidth="1"/>
    <col min="11273" max="11523" width="8.81640625" style="25" customWidth="1"/>
    <col min="11524" max="11524" width="4" style="25" customWidth="1"/>
    <col min="11525" max="11525" width="20" style="25" customWidth="1"/>
    <col min="11526" max="11528" width="25" style="25" customWidth="1"/>
    <col min="11529" max="11779" width="8.81640625" style="25" customWidth="1"/>
    <col min="11780" max="11780" width="4" style="25" customWidth="1"/>
    <col min="11781" max="11781" width="20" style="25" customWidth="1"/>
    <col min="11782" max="11784" width="25" style="25" customWidth="1"/>
    <col min="11785" max="12035" width="8.81640625" style="25" customWidth="1"/>
    <col min="12036" max="12036" width="4" style="25" customWidth="1"/>
    <col min="12037" max="12037" width="20" style="25" customWidth="1"/>
    <col min="12038" max="12040" width="25" style="25" customWidth="1"/>
    <col min="12041" max="12291" width="8.81640625" style="25" customWidth="1"/>
    <col min="12292" max="12292" width="4" style="25" customWidth="1"/>
    <col min="12293" max="12293" width="20" style="25" customWidth="1"/>
    <col min="12294" max="12296" width="25" style="25" customWidth="1"/>
    <col min="12297" max="12547" width="8.81640625" style="25" customWidth="1"/>
    <col min="12548" max="12548" width="4" style="25" customWidth="1"/>
    <col min="12549" max="12549" width="20" style="25" customWidth="1"/>
    <col min="12550" max="12552" width="25" style="25" customWidth="1"/>
    <col min="12553" max="12803" width="8.81640625" style="25" customWidth="1"/>
    <col min="12804" max="12804" width="4" style="25" customWidth="1"/>
    <col min="12805" max="12805" width="20" style="25" customWidth="1"/>
    <col min="12806" max="12808" width="25" style="25" customWidth="1"/>
    <col min="12809" max="13059" width="8.81640625" style="25" customWidth="1"/>
    <col min="13060" max="13060" width="4" style="25" customWidth="1"/>
    <col min="13061" max="13061" width="20" style="25" customWidth="1"/>
    <col min="13062" max="13064" width="25" style="25" customWidth="1"/>
    <col min="13065" max="13315" width="8.81640625" style="25" customWidth="1"/>
    <col min="13316" max="13316" width="4" style="25" customWidth="1"/>
    <col min="13317" max="13317" width="20" style="25" customWidth="1"/>
    <col min="13318" max="13320" width="25" style="25" customWidth="1"/>
    <col min="13321" max="13571" width="8.81640625" style="25" customWidth="1"/>
    <col min="13572" max="13572" width="4" style="25" customWidth="1"/>
    <col min="13573" max="13573" width="20" style="25" customWidth="1"/>
    <col min="13574" max="13576" width="25" style="25" customWidth="1"/>
    <col min="13577" max="13827" width="8.81640625" style="25" customWidth="1"/>
    <col min="13828" max="13828" width="4" style="25" customWidth="1"/>
    <col min="13829" max="13829" width="20" style="25" customWidth="1"/>
    <col min="13830" max="13832" width="25" style="25" customWidth="1"/>
    <col min="13833" max="14083" width="8.81640625" style="25" customWidth="1"/>
    <col min="14084" max="14084" width="4" style="25" customWidth="1"/>
    <col min="14085" max="14085" width="20" style="25" customWidth="1"/>
    <col min="14086" max="14088" width="25" style="25" customWidth="1"/>
    <col min="14089" max="14339" width="8.81640625" style="25" customWidth="1"/>
    <col min="14340" max="14340" width="4" style="25" customWidth="1"/>
    <col min="14341" max="14341" width="20" style="25" customWidth="1"/>
    <col min="14342" max="14344" width="25" style="25" customWidth="1"/>
    <col min="14345" max="14595" width="8.81640625" style="25" customWidth="1"/>
    <col min="14596" max="14596" width="4" style="25" customWidth="1"/>
    <col min="14597" max="14597" width="20" style="25" customWidth="1"/>
    <col min="14598" max="14600" width="25" style="25" customWidth="1"/>
    <col min="14601" max="14851" width="8.81640625" style="25" customWidth="1"/>
    <col min="14852" max="14852" width="4" style="25" customWidth="1"/>
    <col min="14853" max="14853" width="20" style="25" customWidth="1"/>
    <col min="14854" max="14856" width="25" style="25" customWidth="1"/>
    <col min="14857" max="15107" width="8.81640625" style="25" customWidth="1"/>
    <col min="15108" max="15108" width="4" style="25" customWidth="1"/>
    <col min="15109" max="15109" width="20" style="25" customWidth="1"/>
    <col min="15110" max="15112" width="25" style="25" customWidth="1"/>
    <col min="15113" max="15363" width="8.81640625" style="25" customWidth="1"/>
    <col min="15364" max="15364" width="4" style="25" customWidth="1"/>
    <col min="15365" max="15365" width="20" style="25" customWidth="1"/>
    <col min="15366" max="15368" width="25" style="25" customWidth="1"/>
    <col min="15369" max="15619" width="8.81640625" style="25" customWidth="1"/>
    <col min="15620" max="15620" width="4" style="25" customWidth="1"/>
    <col min="15621" max="15621" width="20" style="25" customWidth="1"/>
    <col min="15622" max="15624" width="25" style="25" customWidth="1"/>
    <col min="15625" max="15875" width="8.81640625" style="25" customWidth="1"/>
    <col min="15876" max="15876" width="4" style="25" customWidth="1"/>
    <col min="15877" max="15877" width="20" style="25" customWidth="1"/>
    <col min="15878" max="15880" width="25" style="25" customWidth="1"/>
    <col min="15881" max="16131" width="8.81640625" style="25" customWidth="1"/>
    <col min="16132" max="16132" width="4" style="25" customWidth="1"/>
    <col min="16133" max="16133" width="20" style="25" customWidth="1"/>
    <col min="16134" max="16136" width="25" style="25" customWidth="1"/>
    <col min="16137" max="16384" width="8.81640625" style="25" customWidth="1"/>
  </cols>
  <sheetData>
    <row r="2" spans="2:18" ht="6.5" customHeight="1" thickBot="1" x14ac:dyDescent="0.4">
      <c r="B2" s="132" t="s">
        <v>29</v>
      </c>
    </row>
    <row r="3" spans="2:18" ht="10" hidden="1" customHeight="1" thickBot="1" x14ac:dyDescent="0.4">
      <c r="B3" s="133" t="s">
        <v>30</v>
      </c>
      <c r="C3" s="26" t="s">
        <v>31</v>
      </c>
    </row>
    <row r="4" spans="2:18" ht="15" hidden="1" thickBot="1" x14ac:dyDescent="0.4">
      <c r="B4" s="133" t="s">
        <v>32</v>
      </c>
      <c r="C4" s="26" t="s">
        <v>33</v>
      </c>
    </row>
    <row r="5" spans="2:18" ht="15" hidden="1" thickBot="1" x14ac:dyDescent="0.4">
      <c r="B5" s="133" t="s">
        <v>34</v>
      </c>
      <c r="C5" s="26" t="s">
        <v>35</v>
      </c>
    </row>
    <row r="6" spans="2:18" ht="15" hidden="1" thickBot="1" x14ac:dyDescent="0.4">
      <c r="B6" s="133" t="s">
        <v>36</v>
      </c>
      <c r="C6" s="25" t="s">
        <v>12</v>
      </c>
      <c r="D6" s="25" t="s">
        <v>12</v>
      </c>
      <c r="E6" s="25" t="s">
        <v>12</v>
      </c>
    </row>
    <row r="7" spans="2:18" ht="15" hidden="1" thickBot="1" x14ac:dyDescent="0.4">
      <c r="B7" s="133" t="s">
        <v>37</v>
      </c>
      <c r="C7" s="25" t="s">
        <v>38</v>
      </c>
      <c r="D7" s="25" t="s">
        <v>38</v>
      </c>
      <c r="E7" s="25" t="s">
        <v>38</v>
      </c>
    </row>
    <row r="8" spans="2:18" ht="15" hidden="1" thickBot="1" x14ac:dyDescent="0.4">
      <c r="B8" s="133" t="s">
        <v>39</v>
      </c>
      <c r="C8" s="25" t="s">
        <v>40</v>
      </c>
      <c r="D8" s="25" t="s">
        <v>40</v>
      </c>
      <c r="E8" s="25" t="s">
        <v>40</v>
      </c>
    </row>
    <row r="9" spans="2:18" ht="15" hidden="1" thickBot="1" x14ac:dyDescent="0.4">
      <c r="B9" s="133" t="s">
        <v>41</v>
      </c>
      <c r="C9" s="25" t="s">
        <v>12</v>
      </c>
      <c r="D9" s="25" t="s">
        <v>12</v>
      </c>
      <c r="E9" s="25" t="s">
        <v>12</v>
      </c>
    </row>
    <row r="10" spans="2:18" ht="15" hidden="1" thickBot="1" x14ac:dyDescent="0.4">
      <c r="B10" s="133" t="s">
        <v>42</v>
      </c>
      <c r="C10" s="25" t="s">
        <v>38</v>
      </c>
      <c r="D10" s="25" t="s">
        <v>38</v>
      </c>
      <c r="E10" s="25" t="s">
        <v>38</v>
      </c>
      <c r="I10" s="27" t="s">
        <v>43</v>
      </c>
    </row>
    <row r="11" spans="2:18" ht="15" hidden="1" thickBot="1" x14ac:dyDescent="0.4">
      <c r="B11" s="133" t="s">
        <v>44</v>
      </c>
      <c r="C11" s="25" t="s">
        <v>40</v>
      </c>
      <c r="D11" s="25" t="s">
        <v>40</v>
      </c>
      <c r="E11" s="25" t="s">
        <v>40</v>
      </c>
    </row>
    <row r="12" spans="2:18" ht="15" hidden="1" thickBot="1" x14ac:dyDescent="0.4"/>
    <row r="13" spans="2:18" ht="67.5" customHeight="1" thickTop="1" thickBot="1" x14ac:dyDescent="0.4">
      <c r="B13" s="28" t="s">
        <v>45</v>
      </c>
      <c r="C13" s="28" t="s">
        <v>46</v>
      </c>
      <c r="D13" s="28" t="s">
        <v>47</v>
      </c>
      <c r="E13" s="28" t="s">
        <v>48</v>
      </c>
      <c r="G13" s="29" t="s">
        <v>46</v>
      </c>
      <c r="H13" s="30" t="s">
        <v>47</v>
      </c>
      <c r="I13" s="30" t="s">
        <v>222</v>
      </c>
      <c r="J13" s="30" t="s">
        <v>517</v>
      </c>
      <c r="K13" s="30" t="s">
        <v>49</v>
      </c>
      <c r="L13" s="97" t="s">
        <v>198</v>
      </c>
      <c r="M13" s="97" t="s">
        <v>404</v>
      </c>
      <c r="N13" s="97" t="s">
        <v>199</v>
      </c>
      <c r="O13" s="31" t="s">
        <v>50</v>
      </c>
      <c r="Q13" s="32" t="s">
        <v>51</v>
      </c>
    </row>
    <row r="14" spans="2:18" x14ac:dyDescent="0.35">
      <c r="B14" s="135" t="s">
        <v>52</v>
      </c>
      <c r="C14" s="115">
        <v>660</v>
      </c>
      <c r="D14" s="115">
        <v>680</v>
      </c>
      <c r="E14" s="116">
        <v>670</v>
      </c>
      <c r="F14" s="33">
        <v>43952</v>
      </c>
      <c r="G14" s="34">
        <v>662.5</v>
      </c>
      <c r="H14" s="35">
        <v>687.5</v>
      </c>
      <c r="I14" s="36">
        <v>675</v>
      </c>
      <c r="J14" s="37">
        <v>34.840000000000003</v>
      </c>
      <c r="K14" s="37">
        <v>125</v>
      </c>
      <c r="L14" s="37"/>
      <c r="M14" s="37"/>
      <c r="N14" s="37"/>
      <c r="O14" s="37">
        <v>0</v>
      </c>
      <c r="Q14" s="35">
        <f>I14+J14+K14+O14</f>
        <v>834.84</v>
      </c>
      <c r="R14" s="25" t="s">
        <v>266</v>
      </c>
    </row>
    <row r="15" spans="2:18" x14ac:dyDescent="0.35">
      <c r="B15" s="136" t="s">
        <v>53</v>
      </c>
      <c r="C15" s="117">
        <v>655</v>
      </c>
      <c r="D15" s="117">
        <v>680</v>
      </c>
      <c r="E15" s="118">
        <v>667.5</v>
      </c>
      <c r="G15" s="38"/>
      <c r="H15" s="39"/>
      <c r="I15" s="40"/>
      <c r="J15" s="39"/>
      <c r="K15" s="39"/>
      <c r="L15" s="39"/>
      <c r="M15" s="39"/>
      <c r="N15" s="39"/>
      <c r="O15" s="39"/>
      <c r="Q15" s="41"/>
    </row>
    <row r="16" spans="2:18" x14ac:dyDescent="0.35">
      <c r="B16" s="136" t="s">
        <v>54</v>
      </c>
      <c r="C16" s="117">
        <v>670</v>
      </c>
      <c r="D16" s="117">
        <v>700</v>
      </c>
      <c r="E16" s="118">
        <v>685</v>
      </c>
      <c r="G16" s="38"/>
      <c r="H16" s="39"/>
      <c r="I16" s="40"/>
      <c r="J16" s="39"/>
      <c r="K16" s="39"/>
      <c r="L16" s="39"/>
      <c r="M16" s="39"/>
      <c r="N16" s="39"/>
      <c r="O16" s="39"/>
      <c r="Q16" s="41"/>
    </row>
    <row r="17" spans="2:17" ht="15" thickBot="1" x14ac:dyDescent="0.4">
      <c r="B17" s="137" t="s">
        <v>55</v>
      </c>
      <c r="C17" s="119">
        <v>665</v>
      </c>
      <c r="D17" s="119">
        <v>690</v>
      </c>
      <c r="E17" s="120">
        <v>677.5</v>
      </c>
      <c r="G17" s="42"/>
      <c r="H17" s="43"/>
      <c r="I17" s="44"/>
      <c r="J17" s="43"/>
      <c r="K17" s="43"/>
      <c r="L17" s="43"/>
      <c r="M17" s="43"/>
      <c r="N17" s="43"/>
      <c r="O17" s="43"/>
      <c r="Q17" s="45"/>
    </row>
    <row r="18" spans="2:17" x14ac:dyDescent="0.35">
      <c r="B18" s="135" t="s">
        <v>56</v>
      </c>
      <c r="C18" s="115">
        <v>670</v>
      </c>
      <c r="D18" s="115">
        <v>700</v>
      </c>
      <c r="E18" s="116">
        <v>685</v>
      </c>
      <c r="F18" s="33">
        <v>43983</v>
      </c>
      <c r="G18" s="34">
        <f>AVERAGE(C18:C21)</f>
        <v>666.25</v>
      </c>
      <c r="H18" s="35">
        <v>691.25</v>
      </c>
      <c r="I18" s="36">
        <f>+AVERAGE(E18:E21)</f>
        <v>678.75</v>
      </c>
      <c r="J18" s="37">
        <v>34.840000000000003</v>
      </c>
      <c r="K18" s="37">
        <v>125</v>
      </c>
      <c r="L18" s="37"/>
      <c r="M18" s="37"/>
      <c r="N18" s="37"/>
      <c r="O18" s="37">
        <v>0</v>
      </c>
      <c r="Q18" s="35">
        <f>I18+J18+K18+O18</f>
        <v>838.59</v>
      </c>
    </row>
    <row r="19" spans="2:17" x14ac:dyDescent="0.35">
      <c r="B19" s="136" t="s">
        <v>57</v>
      </c>
      <c r="C19" s="117">
        <v>670</v>
      </c>
      <c r="D19" s="117">
        <v>695</v>
      </c>
      <c r="E19" s="118">
        <v>682.5</v>
      </c>
      <c r="G19" s="38"/>
      <c r="H19" s="39"/>
      <c r="I19" s="40"/>
      <c r="J19" s="39"/>
      <c r="K19" s="39"/>
      <c r="L19" s="39"/>
      <c r="M19" s="39"/>
      <c r="N19" s="39"/>
      <c r="O19" s="39"/>
      <c r="Q19" s="41"/>
    </row>
    <row r="20" spans="2:17" x14ac:dyDescent="0.35">
      <c r="B20" s="136" t="s">
        <v>58</v>
      </c>
      <c r="C20" s="117">
        <v>660</v>
      </c>
      <c r="D20" s="117">
        <v>680</v>
      </c>
      <c r="E20" s="118">
        <v>670</v>
      </c>
      <c r="G20" s="38"/>
      <c r="H20" s="39"/>
      <c r="I20" s="40"/>
      <c r="J20" s="39"/>
      <c r="K20" s="39"/>
      <c r="L20" s="39"/>
      <c r="M20" s="39"/>
      <c r="N20" s="39"/>
      <c r="O20" s="39"/>
      <c r="Q20" s="41"/>
    </row>
    <row r="21" spans="2:17" ht="15" thickBot="1" x14ac:dyDescent="0.4">
      <c r="B21" s="137" t="s">
        <v>59</v>
      </c>
      <c r="C21" s="119">
        <v>665</v>
      </c>
      <c r="D21" s="119">
        <v>690</v>
      </c>
      <c r="E21" s="120">
        <v>677.5</v>
      </c>
      <c r="G21" s="42"/>
      <c r="H21" s="43"/>
      <c r="I21" s="44"/>
      <c r="J21" s="39"/>
      <c r="K21" s="39"/>
      <c r="L21" s="39"/>
      <c r="M21" s="39"/>
      <c r="N21" s="39"/>
      <c r="O21" s="39"/>
      <c r="Q21" s="41"/>
    </row>
    <row r="22" spans="2:17" x14ac:dyDescent="0.35">
      <c r="B22" s="135" t="s">
        <v>60</v>
      </c>
      <c r="C22" s="115">
        <v>665</v>
      </c>
      <c r="D22" s="115">
        <v>685</v>
      </c>
      <c r="E22" s="116">
        <v>675</v>
      </c>
      <c r="F22" s="33">
        <v>44013</v>
      </c>
      <c r="G22" s="34">
        <v>657</v>
      </c>
      <c r="H22" s="35">
        <v>674</v>
      </c>
      <c r="I22" s="36">
        <v>665.5</v>
      </c>
      <c r="J22" s="37">
        <v>34.840000000000003</v>
      </c>
      <c r="K22" s="37">
        <v>125</v>
      </c>
      <c r="L22" s="37"/>
      <c r="M22" s="37"/>
      <c r="N22" s="37"/>
      <c r="O22" s="37">
        <v>0</v>
      </c>
      <c r="Q22" s="35">
        <f>I22+J22+K22+O22</f>
        <v>825.34</v>
      </c>
    </row>
    <row r="23" spans="2:17" x14ac:dyDescent="0.35">
      <c r="B23" s="136" t="s">
        <v>61</v>
      </c>
      <c r="C23" s="117">
        <v>665</v>
      </c>
      <c r="D23" s="117">
        <v>680</v>
      </c>
      <c r="E23" s="118">
        <v>672.5</v>
      </c>
      <c r="G23" s="38"/>
      <c r="H23" s="39"/>
      <c r="I23" s="40"/>
      <c r="J23" s="39"/>
      <c r="K23" s="39"/>
      <c r="L23" s="39"/>
      <c r="M23" s="39"/>
      <c r="N23" s="39"/>
      <c r="O23" s="39"/>
      <c r="Q23" s="41"/>
    </row>
    <row r="24" spans="2:17" x14ac:dyDescent="0.35">
      <c r="B24" s="136" t="s">
        <v>62</v>
      </c>
      <c r="C24" s="117">
        <v>655</v>
      </c>
      <c r="D24" s="117">
        <v>675</v>
      </c>
      <c r="E24" s="118">
        <v>665</v>
      </c>
      <c r="G24" s="38"/>
      <c r="H24" s="39"/>
      <c r="I24" s="40"/>
      <c r="J24" s="39"/>
      <c r="K24" s="39"/>
      <c r="L24" s="39"/>
      <c r="M24" s="39"/>
      <c r="N24" s="39"/>
      <c r="O24" s="39"/>
      <c r="Q24" s="41"/>
    </row>
    <row r="25" spans="2:17" x14ac:dyDescent="0.35">
      <c r="B25" s="136" t="s">
        <v>63</v>
      </c>
      <c r="C25" s="117">
        <v>650</v>
      </c>
      <c r="D25" s="117">
        <v>665</v>
      </c>
      <c r="E25" s="118">
        <v>657.5</v>
      </c>
      <c r="G25" s="38"/>
      <c r="H25" s="39"/>
      <c r="I25" s="40"/>
      <c r="J25" s="39"/>
      <c r="K25" s="39"/>
      <c r="L25" s="39"/>
      <c r="M25" s="39"/>
      <c r="N25" s="39"/>
      <c r="O25" s="39"/>
      <c r="Q25" s="41"/>
    </row>
    <row r="26" spans="2:17" ht="15" thickBot="1" x14ac:dyDescent="0.4">
      <c r="B26" s="137" t="s">
        <v>64</v>
      </c>
      <c r="C26" s="119">
        <v>650</v>
      </c>
      <c r="D26" s="119">
        <v>665</v>
      </c>
      <c r="E26" s="120">
        <v>657.5</v>
      </c>
      <c r="G26" s="42"/>
      <c r="H26" s="43"/>
      <c r="I26" s="44"/>
      <c r="J26" s="43"/>
      <c r="K26" s="43"/>
      <c r="L26" s="43"/>
      <c r="M26" s="43"/>
      <c r="N26" s="43"/>
      <c r="O26" s="43"/>
      <c r="Q26" s="45"/>
    </row>
    <row r="27" spans="2:17" x14ac:dyDescent="0.35">
      <c r="B27" s="135" t="s">
        <v>65</v>
      </c>
      <c r="C27" s="115">
        <v>645</v>
      </c>
      <c r="D27" s="115">
        <v>665</v>
      </c>
      <c r="E27" s="116">
        <v>655</v>
      </c>
      <c r="F27" s="33">
        <v>44044</v>
      </c>
      <c r="G27" s="34">
        <v>645</v>
      </c>
      <c r="H27" s="35">
        <v>661.25</v>
      </c>
      <c r="I27" s="36">
        <v>653.125</v>
      </c>
      <c r="J27" s="37">
        <v>34.840000000000003</v>
      </c>
      <c r="K27" s="37">
        <v>125</v>
      </c>
      <c r="L27" s="37"/>
      <c r="M27" s="37"/>
      <c r="N27" s="37"/>
      <c r="O27" s="37">
        <v>0</v>
      </c>
      <c r="Q27" s="35">
        <f>I27+J27+K27+O27</f>
        <v>812.96500000000003</v>
      </c>
    </row>
    <row r="28" spans="2:17" x14ac:dyDescent="0.35">
      <c r="B28" s="136" t="s">
        <v>66</v>
      </c>
      <c r="C28" s="117">
        <v>645</v>
      </c>
      <c r="D28" s="117">
        <v>660</v>
      </c>
      <c r="E28" s="118">
        <v>652.5</v>
      </c>
      <c r="G28" s="38"/>
      <c r="H28" s="39"/>
      <c r="I28" s="40"/>
      <c r="J28" s="39"/>
      <c r="K28" s="39"/>
      <c r="L28" s="39"/>
      <c r="M28" s="39"/>
      <c r="N28" s="39"/>
      <c r="O28" s="39"/>
      <c r="Q28" s="41"/>
    </row>
    <row r="29" spans="2:17" x14ac:dyDescent="0.35">
      <c r="B29" s="136" t="s">
        <v>67</v>
      </c>
      <c r="C29" s="117">
        <v>645</v>
      </c>
      <c r="D29" s="117">
        <v>660</v>
      </c>
      <c r="E29" s="118">
        <v>652.5</v>
      </c>
      <c r="G29" s="38"/>
      <c r="H29" s="39"/>
      <c r="I29" s="40"/>
      <c r="J29" s="39"/>
      <c r="K29" s="39"/>
      <c r="L29" s="39"/>
      <c r="M29" s="39"/>
      <c r="N29" s="39"/>
      <c r="O29" s="39"/>
      <c r="Q29" s="41"/>
    </row>
    <row r="30" spans="2:17" ht="15" thickBot="1" x14ac:dyDescent="0.4">
      <c r="B30" s="137" t="s">
        <v>68</v>
      </c>
      <c r="C30" s="119">
        <v>645</v>
      </c>
      <c r="D30" s="119">
        <v>660</v>
      </c>
      <c r="E30" s="120">
        <v>652.5</v>
      </c>
      <c r="G30" s="42"/>
      <c r="H30" s="43"/>
      <c r="I30" s="44"/>
      <c r="J30" s="39"/>
      <c r="K30" s="39"/>
      <c r="L30" s="39"/>
      <c r="M30" s="39"/>
      <c r="N30" s="39"/>
      <c r="O30" s="39"/>
      <c r="Q30" s="41"/>
    </row>
    <row r="31" spans="2:17" x14ac:dyDescent="0.35">
      <c r="B31" s="135" t="s">
        <v>69</v>
      </c>
      <c r="C31" s="115">
        <v>645</v>
      </c>
      <c r="D31" s="115">
        <v>670</v>
      </c>
      <c r="E31" s="116">
        <v>657.5</v>
      </c>
      <c r="F31" s="33">
        <v>44075</v>
      </c>
      <c r="G31" s="34">
        <v>645</v>
      </c>
      <c r="H31" s="35">
        <v>665</v>
      </c>
      <c r="I31" s="36">
        <v>655</v>
      </c>
      <c r="J31" s="37">
        <v>34.840000000000003</v>
      </c>
      <c r="K31" s="37">
        <v>125</v>
      </c>
      <c r="L31" s="37"/>
      <c r="M31" s="37"/>
      <c r="N31" s="37"/>
      <c r="O31" s="37">
        <v>0</v>
      </c>
      <c r="Q31" s="35">
        <f>I31+J31+K31+O31</f>
        <v>814.84</v>
      </c>
    </row>
    <row r="32" spans="2:17" x14ac:dyDescent="0.35">
      <c r="B32" s="136" t="s">
        <v>70</v>
      </c>
      <c r="C32" s="117">
        <v>645</v>
      </c>
      <c r="D32" s="117">
        <v>670</v>
      </c>
      <c r="E32" s="118">
        <v>657.5</v>
      </c>
      <c r="G32" s="38"/>
      <c r="H32" s="39"/>
      <c r="I32" s="40"/>
      <c r="J32" s="39"/>
      <c r="K32" s="39"/>
      <c r="L32" s="39"/>
      <c r="M32" s="39"/>
      <c r="N32" s="39"/>
      <c r="O32" s="39"/>
      <c r="Q32" s="41"/>
    </row>
    <row r="33" spans="2:17" x14ac:dyDescent="0.35">
      <c r="B33" s="136" t="s">
        <v>71</v>
      </c>
      <c r="C33" s="117">
        <v>645</v>
      </c>
      <c r="D33" s="117">
        <v>665</v>
      </c>
      <c r="E33" s="118">
        <v>655</v>
      </c>
      <c r="G33" s="38"/>
      <c r="H33" s="39"/>
      <c r="I33" s="40"/>
      <c r="J33" s="39"/>
      <c r="K33" s="39"/>
      <c r="L33" s="39"/>
      <c r="M33" s="39"/>
      <c r="N33" s="39"/>
      <c r="O33" s="39"/>
      <c r="Q33" s="41"/>
    </row>
    <row r="34" spans="2:17" ht="15" thickBot="1" x14ac:dyDescent="0.4">
      <c r="B34" s="137" t="s">
        <v>72</v>
      </c>
      <c r="C34" s="119">
        <v>645</v>
      </c>
      <c r="D34" s="119">
        <v>655</v>
      </c>
      <c r="E34" s="120">
        <v>650</v>
      </c>
      <c r="G34" s="42"/>
      <c r="H34" s="43"/>
      <c r="I34" s="44"/>
      <c r="J34" s="43"/>
      <c r="K34" s="43"/>
      <c r="L34" s="43"/>
      <c r="M34" s="43"/>
      <c r="N34" s="43"/>
      <c r="O34" s="43"/>
      <c r="Q34" s="45"/>
    </row>
    <row r="35" spans="2:17" x14ac:dyDescent="0.35">
      <c r="B35" s="135" t="s">
        <v>73</v>
      </c>
      <c r="C35" s="115">
        <v>630</v>
      </c>
      <c r="D35" s="115">
        <v>650</v>
      </c>
      <c r="E35" s="116">
        <v>640</v>
      </c>
      <c r="F35" s="33">
        <v>44105</v>
      </c>
      <c r="G35" s="34">
        <v>635</v>
      </c>
      <c r="H35" s="35">
        <v>657</v>
      </c>
      <c r="I35" s="36">
        <v>646</v>
      </c>
      <c r="J35" s="37">
        <v>34.840000000000003</v>
      </c>
      <c r="K35" s="37">
        <v>125</v>
      </c>
      <c r="L35" s="37"/>
      <c r="M35" s="37"/>
      <c r="N35" s="37"/>
      <c r="O35" s="37">
        <v>0</v>
      </c>
      <c r="Q35" s="35">
        <f>I35+J35+K35+O35</f>
        <v>805.84</v>
      </c>
    </row>
    <row r="36" spans="2:17" x14ac:dyDescent="0.35">
      <c r="B36" s="136" t="s">
        <v>74</v>
      </c>
      <c r="C36" s="117">
        <v>630</v>
      </c>
      <c r="D36" s="117">
        <v>650</v>
      </c>
      <c r="E36" s="118">
        <v>640</v>
      </c>
      <c r="G36" s="38"/>
      <c r="H36" s="39"/>
      <c r="I36" s="40"/>
      <c r="J36" s="39"/>
      <c r="K36" s="39"/>
      <c r="L36" s="39"/>
      <c r="M36" s="39"/>
      <c r="N36" s="39"/>
      <c r="O36" s="39"/>
      <c r="Q36" s="41"/>
    </row>
    <row r="37" spans="2:17" x14ac:dyDescent="0.35">
      <c r="B37" s="136" t="s">
        <v>75</v>
      </c>
      <c r="C37" s="117">
        <v>630</v>
      </c>
      <c r="D37" s="117">
        <v>660</v>
      </c>
      <c r="E37" s="118">
        <v>645</v>
      </c>
      <c r="G37" s="38"/>
      <c r="H37" s="39"/>
      <c r="I37" s="40"/>
      <c r="J37" s="39"/>
      <c r="K37" s="39"/>
      <c r="L37" s="39"/>
      <c r="M37" s="39"/>
      <c r="N37" s="39"/>
      <c r="O37" s="39"/>
      <c r="Q37" s="41"/>
    </row>
    <row r="38" spans="2:17" x14ac:dyDescent="0.35">
      <c r="B38" s="136" t="s">
        <v>76</v>
      </c>
      <c r="C38" s="117">
        <v>645</v>
      </c>
      <c r="D38" s="117">
        <v>665</v>
      </c>
      <c r="E38" s="118">
        <v>655</v>
      </c>
      <c r="G38" s="38"/>
      <c r="H38" s="39"/>
      <c r="I38" s="40"/>
      <c r="J38" s="39"/>
      <c r="K38" s="39"/>
      <c r="L38" s="39"/>
      <c r="M38" s="39"/>
      <c r="N38" s="39"/>
      <c r="O38" s="39"/>
      <c r="Q38" s="41"/>
    </row>
    <row r="39" spans="2:17" ht="15" thickBot="1" x14ac:dyDescent="0.4">
      <c r="B39" s="137" t="s">
        <v>77</v>
      </c>
      <c r="C39" s="119">
        <v>640</v>
      </c>
      <c r="D39" s="119">
        <v>660</v>
      </c>
      <c r="E39" s="120">
        <v>650</v>
      </c>
      <c r="G39" s="42"/>
      <c r="H39" s="43"/>
      <c r="I39" s="44"/>
      <c r="J39" s="43"/>
      <c r="K39" s="43"/>
      <c r="L39" s="43"/>
      <c r="M39" s="43"/>
      <c r="N39" s="43"/>
      <c r="O39" s="43"/>
      <c r="Q39" s="45"/>
    </row>
    <row r="40" spans="2:17" x14ac:dyDescent="0.35">
      <c r="B40" s="135" t="s">
        <v>78</v>
      </c>
      <c r="C40" s="115">
        <v>635</v>
      </c>
      <c r="D40" s="115">
        <v>650</v>
      </c>
      <c r="E40" s="116">
        <v>642.5</v>
      </c>
      <c r="F40" s="33">
        <v>44136</v>
      </c>
      <c r="G40" s="34">
        <v>642.5</v>
      </c>
      <c r="H40" s="35">
        <v>665</v>
      </c>
      <c r="I40" s="36">
        <v>653.75</v>
      </c>
      <c r="J40" s="37">
        <v>34.840000000000003</v>
      </c>
      <c r="K40" s="37">
        <v>125</v>
      </c>
      <c r="L40" s="37"/>
      <c r="M40" s="37"/>
      <c r="N40" s="37"/>
      <c r="O40" s="37">
        <v>0</v>
      </c>
      <c r="Q40" s="35">
        <f>I40+J40+K40+O40</f>
        <v>813.59</v>
      </c>
    </row>
    <row r="41" spans="2:17" x14ac:dyDescent="0.35">
      <c r="B41" s="136" t="s">
        <v>79</v>
      </c>
      <c r="C41" s="117">
        <v>640</v>
      </c>
      <c r="D41" s="117">
        <v>660</v>
      </c>
      <c r="E41" s="118">
        <v>650</v>
      </c>
      <c r="G41" s="38"/>
      <c r="H41" s="39"/>
      <c r="I41" s="40"/>
      <c r="J41" s="39"/>
      <c r="K41" s="39"/>
      <c r="L41" s="39"/>
      <c r="M41" s="39"/>
      <c r="N41" s="39"/>
      <c r="O41" s="39"/>
      <c r="Q41" s="41"/>
    </row>
    <row r="42" spans="2:17" x14ac:dyDescent="0.35">
      <c r="B42" s="136" t="s">
        <v>80</v>
      </c>
      <c r="C42" s="117">
        <v>645</v>
      </c>
      <c r="D42" s="117">
        <v>670</v>
      </c>
      <c r="E42" s="118">
        <v>657.5</v>
      </c>
      <c r="G42" s="38"/>
      <c r="H42" s="39"/>
      <c r="I42" s="40"/>
      <c r="J42" s="39"/>
      <c r="K42" s="39"/>
      <c r="L42" s="39"/>
      <c r="M42" s="39"/>
      <c r="N42" s="39"/>
      <c r="O42" s="39"/>
      <c r="Q42" s="41"/>
    </row>
    <row r="43" spans="2:17" ht="15" thickBot="1" x14ac:dyDescent="0.4">
      <c r="B43" s="137" t="s">
        <v>81</v>
      </c>
      <c r="C43" s="119">
        <v>650</v>
      </c>
      <c r="D43" s="119">
        <v>680</v>
      </c>
      <c r="E43" s="120">
        <v>665</v>
      </c>
      <c r="G43" s="42"/>
      <c r="H43" s="43"/>
      <c r="I43" s="44"/>
      <c r="J43" s="39"/>
      <c r="K43" s="39"/>
      <c r="L43" s="39"/>
      <c r="M43" s="39"/>
      <c r="N43" s="39"/>
      <c r="O43" s="39"/>
      <c r="Q43" s="41"/>
    </row>
    <row r="44" spans="2:17" x14ac:dyDescent="0.35">
      <c r="B44" s="135" t="s">
        <v>82</v>
      </c>
      <c r="C44" s="115">
        <v>665</v>
      </c>
      <c r="D44" s="115">
        <v>695</v>
      </c>
      <c r="E44" s="116">
        <v>680</v>
      </c>
      <c r="F44" s="33">
        <v>44166</v>
      </c>
      <c r="G44" s="34">
        <v>701.25</v>
      </c>
      <c r="H44" s="35">
        <v>727.5</v>
      </c>
      <c r="I44" s="36">
        <v>714.375</v>
      </c>
      <c r="J44" s="37">
        <v>34.840000000000003</v>
      </c>
      <c r="K44" s="37">
        <v>131</v>
      </c>
      <c r="L44" s="37"/>
      <c r="M44" s="37"/>
      <c r="N44" s="37"/>
      <c r="O44" s="37">
        <v>0</v>
      </c>
      <c r="Q44" s="35">
        <f>I44+J44+K44+O44</f>
        <v>880.21500000000003</v>
      </c>
    </row>
    <row r="45" spans="2:17" x14ac:dyDescent="0.35">
      <c r="B45" s="136" t="s">
        <v>83</v>
      </c>
      <c r="C45" s="117">
        <v>700</v>
      </c>
      <c r="D45" s="117">
        <v>720</v>
      </c>
      <c r="E45" s="118">
        <v>710</v>
      </c>
      <c r="G45" s="38"/>
      <c r="H45" s="39"/>
      <c r="I45" s="40"/>
      <c r="J45" s="39"/>
      <c r="K45" s="39"/>
      <c r="L45" s="39"/>
      <c r="M45" s="39"/>
      <c r="N45" s="39"/>
      <c r="O45" s="39"/>
      <c r="Q45" s="41"/>
    </row>
    <row r="46" spans="2:17" x14ac:dyDescent="0.35">
      <c r="B46" s="136" t="s">
        <v>84</v>
      </c>
      <c r="C46" s="117">
        <v>720</v>
      </c>
      <c r="D46" s="117">
        <v>750</v>
      </c>
      <c r="E46" s="118">
        <v>735</v>
      </c>
      <c r="G46" s="38"/>
      <c r="H46" s="39"/>
      <c r="I46" s="40"/>
      <c r="J46" s="39"/>
      <c r="K46" s="39"/>
      <c r="L46" s="39"/>
      <c r="M46" s="39"/>
      <c r="N46" s="39"/>
      <c r="O46" s="39"/>
      <c r="Q46" s="41"/>
    </row>
    <row r="47" spans="2:17" ht="15" thickBot="1" x14ac:dyDescent="0.4">
      <c r="B47" s="137" t="s">
        <v>85</v>
      </c>
      <c r="C47" s="119">
        <v>720</v>
      </c>
      <c r="D47" s="119">
        <v>745</v>
      </c>
      <c r="E47" s="120">
        <v>732.5</v>
      </c>
      <c r="G47" s="42"/>
      <c r="H47" s="43"/>
      <c r="I47" s="44"/>
      <c r="J47" s="43"/>
      <c r="K47" s="43"/>
      <c r="L47" s="43"/>
      <c r="M47" s="43"/>
      <c r="N47" s="43"/>
      <c r="O47" s="43"/>
      <c r="Q47" s="45"/>
    </row>
    <row r="48" spans="2:17" x14ac:dyDescent="0.35">
      <c r="B48" s="135" t="s">
        <v>86</v>
      </c>
      <c r="C48" s="115">
        <v>755</v>
      </c>
      <c r="D48" s="115">
        <v>790</v>
      </c>
      <c r="E48" s="116">
        <v>772.5</v>
      </c>
      <c r="F48" s="33">
        <v>44197</v>
      </c>
      <c r="G48" s="34">
        <v>778.75</v>
      </c>
      <c r="H48" s="35">
        <v>812.5</v>
      </c>
      <c r="I48" s="36">
        <v>795.625</v>
      </c>
      <c r="J48" s="39">
        <v>34.840000000000003</v>
      </c>
      <c r="K48" s="39">
        <v>131</v>
      </c>
      <c r="L48" s="39"/>
      <c r="M48" s="39"/>
      <c r="N48" s="39"/>
      <c r="O48" s="39">
        <v>0</v>
      </c>
      <c r="Q48" s="35">
        <f>I48+J48+K48+O48</f>
        <v>961.46500000000003</v>
      </c>
    </row>
    <row r="49" spans="2:20" x14ac:dyDescent="0.35">
      <c r="B49" s="136" t="s">
        <v>87</v>
      </c>
      <c r="C49" s="117">
        <v>780</v>
      </c>
      <c r="D49" s="117">
        <v>820</v>
      </c>
      <c r="E49" s="118">
        <v>800</v>
      </c>
      <c r="G49" s="38"/>
      <c r="H49" s="39"/>
      <c r="I49" s="40"/>
      <c r="J49" s="39"/>
      <c r="K49" s="39"/>
      <c r="L49" s="39"/>
      <c r="M49" s="39"/>
      <c r="N49" s="39"/>
      <c r="O49" s="39"/>
      <c r="Q49" s="41"/>
    </row>
    <row r="50" spans="2:20" x14ac:dyDescent="0.35">
      <c r="B50" s="136" t="s">
        <v>88</v>
      </c>
      <c r="C50" s="117">
        <v>790</v>
      </c>
      <c r="D50" s="117">
        <v>820</v>
      </c>
      <c r="E50" s="118">
        <v>805</v>
      </c>
      <c r="G50" s="38"/>
      <c r="H50" s="39"/>
      <c r="I50" s="40"/>
      <c r="J50" s="39"/>
      <c r="K50" s="39"/>
      <c r="L50" s="39"/>
      <c r="M50" s="39"/>
      <c r="N50" s="39"/>
      <c r="O50" s="39"/>
      <c r="Q50" s="41"/>
    </row>
    <row r="51" spans="2:20" ht="15" thickBot="1" x14ac:dyDescent="0.4">
      <c r="B51" s="137" t="s">
        <v>89</v>
      </c>
      <c r="C51" s="119">
        <v>790</v>
      </c>
      <c r="D51" s="119">
        <v>820</v>
      </c>
      <c r="E51" s="120">
        <v>805</v>
      </c>
      <c r="G51" s="42"/>
      <c r="H51" s="43"/>
      <c r="I51" s="44"/>
      <c r="J51" s="39"/>
      <c r="K51" s="39"/>
      <c r="L51" s="39"/>
      <c r="M51" s="39"/>
      <c r="N51" s="39"/>
      <c r="O51" s="39"/>
      <c r="Q51" s="41"/>
    </row>
    <row r="52" spans="2:20" x14ac:dyDescent="0.35">
      <c r="B52" s="135" t="s">
        <v>90</v>
      </c>
      <c r="C52" s="115">
        <v>820</v>
      </c>
      <c r="D52" s="115">
        <v>860</v>
      </c>
      <c r="E52" s="116">
        <v>840</v>
      </c>
      <c r="F52" s="33">
        <v>44228</v>
      </c>
      <c r="G52" s="34">
        <v>868.75</v>
      </c>
      <c r="H52" s="35">
        <v>920</v>
      </c>
      <c r="I52" s="36">
        <v>894.375</v>
      </c>
      <c r="J52" s="37">
        <v>34.840000000000003</v>
      </c>
      <c r="K52" s="37">
        <f>131+78</f>
        <v>209</v>
      </c>
      <c r="L52" s="37"/>
      <c r="M52" s="37"/>
      <c r="N52" s="37"/>
      <c r="O52" s="37">
        <v>55</v>
      </c>
      <c r="Q52" s="35">
        <f>I52+J52+K52+O52</f>
        <v>1193.2150000000001</v>
      </c>
      <c r="T52" s="46"/>
    </row>
    <row r="53" spans="2:20" x14ac:dyDescent="0.35">
      <c r="B53" s="136" t="s">
        <v>91</v>
      </c>
      <c r="C53" s="117">
        <v>845</v>
      </c>
      <c r="D53" s="117">
        <v>870</v>
      </c>
      <c r="E53" s="118">
        <v>857.5</v>
      </c>
      <c r="G53" s="38"/>
      <c r="H53" s="39"/>
      <c r="I53" s="40"/>
      <c r="J53" s="39"/>
      <c r="K53" s="39"/>
      <c r="L53" s="39"/>
      <c r="M53" s="39"/>
      <c r="N53" s="39"/>
      <c r="O53" s="39"/>
      <c r="Q53" s="41"/>
    </row>
    <row r="54" spans="2:20" x14ac:dyDescent="0.35">
      <c r="B54" s="136" t="s">
        <v>92</v>
      </c>
      <c r="C54" s="117">
        <v>870</v>
      </c>
      <c r="D54" s="117">
        <v>920</v>
      </c>
      <c r="E54" s="118">
        <v>895</v>
      </c>
      <c r="G54" s="38"/>
      <c r="H54" s="39"/>
      <c r="I54" s="40"/>
      <c r="J54" s="39"/>
      <c r="K54" s="39"/>
      <c r="L54" s="39"/>
      <c r="M54" s="39"/>
      <c r="N54" s="39"/>
      <c r="O54" s="39"/>
      <c r="Q54" s="41"/>
    </row>
    <row r="55" spans="2:20" ht="15" thickBot="1" x14ac:dyDescent="0.4">
      <c r="B55" s="137" t="s">
        <v>93</v>
      </c>
      <c r="C55" s="119">
        <v>940</v>
      </c>
      <c r="D55" s="119">
        <v>1030</v>
      </c>
      <c r="E55" s="120">
        <v>985</v>
      </c>
      <c r="G55" s="42"/>
      <c r="H55" s="43"/>
      <c r="I55" s="44"/>
      <c r="J55" s="43"/>
      <c r="K55" s="43"/>
      <c r="L55" s="43"/>
      <c r="M55" s="43"/>
      <c r="N55" s="43"/>
      <c r="O55" s="43"/>
      <c r="Q55" s="45"/>
    </row>
    <row r="56" spans="2:20" x14ac:dyDescent="0.35">
      <c r="B56" s="135" t="s">
        <v>94</v>
      </c>
      <c r="C56" s="115">
        <v>1020</v>
      </c>
      <c r="D56" s="115">
        <v>1060</v>
      </c>
      <c r="E56" s="116">
        <v>1040</v>
      </c>
      <c r="F56" s="33">
        <v>44256</v>
      </c>
      <c r="G56" s="34">
        <v>1008.75</v>
      </c>
      <c r="H56" s="35">
        <v>1046.25</v>
      </c>
      <c r="I56" s="36">
        <v>1027.5</v>
      </c>
      <c r="J56" s="37">
        <v>34.840000000000003</v>
      </c>
      <c r="K56" s="37">
        <f>131+78</f>
        <v>209</v>
      </c>
      <c r="L56" s="37"/>
      <c r="M56" s="37"/>
      <c r="N56" s="37"/>
      <c r="O56" s="37">
        <v>55</v>
      </c>
      <c r="Q56" s="35">
        <f>I56+J56+K56+O56</f>
        <v>1326.34</v>
      </c>
      <c r="T56" s="46"/>
    </row>
    <row r="57" spans="2:20" x14ac:dyDescent="0.35">
      <c r="B57" s="136" t="s">
        <v>95</v>
      </c>
      <c r="C57" s="117">
        <v>1020</v>
      </c>
      <c r="D57" s="117">
        <v>1060</v>
      </c>
      <c r="E57" s="118">
        <v>1040</v>
      </c>
      <c r="G57" s="38"/>
      <c r="H57" s="39"/>
      <c r="I57" s="40"/>
      <c r="J57" s="39"/>
      <c r="K57" s="39"/>
      <c r="L57" s="39"/>
      <c r="M57" s="39"/>
      <c r="N57" s="39"/>
      <c r="O57" s="39"/>
      <c r="Q57" s="41"/>
    </row>
    <row r="58" spans="2:20" x14ac:dyDescent="0.35">
      <c r="B58" s="136" t="s">
        <v>96</v>
      </c>
      <c r="C58" s="117">
        <v>1005</v>
      </c>
      <c r="D58" s="117">
        <v>1045</v>
      </c>
      <c r="E58" s="118">
        <v>1025</v>
      </c>
      <c r="G58" s="38"/>
      <c r="H58" s="39"/>
      <c r="I58" s="40"/>
      <c r="J58" s="39"/>
      <c r="K58" s="39"/>
      <c r="L58" s="39"/>
      <c r="M58" s="39"/>
      <c r="N58" s="39"/>
      <c r="O58" s="39"/>
      <c r="Q58" s="41"/>
    </row>
    <row r="59" spans="2:20" ht="15" thickBot="1" x14ac:dyDescent="0.4">
      <c r="B59" s="137" t="s">
        <v>97</v>
      </c>
      <c r="C59" s="119">
        <v>990</v>
      </c>
      <c r="D59" s="119">
        <v>1020</v>
      </c>
      <c r="E59" s="120">
        <v>1005</v>
      </c>
      <c r="G59" s="42"/>
      <c r="H59" s="43"/>
      <c r="I59" s="44"/>
      <c r="J59" s="39"/>
      <c r="K59" s="39"/>
      <c r="L59" s="39"/>
      <c r="M59" s="39"/>
      <c r="N59" s="39"/>
      <c r="O59" s="39"/>
      <c r="Q59" s="41"/>
    </row>
    <row r="60" spans="2:20" x14ac:dyDescent="0.35">
      <c r="B60" s="138" t="s">
        <v>98</v>
      </c>
      <c r="C60" s="117">
        <v>980</v>
      </c>
      <c r="D60" s="117">
        <v>1015</v>
      </c>
      <c r="E60" s="121">
        <v>997.5</v>
      </c>
      <c r="F60" s="33">
        <v>44287</v>
      </c>
      <c r="G60" s="47">
        <v>948</v>
      </c>
      <c r="H60" s="41">
        <v>990</v>
      </c>
      <c r="I60" s="48">
        <v>969</v>
      </c>
      <c r="J60" s="37">
        <v>34.840000000000003</v>
      </c>
      <c r="K60" s="37">
        <f>131+78</f>
        <v>209</v>
      </c>
      <c r="L60" s="37"/>
      <c r="M60" s="37"/>
      <c r="N60" s="37"/>
      <c r="O60" s="37">
        <v>55</v>
      </c>
      <c r="Q60" s="35">
        <f>I60+J60+K60+O60</f>
        <v>1267.8400000000001</v>
      </c>
    </row>
    <row r="61" spans="2:20" x14ac:dyDescent="0.35">
      <c r="B61" s="138" t="s">
        <v>99</v>
      </c>
      <c r="C61" s="117">
        <v>960</v>
      </c>
      <c r="D61" s="117">
        <v>1005</v>
      </c>
      <c r="E61" s="121">
        <v>982.5</v>
      </c>
      <c r="G61" s="38"/>
      <c r="H61" s="39"/>
      <c r="I61" s="40"/>
      <c r="J61" s="39"/>
      <c r="K61" s="39"/>
      <c r="L61" s="39"/>
      <c r="M61" s="39"/>
      <c r="N61" s="39"/>
      <c r="O61" s="39"/>
      <c r="Q61" s="41"/>
    </row>
    <row r="62" spans="2:20" x14ac:dyDescent="0.35">
      <c r="B62" s="138" t="s">
        <v>100</v>
      </c>
      <c r="C62" s="117">
        <v>940</v>
      </c>
      <c r="D62" s="117">
        <v>990</v>
      </c>
      <c r="E62" s="121">
        <v>965</v>
      </c>
      <c r="G62" s="38"/>
      <c r="H62" s="39"/>
      <c r="I62" s="40"/>
      <c r="J62" s="39"/>
      <c r="K62" s="39"/>
      <c r="L62" s="39"/>
      <c r="M62" s="39"/>
      <c r="N62" s="39"/>
      <c r="O62" s="39"/>
      <c r="Q62" s="41"/>
    </row>
    <row r="63" spans="2:20" x14ac:dyDescent="0.35">
      <c r="B63" s="138" t="s">
        <v>101</v>
      </c>
      <c r="C63" s="117">
        <v>940</v>
      </c>
      <c r="D63" s="117">
        <v>980</v>
      </c>
      <c r="E63" s="121">
        <v>960</v>
      </c>
      <c r="G63" s="38"/>
      <c r="H63" s="39"/>
      <c r="I63" s="40"/>
      <c r="J63" s="39"/>
      <c r="K63" s="39"/>
      <c r="L63" s="39"/>
      <c r="M63" s="39"/>
      <c r="N63" s="39"/>
      <c r="O63" s="39"/>
      <c r="Q63" s="41"/>
    </row>
    <row r="64" spans="2:20" ht="15" thickBot="1" x14ac:dyDescent="0.4">
      <c r="B64" s="138" t="s">
        <v>102</v>
      </c>
      <c r="C64" s="117">
        <v>920</v>
      </c>
      <c r="D64" s="117">
        <v>960</v>
      </c>
      <c r="E64" s="121">
        <v>940</v>
      </c>
      <c r="G64" s="42"/>
      <c r="H64" s="43"/>
      <c r="I64" s="44"/>
      <c r="J64" s="43"/>
      <c r="K64" s="43"/>
      <c r="L64" s="43"/>
      <c r="M64" s="43"/>
      <c r="N64" s="43"/>
      <c r="O64" s="43"/>
      <c r="Q64" s="45"/>
    </row>
    <row r="65" spans="2:24" x14ac:dyDescent="0.35">
      <c r="B65" s="135" t="s">
        <v>103</v>
      </c>
      <c r="C65" s="115">
        <v>920</v>
      </c>
      <c r="D65" s="115">
        <v>970</v>
      </c>
      <c r="E65" s="116">
        <v>945</v>
      </c>
      <c r="F65" s="33">
        <v>44317</v>
      </c>
      <c r="G65" s="47">
        <f>AVERAGE(C65:C68)</f>
        <v>918.75</v>
      </c>
      <c r="H65" s="41">
        <f>AVERAGE(D65:D68)</f>
        <v>962.5</v>
      </c>
      <c r="I65" s="48">
        <f>AVERAGE(E65:E68)</f>
        <v>940.625</v>
      </c>
      <c r="J65" s="37">
        <f>34.84</f>
        <v>34.840000000000003</v>
      </c>
      <c r="K65" s="37">
        <f>131+78+18</f>
        <v>227</v>
      </c>
      <c r="L65" s="37"/>
      <c r="M65" s="37"/>
      <c r="N65" s="37"/>
      <c r="O65" s="37">
        <v>55</v>
      </c>
      <c r="Q65" s="35">
        <f>I65+J65+K65+O65</f>
        <v>1257.4650000000001</v>
      </c>
    </row>
    <row r="66" spans="2:24" x14ac:dyDescent="0.35">
      <c r="B66" s="136" t="s">
        <v>104</v>
      </c>
      <c r="C66" s="117">
        <v>910</v>
      </c>
      <c r="D66" s="117">
        <v>965</v>
      </c>
      <c r="E66" s="118">
        <v>937.5</v>
      </c>
      <c r="G66" s="38"/>
      <c r="H66" s="39"/>
      <c r="I66" s="40"/>
      <c r="J66" s="39"/>
      <c r="K66" s="39"/>
      <c r="L66" s="39"/>
      <c r="M66" s="39"/>
      <c r="N66" s="39"/>
      <c r="O66" s="39"/>
      <c r="Q66" s="41"/>
    </row>
    <row r="67" spans="2:24" x14ac:dyDescent="0.35">
      <c r="B67" s="136" t="s">
        <v>105</v>
      </c>
      <c r="C67" s="117">
        <v>930</v>
      </c>
      <c r="D67" s="117">
        <v>970</v>
      </c>
      <c r="E67" s="118">
        <v>950</v>
      </c>
      <c r="G67" s="38"/>
      <c r="H67" s="39"/>
      <c r="I67" s="40"/>
      <c r="J67" s="39"/>
      <c r="K67" s="39"/>
      <c r="L67" s="39"/>
      <c r="M67" s="39"/>
      <c r="N67" s="39"/>
      <c r="O67" s="39"/>
      <c r="Q67" s="41"/>
    </row>
    <row r="68" spans="2:24" ht="15" thickBot="1" x14ac:dyDescent="0.4">
      <c r="B68" s="137" t="s">
        <v>106</v>
      </c>
      <c r="C68" s="119">
        <v>915</v>
      </c>
      <c r="D68" s="119">
        <v>945</v>
      </c>
      <c r="E68" s="120">
        <v>930</v>
      </c>
      <c r="G68" s="42"/>
      <c r="H68" s="43"/>
      <c r="I68" s="44"/>
      <c r="J68" s="43"/>
      <c r="K68" s="43"/>
      <c r="L68" s="43"/>
      <c r="M68" s="43"/>
      <c r="N68" s="43"/>
      <c r="O68" s="43"/>
      <c r="Q68" s="45"/>
    </row>
    <row r="69" spans="2:24" x14ac:dyDescent="0.35">
      <c r="B69" s="135" t="s">
        <v>107</v>
      </c>
      <c r="C69" s="115">
        <v>915</v>
      </c>
      <c r="D69" s="115">
        <v>950</v>
      </c>
      <c r="E69" s="116">
        <v>932.5</v>
      </c>
      <c r="F69" s="33">
        <v>44348</v>
      </c>
      <c r="G69" s="47">
        <f>AVERAGE(C69:C72)</f>
        <v>906.25</v>
      </c>
      <c r="H69" s="41">
        <f>AVERAGE(D69:D72)</f>
        <v>947.5</v>
      </c>
      <c r="I69" s="48">
        <f>AVERAGE(E69:E72)</f>
        <v>926.875</v>
      </c>
      <c r="J69" s="37">
        <f>34.84</f>
        <v>34.840000000000003</v>
      </c>
      <c r="K69" s="37">
        <f>131+78+18</f>
        <v>227</v>
      </c>
      <c r="L69" s="37"/>
      <c r="M69" s="37"/>
      <c r="N69" s="37"/>
      <c r="O69" s="37">
        <v>55</v>
      </c>
      <c r="Q69" s="35">
        <f>I69+J69+K69+O69</f>
        <v>1243.7150000000001</v>
      </c>
    </row>
    <row r="70" spans="2:24" x14ac:dyDescent="0.35">
      <c r="B70" s="136" t="s">
        <v>108</v>
      </c>
      <c r="C70" s="117">
        <v>900</v>
      </c>
      <c r="D70" s="117">
        <v>940</v>
      </c>
      <c r="E70" s="118">
        <v>920</v>
      </c>
      <c r="G70" s="38"/>
      <c r="H70" s="39"/>
      <c r="I70" s="40"/>
      <c r="J70" s="39"/>
      <c r="K70" s="39"/>
      <c r="L70" s="39"/>
      <c r="M70" s="39"/>
      <c r="N70" s="39"/>
      <c r="O70" s="39"/>
      <c r="Q70" s="41"/>
    </row>
    <row r="71" spans="2:24" x14ac:dyDescent="0.35">
      <c r="B71" s="136" t="s">
        <v>109</v>
      </c>
      <c r="C71" s="117">
        <v>900</v>
      </c>
      <c r="D71" s="117">
        <v>940</v>
      </c>
      <c r="E71" s="118">
        <v>920</v>
      </c>
      <c r="G71" s="38"/>
      <c r="H71" s="39"/>
      <c r="I71" s="40"/>
      <c r="J71" s="39"/>
      <c r="K71" s="39"/>
      <c r="L71" s="39"/>
      <c r="M71" s="39"/>
      <c r="N71" s="39"/>
      <c r="O71" s="39"/>
      <c r="Q71" s="41"/>
    </row>
    <row r="72" spans="2:24" ht="15" thickBot="1" x14ac:dyDescent="0.4">
      <c r="B72" s="137" t="s">
        <v>110</v>
      </c>
      <c r="C72" s="119">
        <v>910</v>
      </c>
      <c r="D72" s="119">
        <v>960</v>
      </c>
      <c r="E72" s="120">
        <v>935</v>
      </c>
      <c r="G72" s="42"/>
      <c r="H72" s="43"/>
      <c r="I72" s="44"/>
      <c r="J72" s="43"/>
      <c r="K72" s="43"/>
      <c r="L72" s="43"/>
      <c r="M72" s="43"/>
      <c r="N72" s="43"/>
      <c r="O72" s="43"/>
      <c r="Q72" s="45"/>
    </row>
    <row r="73" spans="2:24" x14ac:dyDescent="0.35">
      <c r="B73" s="138" t="s">
        <v>111</v>
      </c>
      <c r="C73" s="117">
        <v>930</v>
      </c>
      <c r="D73" s="117">
        <v>960</v>
      </c>
      <c r="E73" s="121">
        <v>945</v>
      </c>
      <c r="F73" s="33">
        <v>44378</v>
      </c>
      <c r="G73" s="47">
        <f>AVERAGE(C73:C76)</f>
        <v>940</v>
      </c>
      <c r="H73" s="41">
        <f>AVERAGE(D73:D76)</f>
        <v>978.75</v>
      </c>
      <c r="I73" s="48">
        <f>AVERAGE(E73:E76)</f>
        <v>959.375</v>
      </c>
      <c r="J73" s="37">
        <v>34.840000000000003</v>
      </c>
      <c r="K73" s="37">
        <f>227+70</f>
        <v>297</v>
      </c>
      <c r="L73" s="37"/>
      <c r="M73" s="37"/>
      <c r="N73" s="37"/>
      <c r="O73" s="37">
        <v>55</v>
      </c>
      <c r="Q73" s="35">
        <f>I73+J73+K73+O73</f>
        <v>1346.2150000000001</v>
      </c>
    </row>
    <row r="74" spans="2:24" x14ac:dyDescent="0.35">
      <c r="B74" s="138" t="s">
        <v>112</v>
      </c>
      <c r="C74" s="117">
        <v>945</v>
      </c>
      <c r="D74" s="117">
        <v>990</v>
      </c>
      <c r="E74" s="121">
        <v>967.5</v>
      </c>
      <c r="G74" s="38"/>
      <c r="H74" s="39"/>
      <c r="I74" s="40"/>
      <c r="J74" s="39"/>
      <c r="K74" s="39"/>
      <c r="L74" s="39"/>
      <c r="M74" s="39"/>
      <c r="N74" s="39"/>
      <c r="O74" s="39"/>
      <c r="Q74" s="41"/>
    </row>
    <row r="75" spans="2:24" x14ac:dyDescent="0.35">
      <c r="B75" s="138" t="s">
        <v>113</v>
      </c>
      <c r="C75" s="117">
        <v>945</v>
      </c>
      <c r="D75" s="117">
        <v>975</v>
      </c>
      <c r="E75" s="121">
        <v>960</v>
      </c>
      <c r="G75" s="38"/>
      <c r="H75" s="39"/>
      <c r="I75" s="40"/>
      <c r="J75" s="39"/>
      <c r="K75" s="39"/>
      <c r="L75" s="39"/>
      <c r="M75" s="39"/>
      <c r="N75" s="39"/>
      <c r="O75" s="39"/>
      <c r="Q75" s="41"/>
    </row>
    <row r="76" spans="2:24" x14ac:dyDescent="0.35">
      <c r="B76" s="138" t="s">
        <v>114</v>
      </c>
      <c r="C76" s="117">
        <v>940</v>
      </c>
      <c r="D76" s="117">
        <v>990</v>
      </c>
      <c r="E76" s="121">
        <v>965</v>
      </c>
      <c r="G76" s="38"/>
      <c r="H76" s="39"/>
      <c r="I76" s="40"/>
      <c r="J76" s="39"/>
      <c r="K76" s="39"/>
      <c r="L76" s="39"/>
      <c r="M76" s="39"/>
      <c r="N76" s="39"/>
      <c r="O76" s="39"/>
      <c r="Q76" s="41"/>
    </row>
    <row r="77" spans="2:24" ht="15" thickBot="1" x14ac:dyDescent="0.4">
      <c r="B77" s="138" t="s">
        <v>115</v>
      </c>
      <c r="C77" s="117">
        <v>975</v>
      </c>
      <c r="D77" s="117">
        <v>1010</v>
      </c>
      <c r="E77" s="121">
        <v>992.5</v>
      </c>
      <c r="G77" s="42"/>
      <c r="H77" s="43"/>
      <c r="I77" s="44"/>
      <c r="J77" s="43"/>
      <c r="K77" s="43"/>
      <c r="L77" s="43"/>
      <c r="M77" s="43"/>
      <c r="N77" s="43"/>
      <c r="O77" s="43"/>
      <c r="Q77" s="45"/>
      <c r="U77" s="52"/>
      <c r="V77" s="53"/>
      <c r="W77" s="53"/>
      <c r="X77" s="53"/>
    </row>
    <row r="78" spans="2:24" x14ac:dyDescent="0.35">
      <c r="B78" s="135" t="s">
        <v>116</v>
      </c>
      <c r="C78" s="115">
        <v>980</v>
      </c>
      <c r="D78" s="115">
        <v>1000</v>
      </c>
      <c r="E78" s="116">
        <v>990</v>
      </c>
      <c r="F78" s="33">
        <v>44409</v>
      </c>
      <c r="G78" s="47">
        <f>AVERAGE(C78:C81)</f>
        <v>962.5</v>
      </c>
      <c r="H78" s="41">
        <f>AVERAGE(D78:D81)</f>
        <v>990</v>
      </c>
      <c r="I78" s="48">
        <f>AVERAGE(E78:E81)</f>
        <v>976.25</v>
      </c>
      <c r="J78" s="37">
        <f>34.84</f>
        <v>34.840000000000003</v>
      </c>
      <c r="K78" s="37">
        <f>227+70</f>
        <v>297</v>
      </c>
      <c r="L78" s="37"/>
      <c r="M78" s="37"/>
      <c r="N78" s="37"/>
      <c r="O78" s="37">
        <v>55</v>
      </c>
      <c r="Q78" s="35">
        <f>I78+J78+K78+O78</f>
        <v>1363.0900000000001</v>
      </c>
      <c r="V78" s="54"/>
      <c r="W78" s="52"/>
      <c r="X78" s="55"/>
    </row>
    <row r="79" spans="2:24" x14ac:dyDescent="0.35">
      <c r="B79" s="136" t="s">
        <v>117</v>
      </c>
      <c r="C79" s="117">
        <v>970</v>
      </c>
      <c r="D79" s="117">
        <v>1000</v>
      </c>
      <c r="E79" s="118">
        <v>985</v>
      </c>
      <c r="G79" s="38"/>
      <c r="H79" s="39"/>
      <c r="I79" s="40"/>
      <c r="J79" s="39"/>
      <c r="K79" s="39"/>
      <c r="L79" s="39"/>
      <c r="M79" s="39"/>
      <c r="N79" s="39"/>
      <c r="O79" s="39"/>
      <c r="Q79" s="41"/>
      <c r="V79" s="54"/>
      <c r="W79" s="52"/>
      <c r="X79" s="55"/>
    </row>
    <row r="80" spans="2:24" x14ac:dyDescent="0.35">
      <c r="B80" s="136" t="s">
        <v>118</v>
      </c>
      <c r="C80" s="117">
        <v>950</v>
      </c>
      <c r="D80" s="117">
        <v>980</v>
      </c>
      <c r="E80" s="118">
        <v>965</v>
      </c>
      <c r="G80" s="38"/>
      <c r="H80" s="39"/>
      <c r="I80" s="40"/>
      <c r="J80" s="39"/>
      <c r="K80" s="39"/>
      <c r="L80" s="39"/>
      <c r="M80" s="39"/>
      <c r="N80" s="39"/>
      <c r="O80" s="39"/>
      <c r="Q80" s="41"/>
      <c r="V80" s="54"/>
      <c r="W80" s="52"/>
      <c r="X80" s="55"/>
    </row>
    <row r="81" spans="2:24" ht="15" thickBot="1" x14ac:dyDescent="0.4">
      <c r="B81" s="137" t="s">
        <v>119</v>
      </c>
      <c r="C81" s="119">
        <v>950</v>
      </c>
      <c r="D81" s="119">
        <v>980</v>
      </c>
      <c r="E81" s="120">
        <v>965</v>
      </c>
      <c r="G81" s="42"/>
      <c r="H81" s="43"/>
      <c r="I81" s="44"/>
      <c r="J81" s="43"/>
      <c r="K81" s="43"/>
      <c r="L81" s="43"/>
      <c r="M81" s="43"/>
      <c r="N81" s="43"/>
      <c r="O81" s="43"/>
      <c r="Q81" s="45"/>
      <c r="W81" s="50"/>
      <c r="X81" s="50"/>
    </row>
    <row r="82" spans="2:24" x14ac:dyDescent="0.35">
      <c r="B82" s="135" t="s">
        <v>127</v>
      </c>
      <c r="C82" s="115">
        <v>940</v>
      </c>
      <c r="D82" s="115">
        <v>970</v>
      </c>
      <c r="E82" s="116">
        <v>955</v>
      </c>
      <c r="F82" s="33">
        <v>44440</v>
      </c>
      <c r="G82" s="47">
        <f>AVERAGE(C82:C85)</f>
        <v>938.75</v>
      </c>
      <c r="H82" s="41">
        <f>AVERAGE(D82:D85)</f>
        <v>968.75</v>
      </c>
      <c r="I82" s="48">
        <f>AVERAGE(E82:E85)</f>
        <v>953.75</v>
      </c>
      <c r="J82" s="37">
        <v>34.840000000000003</v>
      </c>
      <c r="K82" s="37">
        <f>227+70</f>
        <v>297</v>
      </c>
      <c r="L82" s="37"/>
      <c r="M82" s="37"/>
      <c r="N82" s="37"/>
      <c r="O82" s="37">
        <v>55</v>
      </c>
      <c r="Q82" s="35">
        <f>I82+J82+K82+O82</f>
        <v>1340.5900000000001</v>
      </c>
      <c r="W82" s="50"/>
      <c r="X82" s="50"/>
    </row>
    <row r="83" spans="2:24" x14ac:dyDescent="0.35">
      <c r="B83" s="136" t="s">
        <v>128</v>
      </c>
      <c r="C83" s="117">
        <v>930</v>
      </c>
      <c r="D83" s="117">
        <v>955</v>
      </c>
      <c r="E83" s="118">
        <v>942.5</v>
      </c>
      <c r="G83" s="38"/>
      <c r="H83" s="39"/>
      <c r="I83" s="40"/>
      <c r="J83" s="39"/>
      <c r="K83" s="39"/>
      <c r="L83" s="39"/>
      <c r="M83" s="39"/>
      <c r="N83" s="39"/>
      <c r="O83" s="39"/>
      <c r="Q83" s="41"/>
      <c r="W83" s="50"/>
      <c r="X83" s="50"/>
    </row>
    <row r="84" spans="2:24" x14ac:dyDescent="0.35">
      <c r="B84" s="136" t="s">
        <v>129</v>
      </c>
      <c r="C84" s="117">
        <v>940</v>
      </c>
      <c r="D84" s="117">
        <v>960</v>
      </c>
      <c r="E84" s="118">
        <v>950</v>
      </c>
      <c r="G84" s="38"/>
      <c r="H84" s="39"/>
      <c r="I84" s="40"/>
      <c r="J84" s="39"/>
      <c r="K84" s="39"/>
      <c r="L84" s="39"/>
      <c r="M84" s="39"/>
      <c r="N84" s="39"/>
      <c r="O84" s="39"/>
      <c r="Q84" s="41"/>
      <c r="W84" s="50"/>
      <c r="X84" s="50"/>
    </row>
    <row r="85" spans="2:24" ht="15" thickBot="1" x14ac:dyDescent="0.4">
      <c r="B85" s="137" t="s">
        <v>130</v>
      </c>
      <c r="C85" s="119">
        <v>945</v>
      </c>
      <c r="D85" s="119">
        <v>990</v>
      </c>
      <c r="E85" s="120">
        <v>967.5</v>
      </c>
      <c r="G85" s="42"/>
      <c r="H85" s="43"/>
      <c r="I85" s="44"/>
      <c r="J85" s="43"/>
      <c r="K85" s="43"/>
      <c r="L85" s="43"/>
      <c r="M85" s="43"/>
      <c r="N85" s="43"/>
      <c r="O85" s="43"/>
      <c r="Q85" s="45"/>
      <c r="W85" s="50"/>
      <c r="X85" s="50"/>
    </row>
    <row r="86" spans="2:24" x14ac:dyDescent="0.35">
      <c r="B86" s="135" t="s">
        <v>131</v>
      </c>
      <c r="C86" s="115">
        <v>995</v>
      </c>
      <c r="D86" s="115">
        <v>1040</v>
      </c>
      <c r="E86" s="116">
        <v>1017.5</v>
      </c>
      <c r="F86" s="33">
        <v>44470</v>
      </c>
      <c r="G86" s="47">
        <f>AVERAGE(C86:C89)</f>
        <v>1076.25</v>
      </c>
      <c r="H86" s="41">
        <f>AVERAGE(D86:D89)</f>
        <v>1120</v>
      </c>
      <c r="I86" s="48">
        <f>AVERAGE(E86:E90)</f>
        <v>1111.5</v>
      </c>
      <c r="J86" s="37">
        <v>34.840000000000003</v>
      </c>
      <c r="K86" s="37">
        <v>297</v>
      </c>
      <c r="L86" s="37"/>
      <c r="M86" s="37"/>
      <c r="N86" s="37"/>
      <c r="O86" s="37">
        <v>55</v>
      </c>
      <c r="Q86" s="35">
        <f>I86+J86+K86+O86</f>
        <v>1498.34</v>
      </c>
      <c r="W86" s="50"/>
      <c r="X86" s="50"/>
    </row>
    <row r="87" spans="2:24" x14ac:dyDescent="0.35">
      <c r="B87" s="136" t="s">
        <v>132</v>
      </c>
      <c r="C87" s="117">
        <v>1020</v>
      </c>
      <c r="D87" s="117">
        <v>1100</v>
      </c>
      <c r="E87" s="118">
        <v>1060</v>
      </c>
      <c r="G87" s="38"/>
      <c r="H87" s="39"/>
      <c r="I87" s="40"/>
      <c r="J87" s="39"/>
      <c r="K87" s="39"/>
      <c r="L87" s="39"/>
      <c r="M87" s="39"/>
      <c r="N87" s="39"/>
      <c r="O87" s="39"/>
      <c r="Q87" s="41"/>
      <c r="W87" s="50"/>
      <c r="X87" s="50"/>
    </row>
    <row r="88" spans="2:24" x14ac:dyDescent="0.35">
      <c r="B88" s="136" t="s">
        <v>133</v>
      </c>
      <c r="C88" s="117">
        <v>1120</v>
      </c>
      <c r="D88" s="117">
        <v>1150</v>
      </c>
      <c r="E88" s="118">
        <v>1135</v>
      </c>
      <c r="G88" s="38"/>
      <c r="H88" s="39"/>
      <c r="I88" s="40"/>
      <c r="J88" s="39"/>
      <c r="K88" s="39"/>
      <c r="L88" s="39"/>
      <c r="M88" s="39"/>
      <c r="N88" s="39"/>
      <c r="O88" s="39"/>
      <c r="Q88" s="41"/>
      <c r="W88" s="50"/>
      <c r="X88" s="50"/>
    </row>
    <row r="89" spans="2:24" x14ac:dyDescent="0.35">
      <c r="B89" s="136" t="s">
        <v>134</v>
      </c>
      <c r="C89" s="117">
        <v>1170</v>
      </c>
      <c r="D89" s="117">
        <v>1190</v>
      </c>
      <c r="E89" s="118">
        <v>1180</v>
      </c>
      <c r="G89" s="38"/>
      <c r="H89" s="39"/>
      <c r="I89" s="40"/>
      <c r="J89" s="39"/>
      <c r="K89" s="39"/>
      <c r="L89" s="39"/>
      <c r="M89" s="39"/>
      <c r="N89" s="39"/>
      <c r="O89" s="39"/>
      <c r="Q89" s="41"/>
      <c r="W89" s="50"/>
      <c r="X89" s="50"/>
    </row>
    <row r="90" spans="2:24" ht="15" thickBot="1" x14ac:dyDescent="0.4">
      <c r="B90" s="137" t="s">
        <v>135</v>
      </c>
      <c r="C90" s="119">
        <v>1150</v>
      </c>
      <c r="D90" s="119">
        <v>1180</v>
      </c>
      <c r="E90" s="120">
        <v>1165</v>
      </c>
      <c r="G90" s="42"/>
      <c r="H90" s="43"/>
      <c r="I90" s="44"/>
      <c r="J90" s="43"/>
      <c r="K90" s="43"/>
      <c r="L90" s="43"/>
      <c r="M90" s="43"/>
      <c r="N90" s="43"/>
      <c r="O90" s="43"/>
      <c r="Q90" s="45"/>
      <c r="W90" s="50"/>
      <c r="X90" s="50"/>
    </row>
    <row r="91" spans="2:24" x14ac:dyDescent="0.35">
      <c r="B91" s="135">
        <v>44505</v>
      </c>
      <c r="C91" s="115">
        <v>1130</v>
      </c>
      <c r="D91" s="115">
        <v>1170</v>
      </c>
      <c r="E91" s="116">
        <v>1150</v>
      </c>
      <c r="F91" s="33">
        <v>44501</v>
      </c>
      <c r="G91" s="47">
        <f>AVERAGE(C91:C94)</f>
        <v>1091.25</v>
      </c>
      <c r="H91" s="41">
        <f>AVERAGE(D91:D94)</f>
        <v>1142.5</v>
      </c>
      <c r="I91" s="48">
        <f>AVERAGE(E91:E94)</f>
        <v>1116.875</v>
      </c>
      <c r="J91" s="37">
        <v>34.840000000000003</v>
      </c>
      <c r="K91" s="37">
        <f>227+70+72.16</f>
        <v>369.15999999999997</v>
      </c>
      <c r="L91" s="37"/>
      <c r="M91" s="37"/>
      <c r="N91" s="37"/>
      <c r="O91" s="37">
        <v>55</v>
      </c>
      <c r="Q91" s="35">
        <f>I91+J91+K91+O91</f>
        <v>1575.875</v>
      </c>
      <c r="W91" s="50"/>
      <c r="X91" s="50"/>
    </row>
    <row r="92" spans="2:24" x14ac:dyDescent="0.35">
      <c r="B92" s="136">
        <v>44512</v>
      </c>
      <c r="C92" s="117">
        <v>1100</v>
      </c>
      <c r="D92" s="117">
        <v>1155</v>
      </c>
      <c r="E92" s="118">
        <v>1127.5</v>
      </c>
      <c r="G92" s="38"/>
      <c r="H92" s="39"/>
      <c r="I92" s="40"/>
      <c r="J92" s="39"/>
      <c r="K92" s="39"/>
      <c r="L92" s="39"/>
      <c r="M92" s="39"/>
      <c r="N92" s="39"/>
      <c r="O92" s="39"/>
      <c r="Q92" s="41"/>
      <c r="W92" s="50"/>
      <c r="X92" s="50"/>
    </row>
    <row r="93" spans="2:24" x14ac:dyDescent="0.35">
      <c r="B93" s="136">
        <v>44519</v>
      </c>
      <c r="C93" s="117">
        <v>1085</v>
      </c>
      <c r="D93" s="117">
        <v>1135</v>
      </c>
      <c r="E93" s="118">
        <v>1110</v>
      </c>
      <c r="G93" s="38"/>
      <c r="H93" s="39"/>
      <c r="I93" s="40"/>
      <c r="J93" s="39"/>
      <c r="K93" s="39"/>
      <c r="L93" s="39"/>
      <c r="M93" s="39"/>
      <c r="N93" s="39"/>
      <c r="O93" s="39"/>
      <c r="Q93" s="41"/>
      <c r="W93" s="50"/>
      <c r="X93" s="50"/>
    </row>
    <row r="94" spans="2:24" ht="15" thickBot="1" x14ac:dyDescent="0.4">
      <c r="B94" s="137">
        <v>44526</v>
      </c>
      <c r="C94" s="119">
        <v>1050</v>
      </c>
      <c r="D94" s="119">
        <v>1110</v>
      </c>
      <c r="E94" s="120">
        <v>1080</v>
      </c>
      <c r="G94" s="42"/>
      <c r="H94" s="43"/>
      <c r="I94" s="44"/>
      <c r="J94" s="43"/>
      <c r="K94" s="43"/>
      <c r="L94" s="43"/>
      <c r="M94" s="43"/>
      <c r="N94" s="43"/>
      <c r="O94" s="43"/>
      <c r="Q94" s="45"/>
      <c r="W94" s="50"/>
      <c r="X94" s="50"/>
    </row>
    <row r="95" spans="2:24" x14ac:dyDescent="0.35">
      <c r="B95" s="136" t="s">
        <v>136</v>
      </c>
      <c r="C95" s="117">
        <v>1000</v>
      </c>
      <c r="D95" s="117">
        <v>1050</v>
      </c>
      <c r="E95" s="118">
        <v>1025</v>
      </c>
      <c r="F95" s="33">
        <v>44531</v>
      </c>
      <c r="G95" s="47">
        <f>AVERAGE(C95:C98)</f>
        <v>1000</v>
      </c>
      <c r="H95" s="41">
        <f>AVERAGE(D95:D98)</f>
        <v>1050</v>
      </c>
      <c r="I95" s="48">
        <f>AVERAGE(E95:E98)</f>
        <v>1025</v>
      </c>
      <c r="J95" s="37">
        <v>34.840000000000003</v>
      </c>
      <c r="K95" s="37">
        <f>227+70+72.16</f>
        <v>369.15999999999997</v>
      </c>
      <c r="L95" s="37"/>
      <c r="M95" s="37"/>
      <c r="N95" s="37"/>
      <c r="O95" s="37">
        <v>55</v>
      </c>
      <c r="Q95" s="35">
        <f>I95+J95+K95+O95</f>
        <v>1484</v>
      </c>
    </row>
    <row r="96" spans="2:24" x14ac:dyDescent="0.35">
      <c r="B96" s="136" t="s">
        <v>137</v>
      </c>
      <c r="C96" s="117">
        <v>1000</v>
      </c>
      <c r="D96" s="117">
        <v>1050</v>
      </c>
      <c r="E96" s="118">
        <v>1025</v>
      </c>
      <c r="G96" s="38"/>
      <c r="H96" s="39"/>
      <c r="I96" s="40"/>
      <c r="J96" s="39"/>
      <c r="K96" s="39"/>
      <c r="L96" s="39"/>
      <c r="M96" s="39"/>
      <c r="N96" s="39"/>
      <c r="O96" s="39"/>
      <c r="Q96" s="41"/>
    </row>
    <row r="97" spans="2:17" x14ac:dyDescent="0.35">
      <c r="B97" s="136" t="s">
        <v>138</v>
      </c>
      <c r="C97" s="117">
        <v>1000</v>
      </c>
      <c r="D97" s="117">
        <v>1050</v>
      </c>
      <c r="E97" s="118">
        <v>1025</v>
      </c>
      <c r="G97" s="38"/>
      <c r="H97" s="39"/>
      <c r="I97" s="40"/>
      <c r="J97" s="39"/>
      <c r="K97" s="39"/>
      <c r="L97" s="39"/>
      <c r="M97" s="39"/>
      <c r="N97" s="39"/>
      <c r="O97" s="39"/>
      <c r="Q97" s="41"/>
    </row>
    <row r="98" spans="2:17" ht="15" thickBot="1" x14ac:dyDescent="0.4">
      <c r="B98" s="136" t="s">
        <v>139</v>
      </c>
      <c r="C98" s="122">
        <v>1000</v>
      </c>
      <c r="D98" s="122">
        <v>1050</v>
      </c>
      <c r="E98" s="118">
        <v>1025</v>
      </c>
      <c r="G98" s="42"/>
      <c r="H98" s="43"/>
      <c r="I98" s="44"/>
      <c r="J98" s="43"/>
      <c r="K98" s="43"/>
      <c r="L98" s="43"/>
      <c r="M98" s="43"/>
      <c r="N98" s="43"/>
      <c r="O98" s="43"/>
      <c r="Q98" s="45"/>
    </row>
    <row r="99" spans="2:17" x14ac:dyDescent="0.35">
      <c r="B99" s="139" t="s">
        <v>140</v>
      </c>
      <c r="C99" s="123">
        <v>1040</v>
      </c>
      <c r="D99" s="123">
        <v>1085</v>
      </c>
      <c r="E99" s="116">
        <v>1062.5</v>
      </c>
      <c r="G99" s="35">
        <f>AVERAGE(C99:C101)</f>
        <v>1060</v>
      </c>
      <c r="H99" s="35">
        <f>AVERAGE(D99:D101)</f>
        <v>1100</v>
      </c>
      <c r="I99" s="59">
        <f>AVERAGE(E99:E101)</f>
        <v>1080</v>
      </c>
      <c r="J99" s="37">
        <v>34.840000000000003</v>
      </c>
      <c r="K99" s="37">
        <v>441.82</v>
      </c>
      <c r="L99" s="37"/>
      <c r="M99" s="37"/>
      <c r="N99" s="37"/>
      <c r="O99" s="37"/>
      <c r="Q99" s="35">
        <f>I99+J99+K99+O99</f>
        <v>1556.6599999999999</v>
      </c>
    </row>
    <row r="100" spans="2:17" x14ac:dyDescent="0.35">
      <c r="B100" s="140" t="s">
        <v>141</v>
      </c>
      <c r="C100" s="122">
        <v>1060</v>
      </c>
      <c r="D100" s="122">
        <v>1105</v>
      </c>
      <c r="E100" s="118">
        <v>1082.5</v>
      </c>
      <c r="G100" s="39"/>
      <c r="H100" s="39"/>
      <c r="I100" s="57"/>
      <c r="J100" s="39"/>
      <c r="K100" s="39"/>
      <c r="L100" s="39"/>
      <c r="M100" s="39"/>
      <c r="N100" s="39"/>
      <c r="O100" s="39"/>
      <c r="Q100" s="41"/>
    </row>
    <row r="101" spans="2:17" ht="15" thickBot="1" x14ac:dyDescent="0.4">
      <c r="B101" s="141" t="s">
        <v>142</v>
      </c>
      <c r="C101" s="124">
        <v>1080</v>
      </c>
      <c r="D101" s="124">
        <v>1110</v>
      </c>
      <c r="E101" s="120">
        <v>1095</v>
      </c>
      <c r="G101" s="43"/>
      <c r="H101" s="43"/>
      <c r="I101" s="58"/>
      <c r="J101" s="43"/>
      <c r="K101" s="43"/>
      <c r="L101" s="43"/>
      <c r="M101" s="43"/>
      <c r="N101" s="43"/>
      <c r="O101" s="43"/>
      <c r="Q101" s="45"/>
    </row>
    <row r="102" spans="2:17" x14ac:dyDescent="0.35">
      <c r="B102" s="139" t="s">
        <v>143</v>
      </c>
      <c r="C102" s="123">
        <v>1090</v>
      </c>
      <c r="D102" s="123">
        <v>1130</v>
      </c>
      <c r="E102" s="116">
        <v>1110</v>
      </c>
      <c r="G102" s="35">
        <f>AVERAGE(C102:C104)</f>
        <v>1116.6666666666667</v>
      </c>
      <c r="H102" s="35">
        <f>AVERAGE(D102:D104)</f>
        <v>1153.3333333333333</v>
      </c>
      <c r="I102" s="59">
        <f>AVERAGE(E102:E104)</f>
        <v>1135</v>
      </c>
      <c r="J102" s="37">
        <v>34.840000000000003</v>
      </c>
      <c r="K102" s="37">
        <v>441.82</v>
      </c>
      <c r="L102" s="37"/>
      <c r="M102" s="37"/>
      <c r="N102" s="37"/>
      <c r="O102" s="37"/>
      <c r="Q102" s="35">
        <f>I102+J102+K102+O102</f>
        <v>1611.6599999999999</v>
      </c>
    </row>
    <row r="103" spans="2:17" x14ac:dyDescent="0.35">
      <c r="B103" s="140">
        <v>44603</v>
      </c>
      <c r="C103" s="122">
        <v>1140</v>
      </c>
      <c r="D103" s="122">
        <v>1170</v>
      </c>
      <c r="E103" s="118">
        <v>1155</v>
      </c>
      <c r="G103" s="39"/>
      <c r="H103" s="39"/>
      <c r="I103" s="57"/>
      <c r="J103" s="39"/>
      <c r="K103" s="39"/>
      <c r="L103" s="39"/>
      <c r="M103" s="39"/>
      <c r="N103" s="39"/>
      <c r="O103" s="39"/>
      <c r="Q103" s="41"/>
    </row>
    <row r="104" spans="2:17" ht="15" thickBot="1" x14ac:dyDescent="0.4">
      <c r="B104" s="141">
        <v>44610</v>
      </c>
      <c r="C104" s="124">
        <v>1120</v>
      </c>
      <c r="D104" s="124">
        <v>1160</v>
      </c>
      <c r="E104" s="120">
        <v>1140</v>
      </c>
      <c r="G104" s="43"/>
      <c r="H104" s="43"/>
      <c r="I104" s="58"/>
      <c r="J104" s="43"/>
      <c r="K104" s="43"/>
      <c r="L104" s="43"/>
      <c r="M104" s="43"/>
      <c r="N104" s="43"/>
      <c r="O104" s="43"/>
      <c r="Q104" s="45"/>
    </row>
    <row r="105" spans="2:17" x14ac:dyDescent="0.35">
      <c r="B105" s="140" t="s">
        <v>159</v>
      </c>
      <c r="C105" s="122">
        <v>1115</v>
      </c>
      <c r="D105" s="122">
        <v>1170</v>
      </c>
      <c r="E105" s="118">
        <v>1142.5</v>
      </c>
      <c r="G105" s="35">
        <f>AVERAGE(C106:C109)</f>
        <v>1197.5</v>
      </c>
      <c r="H105" s="35">
        <f>AVERAGE(D106:D109)</f>
        <v>1247.5</v>
      </c>
      <c r="I105" s="61">
        <f>AVERAGE(E106:E109)</f>
        <v>1222.5</v>
      </c>
      <c r="J105" s="62">
        <v>34.840000000000003</v>
      </c>
      <c r="K105" s="62">
        <v>441.82</v>
      </c>
      <c r="L105" s="62"/>
      <c r="M105" s="62"/>
      <c r="N105" s="62"/>
      <c r="O105" s="62"/>
      <c r="P105" s="49"/>
      <c r="Q105" s="35">
        <f>I105+J105+K105+O105</f>
        <v>1699.1599999999999</v>
      </c>
    </row>
    <row r="106" spans="2:17" x14ac:dyDescent="0.35">
      <c r="B106" s="140" t="s">
        <v>160</v>
      </c>
      <c r="C106" s="122">
        <v>1150</v>
      </c>
      <c r="D106" s="122">
        <v>1220</v>
      </c>
      <c r="E106" s="118">
        <v>1185</v>
      </c>
      <c r="G106" s="39"/>
      <c r="H106" s="39"/>
      <c r="I106" s="57"/>
      <c r="J106" s="39"/>
      <c r="K106" s="39"/>
      <c r="L106" s="39"/>
      <c r="M106" s="39"/>
      <c r="N106" s="39"/>
      <c r="O106" s="39"/>
      <c r="P106" s="49"/>
      <c r="Q106" s="39"/>
    </row>
    <row r="107" spans="2:17" x14ac:dyDescent="0.35">
      <c r="B107" s="140" t="s">
        <v>161</v>
      </c>
      <c r="C107" s="122">
        <v>1250</v>
      </c>
      <c r="D107" s="122">
        <v>1300</v>
      </c>
      <c r="E107" s="118">
        <v>1275</v>
      </c>
      <c r="G107" s="39"/>
      <c r="H107" s="39"/>
      <c r="I107" s="57"/>
      <c r="J107" s="39"/>
      <c r="K107" s="39"/>
      <c r="L107" s="39"/>
      <c r="M107" s="39"/>
      <c r="N107" s="39"/>
      <c r="O107" s="39"/>
      <c r="P107" s="49"/>
      <c r="Q107" s="39"/>
    </row>
    <row r="108" spans="2:17" x14ac:dyDescent="0.35">
      <c r="B108" s="140" t="s">
        <v>162</v>
      </c>
      <c r="C108" s="122">
        <v>1190</v>
      </c>
      <c r="D108" s="122">
        <v>1230</v>
      </c>
      <c r="E108" s="118">
        <v>1210</v>
      </c>
      <c r="G108" s="39"/>
      <c r="H108" s="39"/>
      <c r="I108" s="57"/>
      <c r="J108" s="39"/>
      <c r="K108" s="39"/>
      <c r="L108" s="39"/>
      <c r="M108" s="39"/>
      <c r="N108" s="39"/>
      <c r="O108" s="39"/>
      <c r="P108" s="49"/>
      <c r="Q108" s="39"/>
    </row>
    <row r="109" spans="2:17" ht="15" thickBot="1" x14ac:dyDescent="0.4">
      <c r="B109" s="140" t="s">
        <v>163</v>
      </c>
      <c r="C109" s="122">
        <v>1200</v>
      </c>
      <c r="D109" s="122">
        <v>1240</v>
      </c>
      <c r="E109" s="118">
        <v>1220</v>
      </c>
      <c r="G109" s="39"/>
      <c r="H109" s="39"/>
      <c r="I109" s="57"/>
      <c r="J109" s="39"/>
      <c r="K109" s="39"/>
      <c r="L109" s="39"/>
      <c r="M109" s="39"/>
      <c r="N109" s="39"/>
      <c r="O109" s="39"/>
      <c r="P109" s="49"/>
      <c r="Q109" s="43"/>
    </row>
    <row r="110" spans="2:17" x14ac:dyDescent="0.35">
      <c r="B110" s="139">
        <v>44652</v>
      </c>
      <c r="C110" s="123">
        <v>1200</v>
      </c>
      <c r="D110" s="123">
        <v>1240</v>
      </c>
      <c r="E110" s="116">
        <v>1220</v>
      </c>
      <c r="G110" s="35">
        <f>AVERAGE(C110:C113)</f>
        <v>1186.25</v>
      </c>
      <c r="H110" s="35">
        <f t="shared" ref="H110:I110" si="0">AVERAGE(D110:D113)</f>
        <v>1232.5</v>
      </c>
      <c r="I110" s="59">
        <f t="shared" si="0"/>
        <v>1209.375</v>
      </c>
      <c r="J110" s="62">
        <v>34.840000000000003</v>
      </c>
      <c r="K110" s="62">
        <v>446.67</v>
      </c>
      <c r="L110" s="62"/>
      <c r="M110" s="62"/>
      <c r="N110" s="62"/>
      <c r="O110" s="64"/>
      <c r="P110" s="49"/>
      <c r="Q110" s="35">
        <f>I110+J110+K110+O110</f>
        <v>1690.885</v>
      </c>
    </row>
    <row r="111" spans="2:17" x14ac:dyDescent="0.35">
      <c r="B111" s="140">
        <v>44659</v>
      </c>
      <c r="C111" s="122">
        <v>1190</v>
      </c>
      <c r="D111" s="122">
        <v>1240</v>
      </c>
      <c r="E111" s="118">
        <v>1215</v>
      </c>
      <c r="G111" s="67"/>
      <c r="H111" s="67"/>
      <c r="I111" s="69"/>
      <c r="J111" s="67"/>
      <c r="K111" s="67"/>
      <c r="L111" s="67"/>
      <c r="M111" s="67"/>
      <c r="N111" s="67"/>
      <c r="O111" s="65"/>
      <c r="Q111" s="67"/>
    </row>
    <row r="112" spans="2:17" x14ac:dyDescent="0.35">
      <c r="B112" s="140">
        <v>44666</v>
      </c>
      <c r="C112" s="122">
        <v>1175</v>
      </c>
      <c r="D112" s="122">
        <v>1230</v>
      </c>
      <c r="E112" s="118">
        <v>1202.5</v>
      </c>
      <c r="G112" s="67"/>
      <c r="H112" s="67"/>
      <c r="I112" s="69"/>
      <c r="J112" s="67"/>
      <c r="K112" s="67"/>
      <c r="L112" s="67"/>
      <c r="M112" s="67"/>
      <c r="N112" s="67"/>
      <c r="O112" s="65"/>
      <c r="Q112" s="67"/>
    </row>
    <row r="113" spans="2:17" ht="15" thickBot="1" x14ac:dyDescent="0.4">
      <c r="B113" s="141">
        <v>44673</v>
      </c>
      <c r="C113" s="124">
        <v>1180</v>
      </c>
      <c r="D113" s="124">
        <v>1220</v>
      </c>
      <c r="E113" s="120">
        <v>1200</v>
      </c>
      <c r="G113" s="68"/>
      <c r="H113" s="68"/>
      <c r="I113" s="70"/>
      <c r="J113" s="68"/>
      <c r="K113" s="68"/>
      <c r="L113" s="68"/>
      <c r="M113" s="68"/>
      <c r="N113" s="68"/>
      <c r="O113" s="66"/>
      <c r="Q113" s="68"/>
    </row>
    <row r="114" spans="2:17" x14ac:dyDescent="0.35">
      <c r="B114" s="139">
        <v>44680</v>
      </c>
      <c r="C114" s="123">
        <v>1165</v>
      </c>
      <c r="D114" s="123">
        <v>1220</v>
      </c>
      <c r="E114" s="116">
        <v>1192.5</v>
      </c>
      <c r="G114" s="35">
        <f>AVERAGE(C114:C117)</f>
        <v>1187.5</v>
      </c>
      <c r="H114" s="35">
        <f t="shared" ref="H114" si="1">AVERAGE(D114:D117)</f>
        <v>1238.75</v>
      </c>
      <c r="I114" s="59">
        <f t="shared" ref="I114" si="2">AVERAGE(E114:E117)</f>
        <v>1213.125</v>
      </c>
      <c r="J114" s="62">
        <v>34.840000000000003</v>
      </c>
      <c r="K114" s="62">
        <v>389.05</v>
      </c>
      <c r="L114" s="62"/>
      <c r="M114" s="62"/>
      <c r="N114" s="62"/>
      <c r="O114" s="64"/>
      <c r="Q114" s="35">
        <f>I114+J114+K114+O114</f>
        <v>1637.0149999999999</v>
      </c>
    </row>
    <row r="115" spans="2:17" x14ac:dyDescent="0.35">
      <c r="B115" s="140">
        <v>44687</v>
      </c>
      <c r="C115" s="122">
        <v>1180</v>
      </c>
      <c r="D115" s="122">
        <v>1230</v>
      </c>
      <c r="E115" s="118">
        <v>1205</v>
      </c>
      <c r="G115" s="67"/>
      <c r="H115" s="67"/>
      <c r="I115" s="69"/>
      <c r="J115" s="67"/>
      <c r="K115" s="67"/>
      <c r="L115" s="67"/>
      <c r="M115" s="67"/>
      <c r="N115" s="67"/>
      <c r="O115" s="65"/>
      <c r="Q115" s="67"/>
    </row>
    <row r="116" spans="2:17" x14ac:dyDescent="0.35">
      <c r="B116" s="140">
        <v>44694</v>
      </c>
      <c r="C116" s="122">
        <v>1200</v>
      </c>
      <c r="D116" s="122">
        <v>1250</v>
      </c>
      <c r="E116" s="118">
        <v>1225</v>
      </c>
      <c r="G116" s="67"/>
      <c r="H116" s="67"/>
      <c r="I116" s="69"/>
      <c r="J116" s="67"/>
      <c r="K116" s="67"/>
      <c r="L116" s="67"/>
      <c r="M116" s="67"/>
      <c r="N116" s="67"/>
      <c r="O116" s="65"/>
      <c r="Q116" s="67"/>
    </row>
    <row r="117" spans="2:17" ht="15" thickBot="1" x14ac:dyDescent="0.4">
      <c r="B117" s="141">
        <v>44701</v>
      </c>
      <c r="C117" s="124">
        <v>1205</v>
      </c>
      <c r="D117" s="124">
        <v>1255</v>
      </c>
      <c r="E117" s="120">
        <v>1230</v>
      </c>
      <c r="G117" s="67"/>
      <c r="H117" s="67"/>
      <c r="I117" s="69"/>
      <c r="J117" s="67"/>
      <c r="K117" s="67"/>
      <c r="L117" s="67"/>
      <c r="M117" s="67"/>
      <c r="N117" s="67"/>
      <c r="O117" s="65"/>
      <c r="Q117" s="68"/>
    </row>
    <row r="118" spans="2:17" x14ac:dyDescent="0.35">
      <c r="B118" s="139">
        <v>44708</v>
      </c>
      <c r="C118" s="123">
        <v>1200</v>
      </c>
      <c r="D118" s="123">
        <v>1250</v>
      </c>
      <c r="E118" s="116">
        <v>1225</v>
      </c>
      <c r="G118" s="35">
        <f>AVERAGE(C118:C122)</f>
        <v>1226</v>
      </c>
      <c r="H118" s="35">
        <f>AVERAGE(D118:D122)</f>
        <v>1272</v>
      </c>
      <c r="I118" s="59">
        <f>AVERAGE(E118:E122)</f>
        <v>1249</v>
      </c>
      <c r="J118" s="62">
        <v>34.840000000000003</v>
      </c>
      <c r="K118" s="71">
        <v>350.95</v>
      </c>
      <c r="L118" s="62"/>
      <c r="M118" s="62"/>
      <c r="N118" s="62"/>
      <c r="O118" s="64"/>
      <c r="Q118" s="35">
        <f>I118+J118+K118+O118</f>
        <v>1634.79</v>
      </c>
    </row>
    <row r="119" spans="2:17" x14ac:dyDescent="0.35">
      <c r="B119" s="140">
        <v>44715</v>
      </c>
      <c r="C119" s="122">
        <v>1200</v>
      </c>
      <c r="D119" s="122">
        <v>1250</v>
      </c>
      <c r="E119" s="118">
        <v>1225</v>
      </c>
      <c r="G119" s="67"/>
      <c r="H119" s="67"/>
      <c r="I119" s="69"/>
      <c r="J119" s="67"/>
      <c r="K119" s="67"/>
      <c r="L119" s="67"/>
      <c r="M119" s="67"/>
      <c r="N119" s="67"/>
      <c r="O119" s="65"/>
      <c r="Q119" s="67"/>
    </row>
    <row r="120" spans="2:17" x14ac:dyDescent="0.35">
      <c r="B120" s="140">
        <v>44722</v>
      </c>
      <c r="C120" s="122">
        <v>1280</v>
      </c>
      <c r="D120" s="122">
        <v>1330</v>
      </c>
      <c r="E120" s="118">
        <v>1305</v>
      </c>
      <c r="G120" s="67"/>
      <c r="H120" s="67"/>
      <c r="I120" s="69"/>
      <c r="J120" s="67"/>
      <c r="K120" s="67"/>
      <c r="L120" s="67"/>
      <c r="M120" s="67"/>
      <c r="N120" s="67"/>
      <c r="O120" s="65"/>
      <c r="Q120" s="67"/>
    </row>
    <row r="121" spans="2:17" x14ac:dyDescent="0.35">
      <c r="B121" s="140">
        <v>44729</v>
      </c>
      <c r="C121" s="122">
        <v>1250</v>
      </c>
      <c r="D121" s="122">
        <v>1290</v>
      </c>
      <c r="E121" s="118">
        <v>1270</v>
      </c>
      <c r="G121" s="67"/>
      <c r="H121" s="67"/>
      <c r="I121" s="69"/>
      <c r="J121" s="67"/>
      <c r="K121" s="67"/>
      <c r="L121" s="67"/>
      <c r="M121" s="67"/>
      <c r="N121" s="67"/>
      <c r="O121" s="65"/>
      <c r="Q121" s="67"/>
    </row>
    <row r="122" spans="2:17" ht="15" thickBot="1" x14ac:dyDescent="0.4">
      <c r="B122" s="141">
        <v>44736</v>
      </c>
      <c r="C122" s="124">
        <v>1200</v>
      </c>
      <c r="D122" s="124">
        <v>1240</v>
      </c>
      <c r="E122" s="120">
        <v>1220</v>
      </c>
      <c r="G122" s="68"/>
      <c r="H122" s="68"/>
      <c r="I122" s="70"/>
      <c r="J122" s="68"/>
      <c r="K122" s="68"/>
      <c r="L122" s="68"/>
      <c r="M122" s="68"/>
      <c r="N122" s="68"/>
      <c r="O122" s="66"/>
      <c r="Q122" s="68"/>
    </row>
    <row r="123" spans="2:17" x14ac:dyDescent="0.35">
      <c r="B123" s="140">
        <v>44743</v>
      </c>
      <c r="C123" s="122">
        <v>1170</v>
      </c>
      <c r="D123" s="122">
        <v>1210</v>
      </c>
      <c r="E123" s="118">
        <v>1190</v>
      </c>
      <c r="G123" s="35">
        <f>AVERAGE(C123:C126)</f>
        <v>1130</v>
      </c>
      <c r="H123" s="35">
        <f>AVERAGE(D123:D126)</f>
        <v>1171.25</v>
      </c>
      <c r="I123" s="59">
        <f>AVERAGE(E123:E126)</f>
        <v>1150.625</v>
      </c>
      <c r="J123" s="62">
        <v>34.840000000000003</v>
      </c>
      <c r="K123" s="71">
        <v>350.95</v>
      </c>
      <c r="L123" s="62"/>
      <c r="M123" s="62"/>
      <c r="N123" s="62"/>
      <c r="O123" s="64"/>
      <c r="Q123" s="72">
        <f>I123+J123+K123+O123</f>
        <v>1536.415</v>
      </c>
    </row>
    <row r="124" spans="2:17" x14ac:dyDescent="0.35">
      <c r="B124" s="140">
        <v>44750</v>
      </c>
      <c r="C124" s="122">
        <v>1150</v>
      </c>
      <c r="D124" s="122">
        <v>1180</v>
      </c>
      <c r="E124" s="118">
        <v>1165</v>
      </c>
      <c r="G124" s="67"/>
      <c r="H124" s="67"/>
      <c r="I124" s="69"/>
      <c r="J124" s="67"/>
      <c r="K124" s="67"/>
      <c r="L124" s="67"/>
      <c r="M124" s="67"/>
      <c r="N124" s="67"/>
      <c r="O124" s="65"/>
      <c r="Q124" s="67"/>
    </row>
    <row r="125" spans="2:17" x14ac:dyDescent="0.35">
      <c r="B125" s="140">
        <v>44757</v>
      </c>
      <c r="C125" s="122">
        <v>1100</v>
      </c>
      <c r="D125" s="122">
        <v>1150</v>
      </c>
      <c r="E125" s="118">
        <v>1125</v>
      </c>
      <c r="G125" s="67"/>
      <c r="H125" s="67"/>
      <c r="I125" s="69"/>
      <c r="J125" s="67"/>
      <c r="K125" s="67"/>
      <c r="L125" s="67"/>
      <c r="M125" s="67"/>
      <c r="N125" s="67"/>
      <c r="O125" s="65"/>
      <c r="Q125" s="67"/>
    </row>
    <row r="126" spans="2:17" ht="15" thickBot="1" x14ac:dyDescent="0.4">
      <c r="B126" s="141">
        <v>44764</v>
      </c>
      <c r="C126" s="124">
        <v>1100</v>
      </c>
      <c r="D126" s="124">
        <v>1145</v>
      </c>
      <c r="E126" s="120">
        <v>1122.5</v>
      </c>
      <c r="G126" s="68"/>
      <c r="H126" s="68"/>
      <c r="I126" s="70"/>
      <c r="J126" s="68"/>
      <c r="K126" s="68"/>
      <c r="L126" s="68"/>
      <c r="M126" s="68"/>
      <c r="N126" s="68"/>
      <c r="O126" s="66"/>
      <c r="Q126" s="68"/>
    </row>
    <row r="127" spans="2:17" x14ac:dyDescent="0.35">
      <c r="B127" s="140" t="s">
        <v>174</v>
      </c>
      <c r="C127" s="122">
        <v>1105</v>
      </c>
      <c r="D127" s="122">
        <v>1150</v>
      </c>
      <c r="E127" s="118">
        <v>1127.5</v>
      </c>
      <c r="G127" s="35">
        <f>AVERAGE(C127:C130)</f>
        <v>1081.25</v>
      </c>
      <c r="H127" s="35">
        <f>AVERAGE(D127:D130)</f>
        <v>1132.5</v>
      </c>
      <c r="I127" s="59">
        <f>AVERAGE(E127:E130)</f>
        <v>1106.875</v>
      </c>
      <c r="J127" s="62">
        <v>34.840000000000003</v>
      </c>
      <c r="K127" s="71">
        <v>393.33333333333331</v>
      </c>
      <c r="L127" s="62"/>
      <c r="M127" s="62"/>
      <c r="N127" s="62"/>
      <c r="O127" s="64"/>
      <c r="Q127" s="72">
        <f>I127+J127+K127+O127</f>
        <v>1535.0483333333332</v>
      </c>
    </row>
    <row r="128" spans="2:17" x14ac:dyDescent="0.35">
      <c r="B128" s="140" t="s">
        <v>175</v>
      </c>
      <c r="C128" s="122">
        <v>1100</v>
      </c>
      <c r="D128" s="122">
        <v>1140</v>
      </c>
      <c r="E128" s="118">
        <v>1120</v>
      </c>
      <c r="G128" s="67"/>
      <c r="H128" s="67"/>
      <c r="I128" s="69"/>
      <c r="J128" s="67"/>
      <c r="K128" s="67"/>
      <c r="L128" s="67"/>
      <c r="M128" s="67"/>
      <c r="N128" s="67"/>
      <c r="O128" s="65"/>
      <c r="Q128" s="67"/>
    </row>
    <row r="129" spans="2:17" x14ac:dyDescent="0.35">
      <c r="B129" s="140" t="s">
        <v>176</v>
      </c>
      <c r="C129" s="122">
        <v>1060</v>
      </c>
      <c r="D129" s="122">
        <v>1130</v>
      </c>
      <c r="E129" s="118">
        <v>1095</v>
      </c>
      <c r="G129" s="67"/>
      <c r="H129" s="67"/>
      <c r="I129" s="69"/>
      <c r="J129" s="67"/>
      <c r="K129" s="67"/>
      <c r="L129" s="67"/>
      <c r="M129" s="67"/>
      <c r="N129" s="67"/>
      <c r="O129" s="65"/>
      <c r="Q129" s="67"/>
    </row>
    <row r="130" spans="2:17" ht="15" thickBot="1" x14ac:dyDescent="0.4">
      <c r="B130" s="140" t="s">
        <v>177</v>
      </c>
      <c r="C130" s="124">
        <v>1060</v>
      </c>
      <c r="D130" s="124">
        <v>1110</v>
      </c>
      <c r="E130" s="120">
        <v>1085</v>
      </c>
      <c r="G130" s="68"/>
      <c r="H130" s="68"/>
      <c r="I130" s="70"/>
      <c r="J130" s="68"/>
      <c r="K130" s="68"/>
      <c r="L130" s="68"/>
      <c r="M130" s="68"/>
      <c r="N130" s="68"/>
      <c r="O130" s="66"/>
      <c r="Q130" s="68"/>
    </row>
    <row r="131" spans="2:17" x14ac:dyDescent="0.35">
      <c r="B131" s="142">
        <v>44799</v>
      </c>
      <c r="C131" s="122">
        <v>1060</v>
      </c>
      <c r="D131" s="122">
        <v>1100</v>
      </c>
      <c r="E131" s="118">
        <v>1080</v>
      </c>
      <c r="G131" s="35">
        <f>AVERAGE(C131:C134)</f>
        <v>1047.5</v>
      </c>
      <c r="H131" s="35">
        <f>AVERAGE(D131:D134)</f>
        <v>1086.25</v>
      </c>
      <c r="I131" s="59">
        <f>AVERAGE(E131:E134)</f>
        <v>1066.875</v>
      </c>
      <c r="J131" s="62">
        <v>34.840000000000003</v>
      </c>
      <c r="K131" s="71">
        <v>393.33333333333331</v>
      </c>
      <c r="L131" s="62"/>
      <c r="M131" s="62"/>
      <c r="N131" s="62"/>
      <c r="O131" s="64"/>
      <c r="Q131" s="72">
        <f>I131+J131+K131+O131</f>
        <v>1495.0483333333332</v>
      </c>
    </row>
    <row r="132" spans="2:17" x14ac:dyDescent="0.35">
      <c r="B132" s="143">
        <v>44806</v>
      </c>
      <c r="C132" s="122">
        <v>1050</v>
      </c>
      <c r="D132" s="122">
        <v>1095</v>
      </c>
      <c r="E132" s="118">
        <v>1072.5</v>
      </c>
      <c r="G132" s="67"/>
      <c r="H132" s="67"/>
      <c r="I132" s="69"/>
      <c r="J132" s="67"/>
      <c r="K132" s="67"/>
      <c r="L132" s="67"/>
      <c r="M132" s="67"/>
      <c r="N132" s="67"/>
      <c r="O132" s="65"/>
      <c r="Q132" s="67"/>
    </row>
    <row r="133" spans="2:17" x14ac:dyDescent="0.35">
      <c r="B133" s="143">
        <v>44813</v>
      </c>
      <c r="C133" s="122">
        <v>1040</v>
      </c>
      <c r="D133" s="122">
        <v>1075</v>
      </c>
      <c r="E133" s="118">
        <v>1057.5</v>
      </c>
      <c r="G133" s="67"/>
      <c r="H133" s="67"/>
      <c r="I133" s="69"/>
      <c r="J133" s="67"/>
      <c r="K133" s="67"/>
      <c r="L133" s="67"/>
      <c r="M133" s="67"/>
      <c r="N133" s="67"/>
      <c r="O133" s="65"/>
      <c r="Q133" s="67"/>
    </row>
    <row r="134" spans="2:17" ht="15" thickBot="1" x14ac:dyDescent="0.4">
      <c r="B134" s="144">
        <v>44820</v>
      </c>
      <c r="C134" s="124">
        <v>1040</v>
      </c>
      <c r="D134" s="124">
        <v>1075</v>
      </c>
      <c r="E134" s="120">
        <v>1057.5</v>
      </c>
      <c r="G134" s="68"/>
      <c r="H134" s="68"/>
      <c r="I134" s="70"/>
      <c r="J134" s="68"/>
      <c r="K134" s="68"/>
      <c r="L134" s="68"/>
      <c r="M134" s="68"/>
      <c r="N134" s="68"/>
      <c r="O134" s="66"/>
      <c r="Q134" s="68"/>
    </row>
    <row r="135" spans="2:17" x14ac:dyDescent="0.35">
      <c r="B135" s="143">
        <v>44827</v>
      </c>
      <c r="C135" s="122">
        <v>1030</v>
      </c>
      <c r="D135" s="122">
        <v>1050</v>
      </c>
      <c r="E135" s="118">
        <v>1040</v>
      </c>
      <c r="G135" s="35">
        <f>AVERAGE(C135:C137)</f>
        <v>990</v>
      </c>
      <c r="H135" s="35">
        <f>AVERAGE(D135:D137)</f>
        <v>1023.3333333333334</v>
      </c>
      <c r="I135" s="59">
        <f>AVERAGE(E135:E137)</f>
        <v>1006.6666666666666</v>
      </c>
      <c r="J135" s="62">
        <v>34.840000000000003</v>
      </c>
      <c r="K135" s="71">
        <v>222.85714285714286</v>
      </c>
      <c r="L135" s="62"/>
      <c r="M135" s="62"/>
      <c r="N135" s="62"/>
      <c r="O135" s="64"/>
      <c r="Q135" s="72">
        <f>I135+J135+K135+O135</f>
        <v>1264.3638095238096</v>
      </c>
    </row>
    <row r="136" spans="2:17" x14ac:dyDescent="0.35">
      <c r="B136" s="143">
        <v>44834</v>
      </c>
      <c r="C136" s="122">
        <v>990</v>
      </c>
      <c r="D136" s="122">
        <v>1020</v>
      </c>
      <c r="E136" s="118">
        <v>1005</v>
      </c>
      <c r="G136" s="67"/>
      <c r="H136" s="67"/>
      <c r="I136" s="69"/>
      <c r="J136" s="67"/>
      <c r="K136" s="67"/>
      <c r="L136" s="67"/>
      <c r="M136" s="67"/>
      <c r="N136" s="67"/>
      <c r="O136" s="65"/>
      <c r="Q136" s="67"/>
    </row>
    <row r="137" spans="2:17" ht="15" thickBot="1" x14ac:dyDescent="0.4">
      <c r="B137" s="144">
        <v>44848</v>
      </c>
      <c r="C137" s="124">
        <v>950</v>
      </c>
      <c r="D137" s="124">
        <v>1000</v>
      </c>
      <c r="E137" s="120">
        <v>975</v>
      </c>
      <c r="G137" s="68"/>
      <c r="H137" s="68"/>
      <c r="I137" s="70"/>
      <c r="J137" s="68"/>
      <c r="K137" s="68"/>
      <c r="L137" s="68"/>
      <c r="M137" s="68"/>
      <c r="N137" s="68"/>
      <c r="O137" s="66"/>
      <c r="Q137" s="68"/>
    </row>
    <row r="138" spans="2:17" x14ac:dyDescent="0.35">
      <c r="B138" s="143">
        <v>44855</v>
      </c>
      <c r="C138" s="122">
        <v>930</v>
      </c>
      <c r="D138" s="122">
        <v>970</v>
      </c>
      <c r="E138" s="118">
        <v>950</v>
      </c>
      <c r="G138" s="35">
        <f>AVERAGE(C138:C143)</f>
        <v>886.66666666666663</v>
      </c>
      <c r="H138" s="35">
        <f>AVERAGE(D138:D143)</f>
        <v>931.66666666666663</v>
      </c>
      <c r="I138" s="59">
        <f>AVERAGE(E138:E143)</f>
        <v>909.16666666666663</v>
      </c>
      <c r="J138" s="62">
        <v>34.840000000000003</v>
      </c>
      <c r="K138" s="71">
        <v>222.85714285714286</v>
      </c>
      <c r="L138" s="62"/>
      <c r="M138" s="62"/>
      <c r="N138" s="62"/>
      <c r="O138" s="64"/>
      <c r="Q138" s="72">
        <f>I138+J138+K138+O138</f>
        <v>1166.8638095238096</v>
      </c>
    </row>
    <row r="139" spans="2:17" x14ac:dyDescent="0.35">
      <c r="B139" s="143">
        <v>44862</v>
      </c>
      <c r="C139" s="122">
        <v>895</v>
      </c>
      <c r="D139" s="122">
        <v>940</v>
      </c>
      <c r="E139" s="118">
        <v>917.5</v>
      </c>
      <c r="G139" s="41"/>
      <c r="H139" s="41"/>
      <c r="I139" s="77"/>
      <c r="J139" s="78"/>
      <c r="K139" s="79"/>
      <c r="L139" s="78"/>
      <c r="M139" s="78"/>
      <c r="N139" s="78"/>
      <c r="O139" s="65"/>
      <c r="Q139" s="80"/>
    </row>
    <row r="140" spans="2:17" x14ac:dyDescent="0.35">
      <c r="B140" s="143">
        <v>44869</v>
      </c>
      <c r="C140" s="122">
        <v>865</v>
      </c>
      <c r="D140" s="122">
        <v>910</v>
      </c>
      <c r="E140" s="118">
        <v>887.5</v>
      </c>
      <c r="G140" s="41"/>
      <c r="H140" s="41"/>
      <c r="I140" s="77"/>
      <c r="J140" s="78"/>
      <c r="K140" s="79"/>
      <c r="L140" s="78"/>
      <c r="M140" s="78"/>
      <c r="N140" s="78"/>
      <c r="O140" s="65"/>
      <c r="Q140" s="80"/>
    </row>
    <row r="141" spans="2:17" x14ac:dyDescent="0.35">
      <c r="B141" s="143">
        <v>44876</v>
      </c>
      <c r="C141" s="122">
        <v>870</v>
      </c>
      <c r="D141" s="122">
        <v>920</v>
      </c>
      <c r="E141" s="118">
        <v>895</v>
      </c>
      <c r="G141" s="41"/>
      <c r="H141" s="41"/>
      <c r="I141" s="77"/>
      <c r="J141" s="78"/>
      <c r="K141" s="79"/>
      <c r="L141" s="78"/>
      <c r="M141" s="78"/>
      <c r="N141" s="78"/>
      <c r="O141" s="65"/>
      <c r="Q141" s="80"/>
    </row>
    <row r="142" spans="2:17" x14ac:dyDescent="0.35">
      <c r="B142" s="143">
        <v>44883</v>
      </c>
      <c r="C142" s="122">
        <v>885</v>
      </c>
      <c r="D142" s="122">
        <v>930</v>
      </c>
      <c r="E142" s="118">
        <v>907.5</v>
      </c>
      <c r="G142" s="67"/>
      <c r="H142" s="67"/>
      <c r="I142" s="69"/>
      <c r="J142" s="67"/>
      <c r="K142" s="67"/>
      <c r="L142" s="67"/>
      <c r="M142" s="67"/>
      <c r="N142" s="67"/>
      <c r="O142" s="65"/>
      <c r="Q142" s="67"/>
    </row>
    <row r="143" spans="2:17" ht="15" thickBot="1" x14ac:dyDescent="0.4">
      <c r="B143" s="143">
        <v>44890</v>
      </c>
      <c r="C143" s="122">
        <v>875</v>
      </c>
      <c r="D143" s="122">
        <v>920</v>
      </c>
      <c r="E143" s="118">
        <v>897.5</v>
      </c>
      <c r="G143" s="67"/>
      <c r="H143" s="67"/>
      <c r="I143" s="70"/>
      <c r="J143" s="67"/>
      <c r="K143" s="67"/>
      <c r="L143" s="67"/>
      <c r="M143" s="67"/>
      <c r="N143" s="67"/>
      <c r="O143" s="65"/>
      <c r="Q143" s="67"/>
    </row>
    <row r="144" spans="2:17" x14ac:dyDescent="0.35">
      <c r="B144" s="143">
        <v>44897</v>
      </c>
      <c r="C144" s="122">
        <v>880</v>
      </c>
      <c r="D144" s="122">
        <v>897.5</v>
      </c>
      <c r="E144" s="118">
        <v>977.5</v>
      </c>
      <c r="G144" s="35">
        <f>AVERAGE(C144:C147)</f>
        <v>877.5</v>
      </c>
      <c r="H144" s="35">
        <f>AVERAGE(D144:D147)</f>
        <v>894.375</v>
      </c>
      <c r="I144" s="69">
        <f>AVERAGE(E144:E147)</f>
        <v>986.25</v>
      </c>
      <c r="J144" s="62">
        <v>34.840000000000003</v>
      </c>
      <c r="K144" s="71">
        <v>130</v>
      </c>
      <c r="L144" s="62"/>
      <c r="M144" s="62"/>
      <c r="N144" s="62"/>
      <c r="O144" s="64"/>
      <c r="Q144" s="72">
        <f>I144+J144+K144+O144</f>
        <v>1151.0900000000001</v>
      </c>
    </row>
    <row r="145" spans="2:17" x14ac:dyDescent="0.35">
      <c r="B145" s="143">
        <v>44904</v>
      </c>
      <c r="C145" s="122">
        <v>870</v>
      </c>
      <c r="D145" s="122">
        <v>885</v>
      </c>
      <c r="E145" s="118">
        <v>982.5</v>
      </c>
      <c r="G145" s="67"/>
      <c r="H145" s="67"/>
      <c r="I145" s="69"/>
      <c r="J145" s="67"/>
      <c r="K145" s="67"/>
      <c r="L145" s="67"/>
      <c r="M145" s="67"/>
      <c r="N145" s="67"/>
      <c r="O145" s="65"/>
      <c r="Q145" s="67"/>
    </row>
    <row r="146" spans="2:17" x14ac:dyDescent="0.35">
      <c r="B146" s="143">
        <v>44911</v>
      </c>
      <c r="C146" s="122">
        <v>880</v>
      </c>
      <c r="D146" s="122">
        <v>895</v>
      </c>
      <c r="E146" s="118">
        <v>990</v>
      </c>
      <c r="G146" s="67"/>
      <c r="H146" s="67"/>
      <c r="I146" s="69"/>
      <c r="J146" s="67"/>
      <c r="K146" s="67"/>
      <c r="L146" s="67"/>
      <c r="M146" s="67"/>
      <c r="N146" s="67"/>
      <c r="O146" s="65"/>
      <c r="Q146" s="67"/>
    </row>
    <row r="147" spans="2:17" ht="15" thickBot="1" x14ac:dyDescent="0.4">
      <c r="B147" s="144">
        <v>44918</v>
      </c>
      <c r="C147" s="124">
        <v>880</v>
      </c>
      <c r="D147" s="124">
        <v>900</v>
      </c>
      <c r="E147" s="120">
        <v>995</v>
      </c>
      <c r="G147" s="68"/>
      <c r="H147" s="68"/>
      <c r="I147" s="70"/>
      <c r="J147" s="68"/>
      <c r="K147" s="68"/>
      <c r="L147" s="68"/>
      <c r="M147" s="68"/>
      <c r="N147" s="68"/>
      <c r="O147" s="66"/>
      <c r="Q147" s="68"/>
    </row>
    <row r="148" spans="2:17" x14ac:dyDescent="0.35">
      <c r="B148" s="143">
        <v>44932</v>
      </c>
      <c r="C148" s="122">
        <v>900</v>
      </c>
      <c r="D148" s="122">
        <v>930</v>
      </c>
      <c r="E148" s="118">
        <v>915</v>
      </c>
      <c r="G148" s="81">
        <f>AVERAGE(C148:C150)</f>
        <v>928.33333333333337</v>
      </c>
      <c r="H148" s="81">
        <f>AVERAGE(D148:D150)</f>
        <v>958.33333333333337</v>
      </c>
      <c r="I148" s="82">
        <f>AVERAGE(E148:E150)</f>
        <v>943.33333333333337</v>
      </c>
      <c r="J148" s="62">
        <v>34.840000000000003</v>
      </c>
      <c r="K148" s="71">
        <v>130</v>
      </c>
      <c r="L148" s="62"/>
      <c r="M148" s="62"/>
      <c r="N148" s="62"/>
      <c r="O148" s="65"/>
      <c r="Q148" s="72">
        <f>I148+J148+K148+O148</f>
        <v>1108.1733333333334</v>
      </c>
    </row>
    <row r="149" spans="2:17" x14ac:dyDescent="0.35">
      <c r="B149" s="143">
        <v>44939</v>
      </c>
      <c r="C149" s="122">
        <v>930</v>
      </c>
      <c r="D149" s="122">
        <v>950</v>
      </c>
      <c r="E149" s="118">
        <v>940</v>
      </c>
      <c r="G149" s="67"/>
      <c r="H149" s="67"/>
      <c r="I149" s="69"/>
      <c r="J149" s="67"/>
      <c r="K149" s="67"/>
      <c r="L149" s="67"/>
      <c r="M149" s="67"/>
      <c r="N149" s="67"/>
      <c r="O149" s="65"/>
      <c r="Q149" s="67"/>
    </row>
    <row r="150" spans="2:17" ht="15" thickBot="1" x14ac:dyDescent="0.4">
      <c r="B150" s="144">
        <v>44946</v>
      </c>
      <c r="C150" s="124">
        <v>955</v>
      </c>
      <c r="D150" s="124">
        <v>995</v>
      </c>
      <c r="E150" s="120">
        <v>975</v>
      </c>
      <c r="G150" s="68"/>
      <c r="H150" s="68"/>
      <c r="I150" s="70"/>
      <c r="J150" s="68"/>
      <c r="K150" s="68"/>
      <c r="L150" s="68"/>
      <c r="M150" s="68"/>
      <c r="N150" s="68"/>
      <c r="O150" s="66"/>
      <c r="Q150" s="68"/>
    </row>
    <row r="151" spans="2:17" x14ac:dyDescent="0.35">
      <c r="B151" s="143">
        <v>44960</v>
      </c>
      <c r="C151" s="122">
        <v>970</v>
      </c>
      <c r="D151" s="122">
        <v>1030</v>
      </c>
      <c r="E151" s="118">
        <v>1000</v>
      </c>
      <c r="G151" s="81">
        <f>AVERAGE(C151:C153)</f>
        <v>960</v>
      </c>
      <c r="H151" s="81">
        <f>AVERAGE(D151:D153)</f>
        <v>1010</v>
      </c>
      <c r="I151" s="82">
        <f>AVERAGE(E151:E153)</f>
        <v>985</v>
      </c>
      <c r="J151" s="62">
        <v>34.840000000000003</v>
      </c>
      <c r="K151" s="71">
        <v>125</v>
      </c>
      <c r="L151" s="62"/>
      <c r="M151" s="62"/>
      <c r="N151" s="62"/>
      <c r="O151" s="65"/>
      <c r="Q151" s="72">
        <f>I151+J151+K151+O151</f>
        <v>1144.8400000000001</v>
      </c>
    </row>
    <row r="152" spans="2:17" x14ac:dyDescent="0.35">
      <c r="B152" s="143">
        <v>44967</v>
      </c>
      <c r="C152" s="122">
        <v>960</v>
      </c>
      <c r="D152" s="122">
        <v>1000</v>
      </c>
      <c r="E152" s="118">
        <v>980</v>
      </c>
      <c r="G152" s="67"/>
      <c r="H152" s="67"/>
      <c r="I152" s="69"/>
      <c r="J152" s="67"/>
      <c r="K152" s="67"/>
      <c r="L152" s="67"/>
      <c r="M152" s="67"/>
      <c r="N152" s="67"/>
      <c r="O152" s="65"/>
      <c r="Q152" s="67"/>
    </row>
    <row r="153" spans="2:17" ht="15" thickBot="1" x14ac:dyDescent="0.4">
      <c r="B153" s="143">
        <v>44974</v>
      </c>
      <c r="C153" s="124">
        <v>950</v>
      </c>
      <c r="D153" s="124">
        <v>1000</v>
      </c>
      <c r="E153" s="120">
        <v>975</v>
      </c>
      <c r="G153" s="68"/>
      <c r="H153" s="68"/>
      <c r="I153" s="70"/>
      <c r="J153" s="68"/>
      <c r="K153" s="68"/>
      <c r="L153" s="68"/>
      <c r="M153" s="68"/>
      <c r="N153" s="68"/>
      <c r="O153" s="66"/>
      <c r="Q153" s="68"/>
    </row>
    <row r="154" spans="2:17" x14ac:dyDescent="0.35">
      <c r="B154" s="142">
        <v>44981</v>
      </c>
      <c r="C154" s="84">
        <v>950</v>
      </c>
      <c r="D154" s="85">
        <v>985</v>
      </c>
      <c r="E154" s="86">
        <v>967.5</v>
      </c>
      <c r="G154" s="93">
        <f>AVERAGE(C154:C158)</f>
        <v>961</v>
      </c>
      <c r="H154" s="93">
        <f>AVERAGE(D154:D158)</f>
        <v>997</v>
      </c>
      <c r="I154" s="94">
        <f>AVERAGE(E154:E158)</f>
        <v>979</v>
      </c>
      <c r="J154" s="62">
        <v>34.840000000000003</v>
      </c>
      <c r="K154" s="95">
        <v>125</v>
      </c>
      <c r="L154" s="62"/>
      <c r="M154" s="62"/>
      <c r="N154" s="62"/>
      <c r="O154" s="95">
        <v>127</v>
      </c>
      <c r="Q154" s="72">
        <f>I154+J154+K154+O154</f>
        <v>1265.8400000000001</v>
      </c>
    </row>
    <row r="155" spans="2:17" x14ac:dyDescent="0.35">
      <c r="B155" s="143">
        <v>44988</v>
      </c>
      <c r="C155" s="87">
        <v>960</v>
      </c>
      <c r="D155" s="88">
        <v>985</v>
      </c>
      <c r="E155" s="89">
        <v>972.5</v>
      </c>
      <c r="G155" s="67"/>
      <c r="H155" s="67"/>
      <c r="I155" s="69"/>
      <c r="J155" s="67"/>
      <c r="K155" s="67"/>
      <c r="L155" s="67"/>
      <c r="M155" s="67"/>
      <c r="N155" s="67"/>
      <c r="O155" s="67"/>
      <c r="Q155" s="67"/>
    </row>
    <row r="156" spans="2:17" x14ac:dyDescent="0.35">
      <c r="B156" s="143">
        <v>44995</v>
      </c>
      <c r="C156" s="87">
        <v>960</v>
      </c>
      <c r="D156" s="88">
        <v>1000</v>
      </c>
      <c r="E156" s="89">
        <v>980</v>
      </c>
      <c r="G156" s="67"/>
      <c r="H156" s="67"/>
      <c r="I156" s="69"/>
      <c r="J156" s="67"/>
      <c r="K156" s="67"/>
      <c r="L156" s="67"/>
      <c r="M156" s="67"/>
      <c r="N156" s="67"/>
      <c r="O156" s="67"/>
      <c r="Q156" s="67"/>
    </row>
    <row r="157" spans="2:17" x14ac:dyDescent="0.35">
      <c r="B157" s="143">
        <v>45002</v>
      </c>
      <c r="C157" s="87">
        <v>955</v>
      </c>
      <c r="D157" s="88">
        <v>995</v>
      </c>
      <c r="E157" s="89">
        <v>975</v>
      </c>
      <c r="G157" s="67"/>
      <c r="H157" s="67"/>
      <c r="I157" s="69"/>
      <c r="J157" s="67"/>
      <c r="K157" s="67"/>
      <c r="L157" s="67"/>
      <c r="M157" s="67"/>
      <c r="N157" s="67"/>
      <c r="O157" s="67"/>
      <c r="Q157" s="67"/>
    </row>
    <row r="158" spans="2:17" ht="15" thickBot="1" x14ac:dyDescent="0.4">
      <c r="B158" s="144">
        <v>45009</v>
      </c>
      <c r="C158" s="90">
        <v>980</v>
      </c>
      <c r="D158" s="91">
        <v>1020</v>
      </c>
      <c r="E158" s="92">
        <v>1000</v>
      </c>
      <c r="G158" s="68"/>
      <c r="H158" s="68"/>
      <c r="I158" s="70"/>
      <c r="J158" s="68"/>
      <c r="K158" s="68"/>
      <c r="L158" s="68"/>
      <c r="M158" s="68"/>
      <c r="N158" s="68"/>
      <c r="O158" s="68"/>
      <c r="Q158" s="68"/>
    </row>
    <row r="159" spans="2:17" x14ac:dyDescent="0.35">
      <c r="B159" s="142">
        <v>45016</v>
      </c>
      <c r="C159" s="84">
        <v>1010</v>
      </c>
      <c r="D159" s="85">
        <v>1040</v>
      </c>
      <c r="E159" s="86">
        <v>1025</v>
      </c>
      <c r="G159" s="93">
        <f>AVERAGE(C159:C162)</f>
        <v>1017.5</v>
      </c>
      <c r="H159" s="93">
        <f>AVERAGE(D159:D162)</f>
        <v>1043.75</v>
      </c>
      <c r="I159" s="96">
        <f>AVERAGE(E159:E162)</f>
        <v>1030.625</v>
      </c>
      <c r="J159" s="62">
        <v>34.840000000000003</v>
      </c>
      <c r="K159" s="95">
        <v>125</v>
      </c>
      <c r="L159" s="62"/>
      <c r="M159" s="62"/>
      <c r="N159" s="62"/>
      <c r="O159" s="95"/>
      <c r="Q159" s="72">
        <f>I159+J159+K159+O159</f>
        <v>1190.4649999999999</v>
      </c>
    </row>
    <row r="160" spans="2:17" x14ac:dyDescent="0.35">
      <c r="B160" s="143">
        <v>45023</v>
      </c>
      <c r="C160" s="87">
        <v>1030</v>
      </c>
      <c r="D160" s="88">
        <v>1060</v>
      </c>
      <c r="E160" s="89">
        <v>1045</v>
      </c>
      <c r="G160" s="67"/>
      <c r="H160" s="67"/>
      <c r="I160" s="69"/>
      <c r="J160" s="67"/>
      <c r="K160" s="67"/>
      <c r="L160" s="67"/>
      <c r="M160" s="67"/>
      <c r="N160" s="67"/>
      <c r="O160" s="67"/>
      <c r="Q160" s="67"/>
    </row>
    <row r="161" spans="2:17" x14ac:dyDescent="0.35">
      <c r="B161" s="143">
        <v>45030</v>
      </c>
      <c r="C161" s="87">
        <v>1020</v>
      </c>
      <c r="D161" s="88">
        <v>1040</v>
      </c>
      <c r="E161" s="89">
        <v>1030</v>
      </c>
      <c r="G161" s="67"/>
      <c r="H161" s="67"/>
      <c r="I161" s="69"/>
      <c r="J161" s="67"/>
      <c r="K161" s="67"/>
      <c r="L161" s="67"/>
      <c r="M161" s="67"/>
      <c r="N161" s="67"/>
      <c r="O161" s="67"/>
      <c r="Q161" s="67"/>
    </row>
    <row r="162" spans="2:17" ht="15" thickBot="1" x14ac:dyDescent="0.4">
      <c r="B162" s="144">
        <v>45037</v>
      </c>
      <c r="C162" s="90">
        <v>1010</v>
      </c>
      <c r="D162" s="91">
        <v>1035</v>
      </c>
      <c r="E162" s="92">
        <v>1022.5</v>
      </c>
      <c r="G162" s="68"/>
      <c r="H162" s="68"/>
      <c r="I162" s="70"/>
      <c r="J162" s="68"/>
      <c r="K162" s="68"/>
      <c r="L162" s="68"/>
      <c r="M162" s="68"/>
      <c r="N162" s="68"/>
      <c r="O162" s="68"/>
      <c r="Q162" s="68"/>
    </row>
    <row r="163" spans="2:17" x14ac:dyDescent="0.35">
      <c r="B163" s="142">
        <v>45044</v>
      </c>
      <c r="C163" s="84">
        <v>985</v>
      </c>
      <c r="D163" s="85">
        <v>1020</v>
      </c>
      <c r="E163" s="86">
        <v>1002.5</v>
      </c>
      <c r="G163" s="93">
        <f>AVERAGE(C163:C167)</f>
        <v>942</v>
      </c>
      <c r="H163" s="93">
        <f>AVERAGE(D163:D167)</f>
        <v>976</v>
      </c>
      <c r="I163" s="96">
        <f>AVERAGE(E163:E167)</f>
        <v>959</v>
      </c>
      <c r="J163" s="62">
        <v>34.840000000000003</v>
      </c>
      <c r="K163" s="95">
        <v>125</v>
      </c>
      <c r="L163" s="62"/>
      <c r="M163" s="62"/>
      <c r="N163" s="62"/>
      <c r="O163" s="95"/>
      <c r="Q163" s="72">
        <f>I163+J163+K163+O163</f>
        <v>1118.8400000000001</v>
      </c>
    </row>
    <row r="164" spans="2:17" x14ac:dyDescent="0.35">
      <c r="B164" s="143">
        <v>45051</v>
      </c>
      <c r="C164" s="87">
        <v>950</v>
      </c>
      <c r="D164" s="88">
        <v>1000</v>
      </c>
      <c r="E164" s="89">
        <v>975</v>
      </c>
      <c r="G164" s="67"/>
      <c r="H164" s="67"/>
      <c r="I164" s="69"/>
      <c r="J164" s="67"/>
      <c r="K164" s="67"/>
      <c r="L164" s="67"/>
      <c r="M164" s="67"/>
      <c r="N164" s="67"/>
      <c r="O164" s="67"/>
      <c r="Q164" s="67"/>
    </row>
    <row r="165" spans="2:17" x14ac:dyDescent="0.35">
      <c r="B165" s="143">
        <v>45058</v>
      </c>
      <c r="C165" s="87">
        <v>940</v>
      </c>
      <c r="D165" s="88">
        <v>970</v>
      </c>
      <c r="E165" s="89">
        <v>955</v>
      </c>
      <c r="G165" s="67"/>
      <c r="H165" s="67"/>
      <c r="I165" s="69"/>
      <c r="J165" s="67"/>
      <c r="K165" s="67"/>
      <c r="L165" s="67"/>
      <c r="M165" s="67"/>
      <c r="N165" s="67"/>
      <c r="O165" s="67"/>
      <c r="Q165" s="67"/>
    </row>
    <row r="166" spans="2:17" x14ac:dyDescent="0.35">
      <c r="B166" s="143">
        <v>45065</v>
      </c>
      <c r="C166" s="87">
        <v>925</v>
      </c>
      <c r="D166" s="88">
        <v>950</v>
      </c>
      <c r="E166" s="89">
        <v>937.5</v>
      </c>
      <c r="G166" s="67"/>
      <c r="H166" s="67"/>
      <c r="I166" s="69"/>
      <c r="J166" s="67"/>
      <c r="K166" s="67"/>
      <c r="L166" s="67"/>
      <c r="M166" s="67"/>
      <c r="N166" s="67"/>
      <c r="O166" s="67"/>
      <c r="Q166" s="67"/>
    </row>
    <row r="167" spans="2:17" ht="15" thickBot="1" x14ac:dyDescent="0.4">
      <c r="B167" s="144" t="s">
        <v>192</v>
      </c>
      <c r="C167" s="90">
        <v>910</v>
      </c>
      <c r="D167" s="91">
        <v>940</v>
      </c>
      <c r="E167" s="92">
        <v>925</v>
      </c>
      <c r="G167" s="68"/>
      <c r="H167" s="68"/>
      <c r="I167" s="70"/>
      <c r="J167" s="68"/>
      <c r="K167" s="68"/>
      <c r="L167" s="68"/>
      <c r="M167" s="68"/>
      <c r="N167" s="68"/>
      <c r="O167" s="68"/>
      <c r="Q167" s="68"/>
    </row>
    <row r="168" spans="2:17" x14ac:dyDescent="0.35">
      <c r="B168" s="143" t="s">
        <v>194</v>
      </c>
      <c r="C168" s="87">
        <v>895</v>
      </c>
      <c r="D168" s="88">
        <v>925</v>
      </c>
      <c r="E168" s="89">
        <v>910</v>
      </c>
      <c r="G168" s="93">
        <f>AVERAGE(C168:C171)</f>
        <v>883.75</v>
      </c>
      <c r="H168" s="93">
        <f>AVERAGE(D168:D171)</f>
        <v>913.75</v>
      </c>
      <c r="I168" s="100">
        <f>AVERAGE(E155:E159)</f>
        <v>990.5</v>
      </c>
      <c r="J168" s="62">
        <v>34.840000000000003</v>
      </c>
      <c r="K168" s="67">
        <v>160</v>
      </c>
      <c r="L168" s="78">
        <v>30</v>
      </c>
      <c r="M168" s="101">
        <f>SUM(I168:L168)*(3.8%+N168)/365*180</f>
        <v>55.083710552547942</v>
      </c>
      <c r="N168" s="98">
        <v>5.39064E-2</v>
      </c>
      <c r="O168" s="67"/>
      <c r="Q168" s="62">
        <f>I168+J168+K168+O168+L168+M168</f>
        <v>1270.4237105525478</v>
      </c>
    </row>
    <row r="169" spans="2:17" x14ac:dyDescent="0.35">
      <c r="B169" s="143" t="s">
        <v>195</v>
      </c>
      <c r="C169" s="87">
        <v>890</v>
      </c>
      <c r="D169" s="88">
        <v>920</v>
      </c>
      <c r="E169" s="89">
        <v>905</v>
      </c>
      <c r="G169" s="67"/>
      <c r="H169" s="67"/>
      <c r="I169" s="69"/>
      <c r="J169" s="67"/>
      <c r="K169" s="67"/>
      <c r="L169" s="67"/>
      <c r="M169" s="67"/>
      <c r="N169" s="67"/>
      <c r="O169" s="67"/>
      <c r="Q169" s="67"/>
    </row>
    <row r="170" spans="2:17" x14ac:dyDescent="0.35">
      <c r="B170" s="143" t="s">
        <v>196</v>
      </c>
      <c r="C170" s="87">
        <v>880</v>
      </c>
      <c r="D170" s="88">
        <v>910</v>
      </c>
      <c r="E170" s="89">
        <v>895</v>
      </c>
      <c r="G170" s="67"/>
      <c r="H170" s="67"/>
      <c r="I170" s="69"/>
      <c r="J170" s="67"/>
      <c r="K170" s="67"/>
      <c r="L170" s="67"/>
      <c r="M170" s="67"/>
      <c r="N170" s="67"/>
      <c r="O170" s="67"/>
      <c r="Q170" s="67"/>
    </row>
    <row r="171" spans="2:17" ht="15" thickBot="1" x14ac:dyDescent="0.4">
      <c r="B171" s="144" t="s">
        <v>197</v>
      </c>
      <c r="C171" s="90">
        <v>870</v>
      </c>
      <c r="D171" s="91">
        <v>900</v>
      </c>
      <c r="E171" s="92">
        <v>885</v>
      </c>
      <c r="G171" s="68"/>
      <c r="H171" s="68"/>
      <c r="I171" s="70"/>
      <c r="J171" s="68"/>
      <c r="K171" s="68"/>
      <c r="L171" s="68"/>
      <c r="M171" s="68"/>
      <c r="N171" s="68"/>
      <c r="O171" s="68"/>
      <c r="Q171" s="68"/>
    </row>
    <row r="172" spans="2:17" ht="15" thickBot="1" x14ac:dyDescent="0.4">
      <c r="B172" s="143" t="s">
        <v>204</v>
      </c>
      <c r="C172" s="104">
        <v>860</v>
      </c>
      <c r="D172" s="105">
        <v>880</v>
      </c>
      <c r="E172" s="106">
        <v>870</v>
      </c>
      <c r="G172" s="67"/>
      <c r="H172" s="67"/>
      <c r="I172" s="69"/>
      <c r="J172" s="67"/>
      <c r="K172" s="67"/>
      <c r="L172" s="67"/>
      <c r="M172" s="67"/>
      <c r="N172" s="67"/>
      <c r="O172" s="67"/>
      <c r="Q172" s="67"/>
    </row>
    <row r="173" spans="2:17" x14ac:dyDescent="0.35">
      <c r="B173" s="143" t="s">
        <v>206</v>
      </c>
      <c r="C173" s="125">
        <v>860</v>
      </c>
      <c r="D173" s="125">
        <v>880</v>
      </c>
      <c r="E173" s="125">
        <v>870</v>
      </c>
      <c r="G173" s="93">
        <f>AVERAGE(C173:C176)</f>
        <v>877.5</v>
      </c>
      <c r="H173" s="93">
        <f>AVERAGE(D173:D176)</f>
        <v>902.5</v>
      </c>
      <c r="I173" s="100">
        <f>AVERAGE(E160:E163)</f>
        <v>1025</v>
      </c>
      <c r="J173" s="62">
        <v>34.840000000000003</v>
      </c>
      <c r="K173" s="67">
        <v>157</v>
      </c>
      <c r="L173" s="78">
        <v>30</v>
      </c>
      <c r="M173" s="78">
        <f>SUM(I173:L173)*(3.8%+N173)/365*180</f>
        <v>56.893801104000005</v>
      </c>
      <c r="N173" s="98">
        <v>5.4528300000000002E-2</v>
      </c>
      <c r="O173" s="67"/>
      <c r="Q173" s="62">
        <f>ROUND(I173+J173+K173+O173+L173+M173,1)</f>
        <v>1303.7</v>
      </c>
    </row>
    <row r="174" spans="2:17" x14ac:dyDescent="0.35">
      <c r="B174" s="143" t="s">
        <v>207</v>
      </c>
      <c r="C174" s="125">
        <v>870</v>
      </c>
      <c r="D174" s="125">
        <v>900</v>
      </c>
      <c r="E174" s="125">
        <v>885</v>
      </c>
      <c r="G174" s="67"/>
      <c r="H174" s="67"/>
      <c r="I174" s="69"/>
      <c r="J174" s="67"/>
      <c r="K174" s="67"/>
      <c r="L174" s="67"/>
      <c r="M174" s="67"/>
      <c r="N174" s="67"/>
      <c r="O174" s="67"/>
      <c r="Q174" s="67"/>
    </row>
    <row r="175" spans="2:17" x14ac:dyDescent="0.35">
      <c r="B175" s="143" t="s">
        <v>208</v>
      </c>
      <c r="C175" s="125">
        <v>890</v>
      </c>
      <c r="D175" s="125">
        <v>910</v>
      </c>
      <c r="E175" s="125">
        <v>900</v>
      </c>
      <c r="G175" s="67"/>
      <c r="H175" s="67"/>
      <c r="I175" s="69"/>
      <c r="J175" s="67"/>
      <c r="K175" s="67"/>
      <c r="L175" s="67"/>
      <c r="M175" s="67"/>
      <c r="N175" s="67"/>
      <c r="O175" s="67"/>
      <c r="Q175" s="67"/>
    </row>
    <row r="176" spans="2:17" ht="15" thickBot="1" x14ac:dyDescent="0.4">
      <c r="B176" s="143" t="s">
        <v>209</v>
      </c>
      <c r="C176" s="125">
        <v>890</v>
      </c>
      <c r="D176" s="125">
        <v>920</v>
      </c>
      <c r="E176" s="125">
        <v>905</v>
      </c>
      <c r="G176" s="68"/>
      <c r="H176" s="68"/>
      <c r="I176" s="70"/>
      <c r="J176" s="68"/>
      <c r="K176" s="68"/>
      <c r="L176" s="68"/>
      <c r="M176" s="68"/>
      <c r="N176" s="68"/>
      <c r="O176" s="68"/>
      <c r="Q176" s="68"/>
    </row>
    <row r="177" spans="2:17" x14ac:dyDescent="0.35">
      <c r="B177" s="143" t="s">
        <v>210</v>
      </c>
      <c r="C177" s="125">
        <v>885</v>
      </c>
      <c r="D177" s="125">
        <v>920</v>
      </c>
      <c r="E177" s="125">
        <v>902.5</v>
      </c>
      <c r="G177" s="95"/>
      <c r="H177" s="93"/>
      <c r="I177" s="100">
        <f>AVERAGE(E164:E167)</f>
        <v>948.125</v>
      </c>
      <c r="J177" s="62">
        <v>34.840000000000003</v>
      </c>
      <c r="K177" s="95">
        <v>150</v>
      </c>
      <c r="L177" s="62">
        <v>30</v>
      </c>
      <c r="M177" s="62">
        <f>SUM(I177:L177)*(3.8%+N177)/365*180</f>
        <v>53.149597023205494</v>
      </c>
      <c r="N177" s="102">
        <v>5.4673100000000002E-2</v>
      </c>
      <c r="O177" s="95"/>
      <c r="Q177" s="62">
        <f>ROUND(I177+J177+K177+O177+L177+M177,1)</f>
        <v>1216.0999999999999</v>
      </c>
    </row>
    <row r="178" spans="2:17" x14ac:dyDescent="0.35">
      <c r="B178" s="143" t="s">
        <v>211</v>
      </c>
      <c r="C178" s="125">
        <v>880</v>
      </c>
      <c r="D178" s="125">
        <v>920</v>
      </c>
      <c r="E178" s="125">
        <v>900</v>
      </c>
      <c r="G178" s="67"/>
      <c r="H178" s="67"/>
      <c r="I178" s="69"/>
      <c r="J178" s="67"/>
      <c r="K178" s="67"/>
      <c r="L178" s="67"/>
      <c r="M178" s="67"/>
      <c r="N178" s="67"/>
      <c r="O178" s="67"/>
      <c r="Q178" s="67"/>
    </row>
    <row r="179" spans="2:17" x14ac:dyDescent="0.35">
      <c r="B179" s="143" t="s">
        <v>212</v>
      </c>
      <c r="C179" s="125">
        <v>860</v>
      </c>
      <c r="D179" s="125">
        <v>900</v>
      </c>
      <c r="E179" s="125">
        <v>880</v>
      </c>
      <c r="G179" s="67"/>
      <c r="H179" s="67"/>
      <c r="I179" s="69"/>
      <c r="J179" s="67"/>
      <c r="K179" s="67"/>
      <c r="L179" s="67"/>
      <c r="M179" s="67"/>
      <c r="N179" s="67"/>
      <c r="O179" s="67"/>
      <c r="Q179" s="67"/>
    </row>
    <row r="180" spans="2:17" ht="15" thickBot="1" x14ac:dyDescent="0.4">
      <c r="B180" s="143" t="s">
        <v>213</v>
      </c>
      <c r="C180" s="125">
        <v>870</v>
      </c>
      <c r="D180" s="125">
        <v>900</v>
      </c>
      <c r="E180" s="125">
        <v>885</v>
      </c>
      <c r="G180" s="68"/>
      <c r="H180" s="68"/>
      <c r="I180" s="70"/>
      <c r="J180" s="68"/>
      <c r="K180" s="68"/>
      <c r="L180" s="68"/>
      <c r="M180" s="68"/>
      <c r="N180" s="68"/>
      <c r="O180" s="68"/>
      <c r="Q180" s="68"/>
    </row>
    <row r="181" spans="2:17" x14ac:dyDescent="0.35">
      <c r="B181" s="143" t="s">
        <v>217</v>
      </c>
      <c r="C181" s="125">
        <v>870</v>
      </c>
      <c r="D181" s="125">
        <v>900</v>
      </c>
      <c r="E181" s="125">
        <v>885</v>
      </c>
      <c r="G181" s="95"/>
      <c r="H181" s="93"/>
      <c r="I181" s="100">
        <f>AVERAGE(E168:E172)</f>
        <v>893</v>
      </c>
      <c r="J181" s="62">
        <v>34.840000000000003</v>
      </c>
      <c r="K181" s="95">
        <v>150</v>
      </c>
      <c r="L181" s="62">
        <v>30</v>
      </c>
      <c r="M181" s="62">
        <f>SUM(I181:L181)*(3.8%+N181)/365*180</f>
        <v>50.630066614356167</v>
      </c>
      <c r="N181" s="102">
        <v>5.4672699999999998E-2</v>
      </c>
      <c r="O181" s="95"/>
      <c r="Q181" s="62">
        <f>ROUND(I181+J181+K181+O181+L181+M181,1)</f>
        <v>1158.5</v>
      </c>
    </row>
    <row r="182" spans="2:17" x14ac:dyDescent="0.35">
      <c r="B182" s="143" t="s">
        <v>218</v>
      </c>
      <c r="C182" s="125">
        <v>875</v>
      </c>
      <c r="D182" s="125">
        <v>905</v>
      </c>
      <c r="E182" s="125">
        <v>890</v>
      </c>
      <c r="G182" s="67"/>
      <c r="H182" s="67"/>
      <c r="I182" s="69"/>
      <c r="J182" s="67"/>
      <c r="K182" s="67"/>
      <c r="L182" s="67"/>
      <c r="M182" s="67"/>
      <c r="N182" s="67"/>
      <c r="O182" s="67"/>
      <c r="Q182" s="67"/>
    </row>
    <row r="183" spans="2:17" x14ac:dyDescent="0.35">
      <c r="B183" s="143" t="s">
        <v>219</v>
      </c>
      <c r="C183" s="125">
        <v>895</v>
      </c>
      <c r="D183" s="125">
        <v>920</v>
      </c>
      <c r="E183" s="125">
        <v>907.5</v>
      </c>
      <c r="G183" s="67"/>
      <c r="H183" s="67"/>
      <c r="I183" s="69"/>
      <c r="J183" s="67"/>
      <c r="K183" s="67"/>
      <c r="L183" s="67"/>
      <c r="M183" s="67"/>
      <c r="N183" s="67"/>
      <c r="O183" s="67"/>
      <c r="Q183" s="67"/>
    </row>
    <row r="184" spans="2:17" ht="15" thickBot="1" x14ac:dyDescent="0.4">
      <c r="B184" s="143" t="s">
        <v>220</v>
      </c>
      <c r="C184" s="125">
        <v>900</v>
      </c>
      <c r="D184" s="125">
        <v>930</v>
      </c>
      <c r="E184" s="125">
        <v>915</v>
      </c>
      <c r="G184" s="68"/>
      <c r="H184" s="68"/>
      <c r="I184" s="70"/>
      <c r="J184" s="68"/>
      <c r="K184" s="68"/>
      <c r="L184" s="68"/>
      <c r="M184" s="68"/>
      <c r="N184" s="68"/>
      <c r="O184" s="68"/>
      <c r="Q184" s="68"/>
    </row>
    <row r="185" spans="2:17" ht="15" thickBot="1" x14ac:dyDescent="0.4">
      <c r="B185" s="143" t="s">
        <v>221</v>
      </c>
      <c r="C185" s="125">
        <v>890</v>
      </c>
      <c r="D185" s="125">
        <v>920</v>
      </c>
      <c r="E185" s="125">
        <v>905</v>
      </c>
      <c r="G185" s="68"/>
      <c r="H185" s="68"/>
      <c r="I185" s="68">
        <f>AVERAGE(E173:E176)</f>
        <v>890</v>
      </c>
      <c r="J185" s="68">
        <v>34.840000000000003</v>
      </c>
      <c r="K185" s="68">
        <v>310</v>
      </c>
      <c r="L185" s="68">
        <v>30</v>
      </c>
      <c r="M185" s="108">
        <f t="shared" ref="M185:M193" si="3">SUM(I185:L185)*(3.8%+N185)/365*180</f>
        <v>57.652148777424664</v>
      </c>
      <c r="N185" s="107">
        <v>5.4427299999999998E-2</v>
      </c>
      <c r="O185" s="68"/>
      <c r="Q185" s="109">
        <f t="shared" ref="Q185:Q194" si="4">ROUND(I185+J185+K185+O185+L185+M185,1)</f>
        <v>1322.5</v>
      </c>
    </row>
    <row r="186" spans="2:17" ht="15" thickBot="1" x14ac:dyDescent="0.4">
      <c r="B186" s="143" t="s">
        <v>224</v>
      </c>
      <c r="C186" s="125">
        <v>870</v>
      </c>
      <c r="D186" s="125">
        <v>895</v>
      </c>
      <c r="E186" s="125">
        <v>882.5</v>
      </c>
      <c r="G186" s="68"/>
      <c r="H186" s="68"/>
      <c r="I186" s="111">
        <f>AVERAGE(E177:E180)</f>
        <v>891.875</v>
      </c>
      <c r="J186" s="68">
        <v>34.840000000000003</v>
      </c>
      <c r="K186" s="68">
        <v>250</v>
      </c>
      <c r="L186" s="68">
        <v>30</v>
      </c>
      <c r="M186" s="108">
        <f t="shared" si="3"/>
        <v>54.715169076164386</v>
      </c>
      <c r="N186" s="107">
        <v>5.3943999999999999E-2</v>
      </c>
      <c r="O186" s="68"/>
      <c r="Q186" s="109">
        <f t="shared" si="4"/>
        <v>1261.4000000000001</v>
      </c>
    </row>
    <row r="187" spans="2:17" ht="15" thickBot="1" x14ac:dyDescent="0.4">
      <c r="B187" s="143" t="s">
        <v>225</v>
      </c>
      <c r="C187" s="125">
        <v>870</v>
      </c>
      <c r="D187" s="125">
        <v>890</v>
      </c>
      <c r="E187" s="125">
        <v>880</v>
      </c>
      <c r="I187" s="111">
        <f>AVERAGE(E181:E185)</f>
        <v>900.5</v>
      </c>
      <c r="J187" s="68">
        <v>34.840000000000003</v>
      </c>
      <c r="K187" s="112">
        <v>235</v>
      </c>
      <c r="L187" s="68">
        <v>30</v>
      </c>
      <c r="M187" s="108">
        <f t="shared" si="3"/>
        <v>53.500837564602755</v>
      </c>
      <c r="N187" s="107">
        <v>5.2380900000000001E-2</v>
      </c>
      <c r="O187" s="108"/>
      <c r="Q187" s="109">
        <f t="shared" si="4"/>
        <v>1253.8</v>
      </c>
    </row>
    <row r="188" spans="2:17" ht="15" thickBot="1" x14ac:dyDescent="0.4">
      <c r="B188" s="143" t="s">
        <v>226</v>
      </c>
      <c r="C188" s="125">
        <v>870</v>
      </c>
      <c r="D188" s="125">
        <v>890</v>
      </c>
      <c r="E188" s="125">
        <v>880</v>
      </c>
      <c r="I188" s="108">
        <f>AVERAGE(E186:E188)</f>
        <v>880.83333333333337</v>
      </c>
      <c r="J188" s="68">
        <v>34.840000000000003</v>
      </c>
      <c r="K188" s="112">
        <v>215</v>
      </c>
      <c r="L188" s="68">
        <v>30</v>
      </c>
      <c r="M188" s="108">
        <f t="shared" si="3"/>
        <v>51.270979640547949</v>
      </c>
      <c r="N188" s="107">
        <v>5.1574000000000002E-2</v>
      </c>
      <c r="O188" s="108"/>
      <c r="Q188" s="109">
        <f t="shared" si="4"/>
        <v>1211.9000000000001</v>
      </c>
    </row>
    <row r="189" spans="2:17" ht="15" thickBot="1" x14ac:dyDescent="0.4">
      <c r="B189" s="143" t="s">
        <v>227</v>
      </c>
      <c r="C189" s="125">
        <v>860</v>
      </c>
      <c r="D189" s="125">
        <v>895</v>
      </c>
      <c r="E189" s="125">
        <v>877.5</v>
      </c>
      <c r="I189" s="111">
        <f>AVERAGE(E189:E192)</f>
        <v>879.375</v>
      </c>
      <c r="J189" s="68">
        <v>34.840000000000003</v>
      </c>
      <c r="K189" s="112">
        <v>215</v>
      </c>
      <c r="L189" s="68">
        <v>30</v>
      </c>
      <c r="M189" s="108">
        <f t="shared" si="3"/>
        <v>51.978825840082202</v>
      </c>
      <c r="N189" s="107">
        <v>5.2924899999999997E-2</v>
      </c>
      <c r="O189" s="108"/>
      <c r="Q189" s="109">
        <f t="shared" si="4"/>
        <v>1211.2</v>
      </c>
    </row>
    <row r="190" spans="2:17" ht="15" thickBot="1" x14ac:dyDescent="0.4">
      <c r="B190" s="143" t="s">
        <v>228</v>
      </c>
      <c r="C190" s="125">
        <v>865</v>
      </c>
      <c r="D190" s="125">
        <v>890</v>
      </c>
      <c r="E190" s="125">
        <v>877.5</v>
      </c>
      <c r="I190" s="127">
        <f>AVERAGE(E193:E196)</f>
        <v>881.25</v>
      </c>
      <c r="J190" s="67">
        <v>34.840000000000003</v>
      </c>
      <c r="K190" s="81">
        <v>235</v>
      </c>
      <c r="L190" s="67">
        <v>30</v>
      </c>
      <c r="M190" s="108">
        <f t="shared" si="3"/>
        <v>52.838018847123294</v>
      </c>
      <c r="N190" s="128">
        <v>5.2715999999999999E-2</v>
      </c>
      <c r="O190" s="108"/>
      <c r="Q190" s="109">
        <f t="shared" si="4"/>
        <v>1233.9000000000001</v>
      </c>
    </row>
    <row r="191" spans="2:17" ht="15" thickBot="1" x14ac:dyDescent="0.4">
      <c r="B191" s="143" t="s">
        <v>229</v>
      </c>
      <c r="C191" s="125">
        <v>870</v>
      </c>
      <c r="D191" s="125">
        <v>890</v>
      </c>
      <c r="E191" s="125">
        <v>880</v>
      </c>
      <c r="I191" s="129">
        <f>AVERAGE(E197:E200)</f>
        <v>904.375</v>
      </c>
      <c r="J191" s="130">
        <v>34.840000000000003</v>
      </c>
      <c r="K191" s="130">
        <v>250</v>
      </c>
      <c r="L191" s="130">
        <v>30</v>
      </c>
      <c r="M191" s="108">
        <f t="shared" si="3"/>
        <v>54.652130752191788</v>
      </c>
      <c r="N191" s="131">
        <v>5.2896499999999999E-2</v>
      </c>
      <c r="O191" s="108"/>
      <c r="Q191" s="109">
        <f t="shared" si="4"/>
        <v>1273.9000000000001</v>
      </c>
    </row>
    <row r="192" spans="2:17" ht="15" thickBot="1" x14ac:dyDescent="0.4">
      <c r="B192" s="143" t="s">
        <v>230</v>
      </c>
      <c r="C192" s="125">
        <v>870</v>
      </c>
      <c r="D192" s="125">
        <v>895</v>
      </c>
      <c r="E192" s="125">
        <v>882.5</v>
      </c>
      <c r="I192" s="129">
        <f>AVERAGE(E201:E203)</f>
        <v>925</v>
      </c>
      <c r="J192" s="130">
        <v>34.840000000000003</v>
      </c>
      <c r="K192" s="130">
        <v>305</v>
      </c>
      <c r="L192" s="130">
        <v>30</v>
      </c>
      <c r="M192" s="108">
        <f t="shared" si="3"/>
        <v>58.271950583013705</v>
      </c>
      <c r="N192" s="131">
        <v>5.3256499999999998E-2</v>
      </c>
      <c r="O192" s="108"/>
      <c r="Q192" s="109">
        <f t="shared" si="4"/>
        <v>1353.1</v>
      </c>
    </row>
    <row r="193" spans="2:20" ht="15" thickBot="1" x14ac:dyDescent="0.4">
      <c r="B193" s="143" t="s">
        <v>233</v>
      </c>
      <c r="C193" s="126">
        <v>875</v>
      </c>
      <c r="D193" s="126">
        <v>900</v>
      </c>
      <c r="E193" s="126">
        <v>887.5</v>
      </c>
      <c r="I193" s="129">
        <f>AVERAGE(E204:E208)</f>
        <v>911</v>
      </c>
      <c r="J193" s="130">
        <v>34.840000000000003</v>
      </c>
      <c r="K193" s="130">
        <v>553</v>
      </c>
      <c r="L193" s="130">
        <v>30</v>
      </c>
      <c r="M193" s="108">
        <f t="shared" si="3"/>
        <v>66.62710689336987</v>
      </c>
      <c r="N193" s="131">
        <v>5.0370900000000003E-2</v>
      </c>
      <c r="O193" s="108"/>
      <c r="Q193" s="109">
        <f t="shared" si="4"/>
        <v>1595.5</v>
      </c>
      <c r="T193" s="149" t="s">
        <v>267</v>
      </c>
    </row>
    <row r="194" spans="2:20" ht="15" thickBot="1" x14ac:dyDescent="0.4">
      <c r="B194" s="143" t="s">
        <v>234</v>
      </c>
      <c r="C194" s="126">
        <v>860</v>
      </c>
      <c r="D194" s="126">
        <v>900</v>
      </c>
      <c r="E194" s="126">
        <v>880</v>
      </c>
      <c r="I194" s="129">
        <f>AVERAGE(E209:E212)</f>
        <v>911.25</v>
      </c>
      <c r="J194" s="130">
        <v>34.840000000000003</v>
      </c>
      <c r="K194" s="25">
        <v>553</v>
      </c>
      <c r="L194" s="130">
        <v>30</v>
      </c>
      <c r="M194" s="108">
        <f>SUM(I194:L194)*(3.8%+N194)/365*180</f>
        <v>66.928244164273977</v>
      </c>
      <c r="N194" s="131">
        <v>5.0755799999999997E-2</v>
      </c>
      <c r="P194" s="25" t="s">
        <v>270</v>
      </c>
      <c r="Q194" s="109">
        <f t="shared" si="4"/>
        <v>1596</v>
      </c>
      <c r="T194" s="147">
        <v>1026.9825000000001</v>
      </c>
    </row>
    <row r="195" spans="2:20" ht="15" thickBot="1" x14ac:dyDescent="0.4">
      <c r="B195" s="143" t="s">
        <v>235</v>
      </c>
      <c r="C195" s="126">
        <v>855</v>
      </c>
      <c r="D195" s="126">
        <v>885</v>
      </c>
      <c r="E195" s="126">
        <v>870</v>
      </c>
      <c r="P195" s="25" t="s">
        <v>268</v>
      </c>
      <c r="Q195" s="109">
        <v>1895</v>
      </c>
      <c r="T195" s="147">
        <v>1004</v>
      </c>
    </row>
    <row r="196" spans="2:20" ht="15" thickBot="1" x14ac:dyDescent="0.4">
      <c r="B196" s="143" t="s">
        <v>236</v>
      </c>
      <c r="C196" s="126">
        <v>865</v>
      </c>
      <c r="D196" s="126">
        <v>910</v>
      </c>
      <c r="E196" s="126">
        <v>887.5</v>
      </c>
      <c r="P196" s="25" t="s">
        <v>269</v>
      </c>
      <c r="Q196" s="150">
        <f>+SUMPRODUCT(Q194:Q195,T194:T195)/(T194+T195)</f>
        <v>1743.8082652115418</v>
      </c>
      <c r="T196" s="147">
        <v>986</v>
      </c>
    </row>
    <row r="197" spans="2:20" ht="15" thickBot="1" x14ac:dyDescent="0.4">
      <c r="B197" s="143" t="s">
        <v>237</v>
      </c>
      <c r="C197" s="126">
        <v>890</v>
      </c>
      <c r="D197" s="126">
        <v>910</v>
      </c>
      <c r="E197" s="126">
        <v>900</v>
      </c>
      <c r="I197" s="129">
        <f>AVERAGE(E213:E216)</f>
        <v>901.25</v>
      </c>
      <c r="J197" s="130">
        <v>34.840000000000003</v>
      </c>
      <c r="K197" s="233">
        <v>442.108</v>
      </c>
      <c r="L197" s="130">
        <v>30</v>
      </c>
      <c r="M197" s="129">
        <f t="shared" ref="M197:M201" si="5">SUM(I197:L197)*(3.8%+N197)/365*180</f>
        <v>59.01621242084385</v>
      </c>
      <c r="N197" s="131">
        <v>4.6982200000000002E-2</v>
      </c>
      <c r="Q197" s="109">
        <f t="shared" ref="Q197:Q210" si="6">ROUND(I197+J197+K197+O197+L197+M197,1)</f>
        <v>1467.2</v>
      </c>
      <c r="T197" s="148">
        <f>SUM(T194:T196)</f>
        <v>3016.9825000000001</v>
      </c>
    </row>
    <row r="198" spans="2:20" ht="15" thickBot="1" x14ac:dyDescent="0.4">
      <c r="B198" s="143" t="s">
        <v>238</v>
      </c>
      <c r="C198" s="126">
        <v>880</v>
      </c>
      <c r="D198" s="126">
        <v>900</v>
      </c>
      <c r="E198" s="126">
        <v>890</v>
      </c>
      <c r="I198" s="129">
        <f>AVERAGE(E218:E222)</f>
        <v>902</v>
      </c>
      <c r="J198" s="130">
        <v>34.840000000000003</v>
      </c>
      <c r="K198" s="130">
        <v>382</v>
      </c>
      <c r="L198" s="130">
        <v>30</v>
      </c>
      <c r="M198" s="129">
        <f t="shared" si="5"/>
        <v>54.103790562410957</v>
      </c>
      <c r="N198" s="131">
        <v>4.3336899999999998E-2</v>
      </c>
      <c r="Q198" s="109">
        <f t="shared" si="6"/>
        <v>1402.9</v>
      </c>
    </row>
    <row r="199" spans="2:20" ht="15" thickBot="1" x14ac:dyDescent="0.4">
      <c r="B199" s="143" t="s">
        <v>239</v>
      </c>
      <c r="C199" s="126">
        <v>890</v>
      </c>
      <c r="D199" s="126">
        <v>920</v>
      </c>
      <c r="E199" s="126">
        <v>905</v>
      </c>
      <c r="I199" s="129">
        <f>AVERAGE(E223:E226)</f>
        <v>910</v>
      </c>
      <c r="J199" s="130">
        <v>34.840000000000003</v>
      </c>
      <c r="K199" s="130">
        <v>345</v>
      </c>
      <c r="L199" s="130">
        <v>30</v>
      </c>
      <c r="M199" s="129">
        <f t="shared" si="5"/>
        <v>53.572110336000009</v>
      </c>
      <c r="N199" s="131">
        <v>4.4307199999999998E-2</v>
      </c>
      <c r="Q199" s="109">
        <f t="shared" si="6"/>
        <v>1373.4</v>
      </c>
    </row>
    <row r="200" spans="2:20" ht="15" thickBot="1" x14ac:dyDescent="0.4">
      <c r="B200" s="143" t="s">
        <v>240</v>
      </c>
      <c r="C200" s="126">
        <v>910</v>
      </c>
      <c r="D200" s="126">
        <v>935</v>
      </c>
      <c r="E200" s="126">
        <v>922.5</v>
      </c>
      <c r="I200" s="129">
        <f>AVERAGE(E227:E231)</f>
        <v>883.5</v>
      </c>
      <c r="J200" s="130">
        <v>34.840000000000003</v>
      </c>
      <c r="K200" s="130">
        <v>335</v>
      </c>
      <c r="L200" s="130">
        <v>30</v>
      </c>
      <c r="M200" s="129">
        <f t="shared" si="5"/>
        <v>52.104187656000008</v>
      </c>
      <c r="N200" s="131">
        <v>4.4328699999999999E-2</v>
      </c>
      <c r="Q200" s="109">
        <f t="shared" si="6"/>
        <v>1335.4</v>
      </c>
      <c r="R200" s="152"/>
    </row>
    <row r="201" spans="2:20" ht="15" thickBot="1" x14ac:dyDescent="0.4">
      <c r="B201" s="143" t="s">
        <v>241</v>
      </c>
      <c r="C201" s="126">
        <v>915</v>
      </c>
      <c r="D201" s="126">
        <v>935</v>
      </c>
      <c r="E201" s="126">
        <v>925</v>
      </c>
      <c r="I201" s="129">
        <f>AVERAGE(E232:E235)</f>
        <v>825</v>
      </c>
      <c r="J201" s="130">
        <v>34.840000000000003</v>
      </c>
      <c r="K201" s="130">
        <v>298</v>
      </c>
      <c r="L201" s="130">
        <v>30</v>
      </c>
      <c r="M201" s="129">
        <f t="shared" si="5"/>
        <v>46.716282739726033</v>
      </c>
      <c r="N201" s="131">
        <v>4.1750000000000002E-2</v>
      </c>
      <c r="Q201" s="109">
        <f t="shared" si="6"/>
        <v>1234.5999999999999</v>
      </c>
    </row>
    <row r="202" spans="2:20" ht="15" thickBot="1" x14ac:dyDescent="0.4">
      <c r="B202" s="114" t="s">
        <v>242</v>
      </c>
      <c r="C202" s="126">
        <v>915</v>
      </c>
      <c r="D202" s="126">
        <v>935</v>
      </c>
      <c r="E202" s="126">
        <v>925</v>
      </c>
      <c r="I202" s="129">
        <f>AVERAGE(E236:E239)</f>
        <v>848.75</v>
      </c>
      <c r="J202" s="130">
        <v>34.840000000000003</v>
      </c>
      <c r="K202" s="130">
        <v>314</v>
      </c>
      <c r="L202" s="130">
        <v>30</v>
      </c>
      <c r="M202" s="129">
        <f t="shared" ref="M202:M205" si="7">SUM(I202:L202)*(3.8%+N202)/365*180</f>
        <v>48.653851383123289</v>
      </c>
      <c r="N202" s="131">
        <v>4.2368200000000002E-2</v>
      </c>
      <c r="Q202" s="109">
        <f t="shared" si="6"/>
        <v>1276.2</v>
      </c>
    </row>
    <row r="203" spans="2:20" ht="15" thickBot="1" x14ac:dyDescent="0.4">
      <c r="B203" s="114" t="s">
        <v>243</v>
      </c>
      <c r="C203" s="126">
        <v>910</v>
      </c>
      <c r="D203" s="126">
        <v>940</v>
      </c>
      <c r="E203" s="126">
        <v>925</v>
      </c>
      <c r="I203" s="129">
        <f>AVERAGE(E240:E244)</f>
        <v>806</v>
      </c>
      <c r="J203" s="130">
        <v>34.840000000000003</v>
      </c>
      <c r="K203" s="130">
        <v>335</v>
      </c>
      <c r="L203" s="130">
        <v>30</v>
      </c>
      <c r="M203" s="129">
        <f t="shared" si="7"/>
        <v>47.910335769863011</v>
      </c>
      <c r="N203" s="131">
        <v>4.2567500000000001E-2</v>
      </c>
      <c r="Q203" s="109">
        <f t="shared" si="6"/>
        <v>1253.8</v>
      </c>
    </row>
    <row r="204" spans="2:20" ht="15" thickBot="1" x14ac:dyDescent="0.4">
      <c r="B204" s="114" t="s">
        <v>244</v>
      </c>
      <c r="C204" s="126">
        <v>900</v>
      </c>
      <c r="D204" s="126">
        <v>935</v>
      </c>
      <c r="E204" s="126">
        <v>917.5</v>
      </c>
      <c r="I204" s="129">
        <f>AVERAGE(E245:E247)</f>
        <v>796.66666666666663</v>
      </c>
      <c r="J204" s="130">
        <v>34.840000000000003</v>
      </c>
      <c r="K204" s="130">
        <v>315</v>
      </c>
      <c r="L204" s="130">
        <v>30</v>
      </c>
      <c r="M204" s="129">
        <f t="shared" si="7"/>
        <v>46.552415476602739</v>
      </c>
      <c r="N204" s="131">
        <v>4.2235799999999997E-2</v>
      </c>
      <c r="Q204" s="109">
        <f t="shared" si="6"/>
        <v>1223.0999999999999</v>
      </c>
    </row>
    <row r="205" spans="2:20" ht="15" thickBot="1" x14ac:dyDescent="0.4">
      <c r="B205" s="114" t="s">
        <v>248</v>
      </c>
      <c r="C205" s="126">
        <v>900</v>
      </c>
      <c r="D205" s="126">
        <v>930</v>
      </c>
      <c r="E205" s="126">
        <v>915</v>
      </c>
      <c r="I205" s="129">
        <f>AVERAGE(E248:E252)</f>
        <v>799.5</v>
      </c>
      <c r="J205" s="130">
        <v>34.840000000000003</v>
      </c>
      <c r="K205" s="130">
        <v>315</v>
      </c>
      <c r="L205" s="130">
        <v>30</v>
      </c>
      <c r="M205" s="129">
        <f t="shared" si="7"/>
        <v>46.051352980273982</v>
      </c>
      <c r="N205" s="131">
        <v>4.1181500000000003E-2</v>
      </c>
      <c r="Q205" s="109">
        <f t="shared" si="6"/>
        <v>1225.4000000000001</v>
      </c>
    </row>
    <row r="206" spans="2:20" ht="15" thickBot="1" x14ac:dyDescent="0.4">
      <c r="B206" s="114" t="s">
        <v>249</v>
      </c>
      <c r="C206" s="126">
        <v>890</v>
      </c>
      <c r="D206" s="126">
        <v>915</v>
      </c>
      <c r="E206" s="126">
        <v>902.5</v>
      </c>
      <c r="I206" s="129">
        <f>AVERAGE(E253:E256)</f>
        <v>803.125</v>
      </c>
      <c r="J206" s="130">
        <v>34.840000000000003</v>
      </c>
      <c r="K206" s="130">
        <v>280</v>
      </c>
      <c r="L206" s="130">
        <v>30</v>
      </c>
      <c r="M206" s="129">
        <f>SUM(I206:L206)*(3.8%+N206)/365*180</f>
        <v>45.771062909178085</v>
      </c>
      <c r="N206" s="131">
        <v>4.28505E-2</v>
      </c>
      <c r="Q206" s="109">
        <f t="shared" si="6"/>
        <v>1193.7</v>
      </c>
    </row>
    <row r="207" spans="2:20" ht="15" thickBot="1" x14ac:dyDescent="0.4">
      <c r="B207" s="114" t="s">
        <v>250</v>
      </c>
      <c r="C207" s="126">
        <v>890</v>
      </c>
      <c r="D207" s="126">
        <v>925</v>
      </c>
      <c r="E207" s="126">
        <v>907.5</v>
      </c>
      <c r="I207" s="129">
        <f>AVERAGE(E257:E260)</f>
        <v>786.25</v>
      </c>
      <c r="J207" s="130">
        <v>34.840000000000003</v>
      </c>
      <c r="K207" s="130">
        <v>166</v>
      </c>
      <c r="L207" s="130">
        <v>30</v>
      </c>
      <c r="M207" s="264">
        <f>SUM(I207:L207)*(3.8%+N207)/365*185</f>
        <v>40.965420312986296</v>
      </c>
      <c r="N207" s="131">
        <v>4.1465599999999998E-2</v>
      </c>
      <c r="Q207" s="109">
        <f t="shared" si="6"/>
        <v>1058.0999999999999</v>
      </c>
    </row>
    <row r="208" spans="2:20" ht="15" thickBot="1" x14ac:dyDescent="0.4">
      <c r="B208" s="114" t="s">
        <v>251</v>
      </c>
      <c r="C208" s="126">
        <v>900</v>
      </c>
      <c r="D208" s="126">
        <v>925</v>
      </c>
      <c r="E208" s="126">
        <v>912.5</v>
      </c>
      <c r="I208" s="129">
        <f>AVERAGE(E261:E264)</f>
        <v>745.625</v>
      </c>
      <c r="J208" s="130">
        <v>34.840000000000003</v>
      </c>
      <c r="K208" s="130">
        <v>156</v>
      </c>
      <c r="L208" s="130">
        <v>30</v>
      </c>
      <c r="M208" s="129">
        <f>SUM(I208:L208)*(3.8%+N208)/365*185</f>
        <v>39.145944609986309</v>
      </c>
      <c r="N208" s="131">
        <v>4.1913800000000001E-2</v>
      </c>
      <c r="Q208" s="109">
        <f t="shared" si="6"/>
        <v>1005.6</v>
      </c>
    </row>
    <row r="209" spans="2:20" ht="15" thickBot="1" x14ac:dyDescent="0.4">
      <c r="B209" s="114" t="s">
        <v>252</v>
      </c>
      <c r="C209" s="126">
        <v>910</v>
      </c>
      <c r="D209" s="126">
        <v>930</v>
      </c>
      <c r="E209" s="126">
        <v>920</v>
      </c>
      <c r="I209" s="129">
        <f>AVERAGE(E265:E269)</f>
        <v>775</v>
      </c>
      <c r="J209" s="130">
        <v>34.840000000000003</v>
      </c>
      <c r="K209" s="130">
        <v>156</v>
      </c>
      <c r="L209" s="130">
        <v>30</v>
      </c>
      <c r="M209" s="129">
        <f>SUM(I209:L209)*(3.8%+N209)/365*185</f>
        <v>39.641183249534244</v>
      </c>
      <c r="N209" s="131">
        <v>4.0537700000000003E-2</v>
      </c>
      <c r="Q209" s="109">
        <f t="shared" si="6"/>
        <v>1035.5</v>
      </c>
      <c r="T209" s="269" t="s">
        <v>429</v>
      </c>
    </row>
    <row r="210" spans="2:20" ht="15" thickBot="1" x14ac:dyDescent="0.4">
      <c r="B210" s="114" t="s">
        <v>253</v>
      </c>
      <c r="C210" s="126">
        <v>890</v>
      </c>
      <c r="D210" s="126">
        <v>920</v>
      </c>
      <c r="E210" s="126">
        <v>905</v>
      </c>
      <c r="I210" s="129">
        <f>AVERAGE(E270:E273)</f>
        <v>793.125</v>
      </c>
      <c r="J210" s="130">
        <v>34.840000000000003</v>
      </c>
      <c r="K210" s="130">
        <v>176</v>
      </c>
      <c r="L210" s="130">
        <v>30</v>
      </c>
      <c r="M210" s="129">
        <f>SUM(I210:L210)*(3.8%+N210)/365*185</f>
        <v>40.205543477856168</v>
      </c>
      <c r="N210" s="131">
        <v>3.8718700000000002E-2</v>
      </c>
      <c r="Q210" s="109">
        <f t="shared" si="6"/>
        <v>1074.2</v>
      </c>
      <c r="T210" s="147">
        <v>1100</v>
      </c>
    </row>
    <row r="211" spans="2:20" ht="15" thickBot="1" x14ac:dyDescent="0.4">
      <c r="B211" s="114" t="s">
        <v>254</v>
      </c>
      <c r="C211" s="126">
        <v>895</v>
      </c>
      <c r="D211" s="126">
        <v>925</v>
      </c>
      <c r="E211" s="126">
        <v>910</v>
      </c>
      <c r="P211" s="25" t="s">
        <v>428</v>
      </c>
      <c r="Q211" s="109">
        <v>1487.25</v>
      </c>
      <c r="T211" s="147">
        <v>315</v>
      </c>
    </row>
    <row r="212" spans="2:20" ht="15" thickBot="1" x14ac:dyDescent="0.4">
      <c r="B212" s="114" t="s">
        <v>255</v>
      </c>
      <c r="C212" s="126">
        <v>895</v>
      </c>
      <c r="D212" s="126">
        <v>925</v>
      </c>
      <c r="E212" s="126">
        <v>910</v>
      </c>
      <c r="P212" s="25" t="s">
        <v>295</v>
      </c>
      <c r="Q212" s="150">
        <f>+SUMPRODUCT(Q210:Q211,T210:T211)/(T210+T211)</f>
        <v>1166.1510600706713</v>
      </c>
      <c r="T212" s="147">
        <f>SUM(T210:T211)</f>
        <v>1415</v>
      </c>
    </row>
    <row r="213" spans="2:20" ht="15" thickBot="1" x14ac:dyDescent="0.4">
      <c r="B213" s="114" t="s">
        <v>256</v>
      </c>
      <c r="C213" s="126">
        <v>895</v>
      </c>
      <c r="D213" s="126">
        <v>925</v>
      </c>
      <c r="E213" s="126">
        <v>910</v>
      </c>
      <c r="I213" s="129">
        <f>AVERAGE(E274:E277)</f>
        <v>781.875</v>
      </c>
      <c r="J213" s="130">
        <v>34.840000000000003</v>
      </c>
      <c r="K213" s="130">
        <v>200</v>
      </c>
      <c r="L213" s="130">
        <v>30</v>
      </c>
      <c r="M213" s="129">
        <f>SUM(I213:L213)*(3.8%+N213)/365*185</f>
        <v>39.756032321773972</v>
      </c>
      <c r="N213" s="131">
        <v>3.6936900000000002E-2</v>
      </c>
      <c r="Q213" s="109">
        <f t="shared" ref="Q213:Q216" si="8">ROUND(I213+J213+K213+O213+L213+M213,1)</f>
        <v>1086.5</v>
      </c>
    </row>
    <row r="214" spans="2:20" ht="15" thickBot="1" x14ac:dyDescent="0.4">
      <c r="B214" s="114" t="s">
        <v>257</v>
      </c>
      <c r="C214" s="126">
        <v>880</v>
      </c>
      <c r="D214" s="126">
        <v>915</v>
      </c>
      <c r="E214" s="126">
        <v>897.5</v>
      </c>
      <c r="I214" s="129">
        <f>AVERAGE(E278:E282)</f>
        <v>774</v>
      </c>
      <c r="J214" s="130">
        <v>34.840000000000003</v>
      </c>
      <c r="K214" s="130">
        <v>185</v>
      </c>
      <c r="L214" s="130">
        <v>30</v>
      </c>
      <c r="M214" s="129">
        <f>SUM(I214:L214)*(3.8%+N214)/365*185</f>
        <v>39.102817054684934</v>
      </c>
      <c r="N214" s="131">
        <v>3.7352400000000001E-2</v>
      </c>
      <c r="Q214" s="109">
        <f t="shared" si="8"/>
        <v>1062.9000000000001</v>
      </c>
      <c r="R214" s="33">
        <v>45992</v>
      </c>
    </row>
    <row r="215" spans="2:20" ht="15" thickBot="1" x14ac:dyDescent="0.4">
      <c r="B215" s="114" t="s">
        <v>258</v>
      </c>
      <c r="C215" s="126">
        <v>880</v>
      </c>
      <c r="D215" s="126">
        <v>910</v>
      </c>
      <c r="E215" s="126">
        <v>895</v>
      </c>
      <c r="I215" s="129">
        <f>AVERAGE(E283:E286)</f>
        <v>765</v>
      </c>
      <c r="J215" s="130">
        <v>34.840000000000003</v>
      </c>
      <c r="K215" s="130">
        <v>185</v>
      </c>
      <c r="L215" s="130">
        <v>30</v>
      </c>
      <c r="M215" s="129">
        <f>SUM(I215:L215)*(3.8%+N215)/365*185</f>
        <v>38.167251018410958</v>
      </c>
      <c r="N215" s="131">
        <v>3.6201799999999999E-2</v>
      </c>
      <c r="Q215" s="109">
        <f t="shared" si="8"/>
        <v>1053</v>
      </c>
      <c r="R215" s="33">
        <v>46023</v>
      </c>
    </row>
    <row r="216" spans="2:20" ht="15" thickBot="1" x14ac:dyDescent="0.4">
      <c r="B216" s="114" t="s">
        <v>259</v>
      </c>
      <c r="C216" s="126">
        <v>890</v>
      </c>
      <c r="D216" s="126">
        <v>915</v>
      </c>
      <c r="E216" s="126">
        <v>902.5</v>
      </c>
      <c r="I216" s="129">
        <f>AVERAGE(E287:E291)</f>
        <v>752</v>
      </c>
      <c r="J216" s="130">
        <v>34.840000000000003</v>
      </c>
      <c r="K216" s="130">
        <v>197</v>
      </c>
      <c r="L216" s="130">
        <v>30</v>
      </c>
      <c r="M216" s="129">
        <f>SUM(I216:L216)*(3.8%+N216)/365*185</f>
        <v>38.204922978958912</v>
      </c>
      <c r="N216" s="131">
        <v>3.63483E-2</v>
      </c>
      <c r="Q216" s="109">
        <f t="shared" si="8"/>
        <v>1052</v>
      </c>
      <c r="R216" s="33">
        <v>46054</v>
      </c>
    </row>
    <row r="217" spans="2:20" ht="15" thickBot="1" x14ac:dyDescent="0.4">
      <c r="B217" s="114" t="s">
        <v>260</v>
      </c>
      <c r="C217" s="126">
        <v>890</v>
      </c>
      <c r="D217" s="126">
        <v>925</v>
      </c>
      <c r="E217" s="126">
        <v>907.5</v>
      </c>
      <c r="I217" s="129">
        <f>AVERAGE(E292:E295)</f>
        <v>748.75</v>
      </c>
      <c r="J217" s="130">
        <v>34.840000000000003</v>
      </c>
      <c r="K217" s="130">
        <v>185.8</v>
      </c>
      <c r="L217" s="130">
        <v>30</v>
      </c>
      <c r="M217" s="129">
        <f>SUM(I217:L217)*(3.8%+N217)/365*185</f>
        <v>37.590495527794531</v>
      </c>
      <c r="N217" s="131">
        <v>3.6210300000000001E-2</v>
      </c>
      <c r="Q217" s="354">
        <f>ROUND(I217+J217+K217+O217+L217+M217,1)</f>
        <v>1037</v>
      </c>
      <c r="R217" s="33">
        <v>46082</v>
      </c>
    </row>
    <row r="218" spans="2:20" x14ac:dyDescent="0.35">
      <c r="B218" s="114" t="s">
        <v>261</v>
      </c>
      <c r="C218" s="126">
        <v>880</v>
      </c>
      <c r="D218" s="126">
        <v>925</v>
      </c>
      <c r="E218" s="126">
        <v>902.5</v>
      </c>
    </row>
    <row r="219" spans="2:20" x14ac:dyDescent="0.35">
      <c r="B219" s="114" t="s">
        <v>262</v>
      </c>
      <c r="C219" s="126">
        <v>890</v>
      </c>
      <c r="D219" s="126">
        <v>925</v>
      </c>
      <c r="E219" s="126">
        <v>907.5</v>
      </c>
    </row>
    <row r="220" spans="2:20" x14ac:dyDescent="0.35">
      <c r="B220" s="114" t="s">
        <v>263</v>
      </c>
      <c r="C220" s="126">
        <v>890</v>
      </c>
      <c r="D220" s="126">
        <v>910</v>
      </c>
      <c r="E220" s="126">
        <v>900</v>
      </c>
    </row>
    <row r="221" spans="2:20" x14ac:dyDescent="0.35">
      <c r="B221" s="114" t="s">
        <v>263</v>
      </c>
      <c r="C221" s="126">
        <v>890</v>
      </c>
      <c r="D221" s="126">
        <v>910</v>
      </c>
      <c r="E221" s="126">
        <v>900</v>
      </c>
    </row>
    <row r="222" spans="2:20" x14ac:dyDescent="0.35">
      <c r="B222" s="114" t="s">
        <v>276</v>
      </c>
      <c r="C222" s="126">
        <v>890</v>
      </c>
      <c r="D222" s="126">
        <v>910</v>
      </c>
      <c r="E222" s="126">
        <v>900</v>
      </c>
    </row>
    <row r="223" spans="2:20" x14ac:dyDescent="0.35">
      <c r="B223" s="114" t="s">
        <v>277</v>
      </c>
      <c r="C223" s="126">
        <v>895</v>
      </c>
      <c r="D223" s="126">
        <v>925</v>
      </c>
      <c r="E223" s="126">
        <v>910</v>
      </c>
    </row>
    <row r="224" spans="2:20" x14ac:dyDescent="0.35">
      <c r="B224" s="114" t="s">
        <v>278</v>
      </c>
      <c r="C224" s="126">
        <v>905</v>
      </c>
      <c r="D224" s="126">
        <v>930</v>
      </c>
      <c r="E224" s="126">
        <v>917.5</v>
      </c>
    </row>
    <row r="225" spans="2:5" x14ac:dyDescent="0.35">
      <c r="B225" s="114" t="s">
        <v>279</v>
      </c>
      <c r="C225" s="126">
        <v>900</v>
      </c>
      <c r="D225" s="126">
        <v>925</v>
      </c>
      <c r="E225" s="126">
        <v>912.5</v>
      </c>
    </row>
    <row r="226" spans="2:5" x14ac:dyDescent="0.35">
      <c r="B226" s="114" t="s">
        <v>280</v>
      </c>
      <c r="C226" s="126">
        <v>890</v>
      </c>
      <c r="D226" s="126">
        <v>910</v>
      </c>
      <c r="E226" s="126">
        <v>900</v>
      </c>
    </row>
    <row r="227" spans="2:5" x14ac:dyDescent="0.35">
      <c r="B227" s="114" t="s">
        <v>281</v>
      </c>
      <c r="C227" s="126">
        <v>890</v>
      </c>
      <c r="D227" s="126">
        <v>910</v>
      </c>
      <c r="E227" s="126">
        <v>900</v>
      </c>
    </row>
    <row r="228" spans="2:5" x14ac:dyDescent="0.35">
      <c r="B228" s="114" t="s">
        <v>282</v>
      </c>
      <c r="C228" s="126">
        <v>880</v>
      </c>
      <c r="D228" s="126">
        <v>910</v>
      </c>
      <c r="E228" s="126">
        <v>895</v>
      </c>
    </row>
    <row r="229" spans="2:5" x14ac:dyDescent="0.35">
      <c r="B229" s="114" t="s">
        <v>283</v>
      </c>
      <c r="C229" s="126">
        <v>870</v>
      </c>
      <c r="D229" s="126">
        <v>890</v>
      </c>
      <c r="E229" s="126">
        <v>880</v>
      </c>
    </row>
    <row r="230" spans="2:5" x14ac:dyDescent="0.35">
      <c r="B230" s="114" t="s">
        <v>284</v>
      </c>
      <c r="C230" s="126">
        <v>865</v>
      </c>
      <c r="D230" s="126">
        <v>885</v>
      </c>
      <c r="E230" s="126">
        <v>875</v>
      </c>
    </row>
    <row r="231" spans="2:5" x14ac:dyDescent="0.35">
      <c r="B231" s="114" t="s">
        <v>285</v>
      </c>
      <c r="C231" s="126">
        <v>860</v>
      </c>
      <c r="D231" s="126">
        <v>875</v>
      </c>
      <c r="E231" s="126">
        <v>867.5</v>
      </c>
    </row>
    <row r="232" spans="2:5" x14ac:dyDescent="0.35">
      <c r="B232" s="114" t="s">
        <v>311</v>
      </c>
      <c r="C232" s="126">
        <v>830</v>
      </c>
      <c r="D232" s="126">
        <v>860</v>
      </c>
      <c r="E232" s="126">
        <v>845</v>
      </c>
    </row>
    <row r="233" spans="2:5" x14ac:dyDescent="0.35">
      <c r="B233" s="114" t="s">
        <v>312</v>
      </c>
      <c r="C233" s="126">
        <v>800</v>
      </c>
      <c r="D233" s="126">
        <v>830</v>
      </c>
      <c r="E233" s="126">
        <v>815</v>
      </c>
    </row>
    <row r="234" spans="2:5" x14ac:dyDescent="0.35">
      <c r="B234" s="114" t="s">
        <v>313</v>
      </c>
      <c r="C234" s="126">
        <v>805</v>
      </c>
      <c r="D234" s="126">
        <v>825</v>
      </c>
      <c r="E234" s="126">
        <v>815</v>
      </c>
    </row>
    <row r="235" spans="2:5" x14ac:dyDescent="0.35">
      <c r="B235" s="114" t="s">
        <v>314</v>
      </c>
      <c r="C235" s="126">
        <v>810</v>
      </c>
      <c r="D235" s="126">
        <v>840</v>
      </c>
      <c r="E235" s="126">
        <v>825</v>
      </c>
    </row>
    <row r="236" spans="2:5" x14ac:dyDescent="0.35">
      <c r="B236" s="114" t="s">
        <v>315</v>
      </c>
      <c r="C236" s="126">
        <v>830</v>
      </c>
      <c r="D236" s="126">
        <v>850</v>
      </c>
      <c r="E236" s="126">
        <v>840</v>
      </c>
    </row>
    <row r="237" spans="2:5" x14ac:dyDescent="0.35">
      <c r="B237" s="114" t="s">
        <v>316</v>
      </c>
      <c r="C237" s="126">
        <v>870</v>
      </c>
      <c r="D237" s="126">
        <v>890</v>
      </c>
      <c r="E237" s="126">
        <v>880</v>
      </c>
    </row>
    <row r="238" spans="2:5" x14ac:dyDescent="0.35">
      <c r="B238" s="114" t="s">
        <v>317</v>
      </c>
      <c r="C238" s="126">
        <v>830</v>
      </c>
      <c r="D238" s="126">
        <v>860</v>
      </c>
      <c r="E238" s="126">
        <v>845</v>
      </c>
    </row>
    <row r="239" spans="2:5" x14ac:dyDescent="0.35">
      <c r="B239" s="114" t="s">
        <v>318</v>
      </c>
      <c r="C239" s="126">
        <v>820</v>
      </c>
      <c r="D239" s="126">
        <v>840</v>
      </c>
      <c r="E239" s="126">
        <v>830</v>
      </c>
    </row>
    <row r="240" spans="2:5" x14ac:dyDescent="0.35">
      <c r="B240" s="114" t="s">
        <v>319</v>
      </c>
      <c r="C240" s="126">
        <v>805</v>
      </c>
      <c r="D240" s="126">
        <v>825</v>
      </c>
      <c r="E240" s="126">
        <v>815</v>
      </c>
    </row>
    <row r="241" spans="2:5" x14ac:dyDescent="0.35">
      <c r="B241" s="114" t="s">
        <v>320</v>
      </c>
      <c r="C241" s="126">
        <v>800</v>
      </c>
      <c r="D241" s="126">
        <v>825</v>
      </c>
      <c r="E241" s="126">
        <v>812.5</v>
      </c>
    </row>
    <row r="242" spans="2:5" x14ac:dyDescent="0.35">
      <c r="B242" s="114" t="s">
        <v>321</v>
      </c>
      <c r="C242" s="126">
        <v>795</v>
      </c>
      <c r="D242" s="126">
        <v>820</v>
      </c>
      <c r="E242" s="126">
        <v>807.5</v>
      </c>
    </row>
    <row r="243" spans="2:5" x14ac:dyDescent="0.35">
      <c r="B243" s="114" t="s">
        <v>322</v>
      </c>
      <c r="C243" s="126">
        <v>790</v>
      </c>
      <c r="D243" s="126">
        <v>810</v>
      </c>
      <c r="E243" s="126">
        <v>800</v>
      </c>
    </row>
    <row r="244" spans="2:5" x14ac:dyDescent="0.35">
      <c r="B244" s="114" t="s">
        <v>323</v>
      </c>
      <c r="C244" s="126">
        <v>785</v>
      </c>
      <c r="D244" s="126">
        <v>805</v>
      </c>
      <c r="E244" s="126">
        <v>795</v>
      </c>
    </row>
    <row r="245" spans="2:5" x14ac:dyDescent="0.35">
      <c r="B245" s="114" t="s">
        <v>324</v>
      </c>
      <c r="C245" s="126">
        <v>785</v>
      </c>
      <c r="D245" s="126">
        <v>800</v>
      </c>
      <c r="E245" s="126">
        <v>792.5</v>
      </c>
    </row>
    <row r="246" spans="2:5" x14ac:dyDescent="0.35">
      <c r="B246" s="114" t="s">
        <v>358</v>
      </c>
      <c r="C246" s="126">
        <v>790</v>
      </c>
      <c r="D246" s="126">
        <v>805</v>
      </c>
      <c r="E246" s="126">
        <v>797.5</v>
      </c>
    </row>
    <row r="247" spans="2:5" x14ac:dyDescent="0.35">
      <c r="B247" s="114" t="s">
        <v>359</v>
      </c>
      <c r="C247" s="126">
        <v>790</v>
      </c>
      <c r="D247" s="126">
        <v>810</v>
      </c>
      <c r="E247" s="126">
        <v>800</v>
      </c>
    </row>
    <row r="248" spans="2:5" x14ac:dyDescent="0.35">
      <c r="B248" s="114" t="s">
        <v>360</v>
      </c>
      <c r="C248" s="126">
        <v>785</v>
      </c>
      <c r="D248" s="126">
        <v>805</v>
      </c>
      <c r="E248" s="126">
        <v>795</v>
      </c>
    </row>
    <row r="249" spans="2:5" x14ac:dyDescent="0.35">
      <c r="B249" s="114" t="s">
        <v>361</v>
      </c>
      <c r="C249" s="126">
        <v>780</v>
      </c>
      <c r="D249" s="126">
        <v>800</v>
      </c>
      <c r="E249" s="126">
        <v>790</v>
      </c>
    </row>
    <row r="250" spans="2:5" x14ac:dyDescent="0.35">
      <c r="B250" s="114" t="s">
        <v>362</v>
      </c>
      <c r="C250" s="126">
        <v>800</v>
      </c>
      <c r="D250" s="126">
        <v>820</v>
      </c>
      <c r="E250" s="126">
        <v>810</v>
      </c>
    </row>
    <row r="251" spans="2:5" x14ac:dyDescent="0.35">
      <c r="B251" s="114" t="s">
        <v>363</v>
      </c>
      <c r="C251" s="126">
        <v>795</v>
      </c>
      <c r="D251" s="126">
        <v>815</v>
      </c>
      <c r="E251" s="126">
        <v>805</v>
      </c>
    </row>
    <row r="252" spans="2:5" x14ac:dyDescent="0.35">
      <c r="B252" s="114" t="s">
        <v>364</v>
      </c>
      <c r="C252" s="126">
        <v>790</v>
      </c>
      <c r="D252" s="126">
        <v>805</v>
      </c>
      <c r="E252" s="126">
        <v>797.5</v>
      </c>
    </row>
    <row r="253" spans="2:5" x14ac:dyDescent="0.35">
      <c r="B253" s="114" t="s">
        <v>365</v>
      </c>
      <c r="C253" s="126">
        <v>790</v>
      </c>
      <c r="D253" s="126">
        <v>805</v>
      </c>
      <c r="E253" s="126">
        <v>797.5</v>
      </c>
    </row>
    <row r="254" spans="2:5" x14ac:dyDescent="0.35">
      <c r="B254" s="114" t="s">
        <v>366</v>
      </c>
      <c r="C254" s="126">
        <v>795</v>
      </c>
      <c r="D254" s="126">
        <v>815</v>
      </c>
      <c r="E254" s="126">
        <v>805</v>
      </c>
    </row>
    <row r="255" spans="2:5" x14ac:dyDescent="0.35">
      <c r="B255" s="114" t="s">
        <v>367</v>
      </c>
      <c r="C255" s="126">
        <v>800</v>
      </c>
      <c r="D255" s="126">
        <v>820</v>
      </c>
      <c r="E255" s="126">
        <v>810</v>
      </c>
    </row>
    <row r="256" spans="2:5" x14ac:dyDescent="0.35">
      <c r="B256" s="114" t="s">
        <v>368</v>
      </c>
      <c r="C256" s="126">
        <v>790</v>
      </c>
      <c r="D256" s="126">
        <v>810</v>
      </c>
      <c r="E256" s="126">
        <v>800</v>
      </c>
    </row>
    <row r="257" spans="2:5" x14ac:dyDescent="0.35">
      <c r="B257" s="114" t="s">
        <v>369</v>
      </c>
      <c r="C257" s="240">
        <v>780</v>
      </c>
      <c r="D257" s="240">
        <v>800</v>
      </c>
      <c r="E257" s="263">
        <v>790</v>
      </c>
    </row>
    <row r="258" spans="2:5" x14ac:dyDescent="0.35">
      <c r="B258" s="114" t="s">
        <v>370</v>
      </c>
      <c r="C258" s="240">
        <v>770</v>
      </c>
      <c r="D258" s="240">
        <v>800</v>
      </c>
      <c r="E258" s="263">
        <v>785</v>
      </c>
    </row>
    <row r="259" spans="2:5" x14ac:dyDescent="0.35">
      <c r="B259" s="114" t="s">
        <v>382</v>
      </c>
      <c r="C259" s="240">
        <v>770</v>
      </c>
      <c r="D259" s="240">
        <v>795</v>
      </c>
      <c r="E259" s="263">
        <v>782.5</v>
      </c>
    </row>
    <row r="260" spans="2:5" x14ac:dyDescent="0.35">
      <c r="B260" s="114" t="s">
        <v>383</v>
      </c>
      <c r="C260" s="240">
        <v>775</v>
      </c>
      <c r="D260" s="240">
        <v>800</v>
      </c>
      <c r="E260" s="263">
        <v>787.5</v>
      </c>
    </row>
    <row r="261" spans="2:5" x14ac:dyDescent="0.35">
      <c r="B261" s="114" t="s">
        <v>384</v>
      </c>
      <c r="C261" s="240">
        <v>770</v>
      </c>
      <c r="D261" s="240">
        <v>795</v>
      </c>
      <c r="E261" s="240">
        <v>782.5</v>
      </c>
    </row>
    <row r="262" spans="2:5" x14ac:dyDescent="0.35">
      <c r="B262" s="114" t="s">
        <v>385</v>
      </c>
      <c r="C262" s="240">
        <v>710</v>
      </c>
      <c r="D262" s="240">
        <v>760</v>
      </c>
      <c r="E262" s="240">
        <v>735</v>
      </c>
    </row>
    <row r="263" spans="2:5" x14ac:dyDescent="0.35">
      <c r="B263" s="114" t="s">
        <v>386</v>
      </c>
      <c r="C263" s="240">
        <v>720</v>
      </c>
      <c r="D263" s="240">
        <v>740</v>
      </c>
      <c r="E263" s="240">
        <v>730</v>
      </c>
    </row>
    <row r="264" spans="2:5" x14ac:dyDescent="0.35">
      <c r="B264" s="114" t="s">
        <v>387</v>
      </c>
      <c r="C264" s="240">
        <v>720</v>
      </c>
      <c r="D264" s="240">
        <v>750</v>
      </c>
      <c r="E264" s="240">
        <v>735</v>
      </c>
    </row>
    <row r="265" spans="2:5" x14ac:dyDescent="0.35">
      <c r="B265" s="114" t="s">
        <v>405</v>
      </c>
      <c r="C265" s="240">
        <v>740</v>
      </c>
      <c r="D265" s="240">
        <v>765</v>
      </c>
      <c r="E265" s="240">
        <v>752.5</v>
      </c>
    </row>
    <row r="266" spans="2:5" x14ac:dyDescent="0.35">
      <c r="B266" s="114" t="s">
        <v>406</v>
      </c>
      <c r="C266" s="240">
        <v>740</v>
      </c>
      <c r="D266" s="240">
        <v>770</v>
      </c>
      <c r="E266" s="240">
        <v>755</v>
      </c>
    </row>
    <row r="267" spans="2:5" x14ac:dyDescent="0.35">
      <c r="B267" s="114" t="s">
        <v>407</v>
      </c>
      <c r="C267" s="240">
        <v>775</v>
      </c>
      <c r="D267" s="240">
        <v>810</v>
      </c>
      <c r="E267" s="240">
        <v>792.5</v>
      </c>
    </row>
    <row r="268" spans="2:5" x14ac:dyDescent="0.35">
      <c r="B268" s="114" t="s">
        <v>408</v>
      </c>
      <c r="C268" s="240">
        <v>780</v>
      </c>
      <c r="D268" s="240">
        <v>800</v>
      </c>
      <c r="E268" s="240">
        <v>790</v>
      </c>
    </row>
    <row r="269" spans="2:5" x14ac:dyDescent="0.35">
      <c r="B269" s="114" t="s">
        <v>409</v>
      </c>
      <c r="C269" s="240">
        <v>775</v>
      </c>
      <c r="D269" s="240">
        <v>795</v>
      </c>
      <c r="E269" s="240">
        <v>785</v>
      </c>
    </row>
    <row r="270" spans="2:5" x14ac:dyDescent="0.35">
      <c r="B270" s="114" t="s">
        <v>410</v>
      </c>
      <c r="C270" s="240">
        <v>770</v>
      </c>
      <c r="D270" s="240">
        <v>790</v>
      </c>
      <c r="E270" s="240">
        <v>780</v>
      </c>
    </row>
    <row r="271" spans="2:5" x14ac:dyDescent="0.35">
      <c r="B271" s="114" t="s">
        <v>411</v>
      </c>
      <c r="C271" s="240">
        <v>765</v>
      </c>
      <c r="D271" s="240">
        <v>800</v>
      </c>
      <c r="E271" s="240">
        <v>782.5</v>
      </c>
    </row>
    <row r="272" spans="2:5" x14ac:dyDescent="0.35">
      <c r="B272" s="114" t="s">
        <v>412</v>
      </c>
      <c r="C272" s="240">
        <v>795</v>
      </c>
      <c r="D272" s="240">
        <v>830</v>
      </c>
      <c r="E272" s="240">
        <v>812.5</v>
      </c>
    </row>
    <row r="273" spans="2:5" x14ac:dyDescent="0.35">
      <c r="B273" s="114" t="s">
        <v>413</v>
      </c>
      <c r="C273" s="240">
        <v>775</v>
      </c>
      <c r="D273" s="240">
        <v>820</v>
      </c>
      <c r="E273" s="240">
        <v>797.5</v>
      </c>
    </row>
    <row r="274" spans="2:5" x14ac:dyDescent="0.35">
      <c r="B274" s="114" t="s">
        <v>434</v>
      </c>
      <c r="C274" s="240">
        <v>775</v>
      </c>
      <c r="D274" s="240">
        <v>795</v>
      </c>
      <c r="E274" s="240">
        <v>785</v>
      </c>
    </row>
    <row r="275" spans="2:5" x14ac:dyDescent="0.35">
      <c r="B275" s="114" t="s">
        <v>435</v>
      </c>
      <c r="C275" s="240">
        <v>770</v>
      </c>
      <c r="D275" s="240">
        <v>790</v>
      </c>
      <c r="E275" s="240">
        <v>780</v>
      </c>
    </row>
    <row r="276" spans="2:5" x14ac:dyDescent="0.35">
      <c r="B276" s="114" t="s">
        <v>436</v>
      </c>
      <c r="C276" s="240">
        <v>765</v>
      </c>
      <c r="D276" s="240">
        <v>790</v>
      </c>
      <c r="E276" s="240">
        <v>777.5</v>
      </c>
    </row>
    <row r="277" spans="2:5" x14ac:dyDescent="0.35">
      <c r="B277" s="114" t="s">
        <v>437</v>
      </c>
      <c r="C277" s="240">
        <v>770</v>
      </c>
      <c r="D277" s="240">
        <v>800</v>
      </c>
      <c r="E277" s="240">
        <v>785</v>
      </c>
    </row>
    <row r="278" spans="2:5" x14ac:dyDescent="0.35">
      <c r="B278" s="114" t="s">
        <v>438</v>
      </c>
      <c r="C278" s="240">
        <v>770</v>
      </c>
      <c r="D278" s="240">
        <v>790</v>
      </c>
      <c r="E278" s="240">
        <v>780</v>
      </c>
    </row>
    <row r="279" spans="2:5" x14ac:dyDescent="0.35">
      <c r="B279" s="114" t="s">
        <v>439</v>
      </c>
      <c r="C279" s="240">
        <v>760</v>
      </c>
      <c r="D279" s="240">
        <v>780</v>
      </c>
      <c r="E279" s="240">
        <v>770</v>
      </c>
    </row>
    <row r="280" spans="2:5" x14ac:dyDescent="0.35">
      <c r="B280" s="114" t="s">
        <v>440</v>
      </c>
      <c r="C280" s="240">
        <v>760</v>
      </c>
      <c r="D280" s="240">
        <v>775</v>
      </c>
      <c r="E280" s="240">
        <v>767.5</v>
      </c>
    </row>
    <row r="281" spans="2:5" x14ac:dyDescent="0.35">
      <c r="B281" s="114" t="s">
        <v>441</v>
      </c>
      <c r="C281" s="240">
        <v>760</v>
      </c>
      <c r="D281" s="240">
        <v>790</v>
      </c>
      <c r="E281" s="240">
        <v>775</v>
      </c>
    </row>
    <row r="282" spans="2:5" x14ac:dyDescent="0.35">
      <c r="B282" s="114" t="s">
        <v>442</v>
      </c>
      <c r="C282" s="240">
        <v>765</v>
      </c>
      <c r="D282" s="240">
        <v>790</v>
      </c>
      <c r="E282" s="240">
        <v>777.5</v>
      </c>
    </row>
    <row r="283" spans="2:5" x14ac:dyDescent="0.35">
      <c r="B283" s="114" t="s">
        <v>443</v>
      </c>
      <c r="C283" s="240">
        <v>760</v>
      </c>
      <c r="D283" s="240">
        <v>780</v>
      </c>
      <c r="E283" s="240">
        <v>770</v>
      </c>
    </row>
    <row r="284" spans="2:5" x14ac:dyDescent="0.35">
      <c r="B284" s="114" t="s">
        <v>444</v>
      </c>
      <c r="C284" s="240">
        <v>755</v>
      </c>
      <c r="D284" s="240">
        <v>775</v>
      </c>
      <c r="E284" s="240">
        <v>765</v>
      </c>
    </row>
    <row r="285" spans="2:5" x14ac:dyDescent="0.35">
      <c r="B285" s="114" t="s">
        <v>445</v>
      </c>
      <c r="C285" s="240">
        <v>755</v>
      </c>
      <c r="D285" s="240">
        <v>775</v>
      </c>
      <c r="E285" s="240">
        <v>765</v>
      </c>
    </row>
    <row r="286" spans="2:5" x14ac:dyDescent="0.35">
      <c r="B286" s="114" t="s">
        <v>446</v>
      </c>
      <c r="C286" s="240">
        <v>750</v>
      </c>
      <c r="D286" s="240">
        <v>770</v>
      </c>
      <c r="E286" s="240">
        <v>760</v>
      </c>
    </row>
    <row r="287" spans="2:5" x14ac:dyDescent="0.35">
      <c r="B287" s="114" t="s">
        <v>457</v>
      </c>
      <c r="C287" s="240">
        <v>750</v>
      </c>
      <c r="D287" s="240">
        <v>770</v>
      </c>
      <c r="E287" s="240">
        <v>760</v>
      </c>
    </row>
    <row r="288" spans="2:5" x14ac:dyDescent="0.35">
      <c r="B288" s="114" t="s">
        <v>458</v>
      </c>
      <c r="C288" s="240">
        <v>745</v>
      </c>
      <c r="D288" s="240">
        <v>765</v>
      </c>
      <c r="E288" s="240">
        <v>755</v>
      </c>
    </row>
    <row r="289" spans="2:5" x14ac:dyDescent="0.35">
      <c r="B289" s="114" t="s">
        <v>459</v>
      </c>
      <c r="C289" s="240">
        <v>735</v>
      </c>
      <c r="D289" s="240">
        <v>755</v>
      </c>
      <c r="E289" s="240">
        <v>745</v>
      </c>
    </row>
    <row r="290" spans="2:5" x14ac:dyDescent="0.35">
      <c r="B290" s="114" t="s">
        <v>460</v>
      </c>
      <c r="C290" s="240">
        <v>735</v>
      </c>
      <c r="D290" s="240">
        <v>755</v>
      </c>
      <c r="E290" s="240">
        <v>745</v>
      </c>
    </row>
    <row r="291" spans="2:5" x14ac:dyDescent="0.35">
      <c r="B291" s="114" t="s">
        <v>461</v>
      </c>
      <c r="C291" s="240">
        <v>745</v>
      </c>
      <c r="D291" s="240">
        <v>765</v>
      </c>
      <c r="E291" s="240">
        <v>755</v>
      </c>
    </row>
    <row r="292" spans="2:5" x14ac:dyDescent="0.35">
      <c r="B292" s="114" t="s">
        <v>462</v>
      </c>
      <c r="C292" s="240">
        <v>740</v>
      </c>
      <c r="D292" s="240">
        <v>760</v>
      </c>
      <c r="E292" s="240">
        <v>750</v>
      </c>
    </row>
    <row r="293" spans="2:5" x14ac:dyDescent="0.35">
      <c r="B293" s="114" t="s">
        <v>463</v>
      </c>
      <c r="C293" s="240">
        <v>740</v>
      </c>
      <c r="D293" s="240">
        <v>760</v>
      </c>
      <c r="E293" s="240">
        <v>750</v>
      </c>
    </row>
    <row r="294" spans="2:5" x14ac:dyDescent="0.35">
      <c r="B294" s="114" t="s">
        <v>464</v>
      </c>
      <c r="C294" s="240">
        <v>740</v>
      </c>
      <c r="D294" s="240">
        <v>760</v>
      </c>
      <c r="E294" s="240">
        <v>750</v>
      </c>
    </row>
    <row r="295" spans="2:5" x14ac:dyDescent="0.35">
      <c r="B295" s="114" t="s">
        <v>465</v>
      </c>
      <c r="C295" s="240">
        <v>730</v>
      </c>
      <c r="D295" s="240">
        <v>760</v>
      </c>
      <c r="E295" s="240">
        <v>745</v>
      </c>
    </row>
    <row r="296" spans="2:5" x14ac:dyDescent="0.35">
      <c r="B296" s="114" t="s">
        <v>466</v>
      </c>
      <c r="C296" s="240">
        <v>745</v>
      </c>
      <c r="D296" s="240">
        <v>770</v>
      </c>
      <c r="E296" s="240">
        <v>757.5</v>
      </c>
    </row>
    <row r="297" spans="2:5" x14ac:dyDescent="0.35">
      <c r="B297" s="114" t="s">
        <v>467</v>
      </c>
      <c r="C297" s="240">
        <v>740</v>
      </c>
      <c r="D297" s="240">
        <v>755</v>
      </c>
      <c r="E297" s="240">
        <v>747.5</v>
      </c>
    </row>
    <row r="298" spans="2:5" x14ac:dyDescent="0.35">
      <c r="B298" s="114" t="s">
        <v>468</v>
      </c>
      <c r="C298" s="240">
        <v>740</v>
      </c>
      <c r="D298" s="240">
        <v>760</v>
      </c>
      <c r="E298" s="240">
        <v>750</v>
      </c>
    </row>
    <row r="299" spans="2:5" x14ac:dyDescent="0.35">
      <c r="B299" s="114" t="s">
        <v>469</v>
      </c>
      <c r="C299" s="240">
        <v>755</v>
      </c>
      <c r="D299" s="240">
        <v>785</v>
      </c>
      <c r="E299" s="240">
        <v>770</v>
      </c>
    </row>
    <row r="300" spans="2:5" x14ac:dyDescent="0.35">
      <c r="B300" s="114" t="s">
        <v>493</v>
      </c>
      <c r="C300" s="240">
        <v>790</v>
      </c>
      <c r="D300" s="240">
        <v>810</v>
      </c>
      <c r="E300" s="240">
        <v>800</v>
      </c>
    </row>
    <row r="301" spans="2:5" x14ac:dyDescent="0.35">
      <c r="B301" s="114" t="s">
        <v>494</v>
      </c>
      <c r="C301" s="240">
        <v>795</v>
      </c>
      <c r="D301" s="240">
        <v>810</v>
      </c>
      <c r="E301" s="240">
        <v>802.5</v>
      </c>
    </row>
    <row r="302" spans="2:5" x14ac:dyDescent="0.35">
      <c r="B302" s="114" t="s">
        <v>495</v>
      </c>
      <c r="C302" s="240">
        <v>800</v>
      </c>
      <c r="D302" s="240">
        <v>850</v>
      </c>
      <c r="E302" s="240">
        <v>825</v>
      </c>
    </row>
    <row r="303" spans="2:5" x14ac:dyDescent="0.35">
      <c r="B303" s="114" t="s">
        <v>496</v>
      </c>
      <c r="C303" s="240">
        <v>830</v>
      </c>
      <c r="D303" s="240">
        <v>860</v>
      </c>
      <c r="E303" s="240">
        <v>845</v>
      </c>
    </row>
    <row r="304" spans="2:5" x14ac:dyDescent="0.35">
      <c r="B304" s="114" t="s">
        <v>497</v>
      </c>
      <c r="C304" s="240">
        <v>815</v>
      </c>
      <c r="D304" s="240">
        <v>845</v>
      </c>
      <c r="E304" s="240">
        <v>830</v>
      </c>
    </row>
    <row r="310" spans="2:2" x14ac:dyDescent="0.35">
      <c r="B310" s="133" t="s">
        <v>120</v>
      </c>
    </row>
    <row r="311" spans="2:2" x14ac:dyDescent="0.35">
      <c r="B311" s="133" t="s">
        <v>121</v>
      </c>
    </row>
    <row r="312" spans="2:2" x14ac:dyDescent="0.35">
      <c r="B312" s="133" t="s">
        <v>122</v>
      </c>
    </row>
    <row r="313" spans="2:2" x14ac:dyDescent="0.35">
      <c r="B313" s="133" t="s">
        <v>123</v>
      </c>
    </row>
    <row r="314" spans="2:2" x14ac:dyDescent="0.35">
      <c r="B314" s="133" t="s">
        <v>124</v>
      </c>
    </row>
    <row r="1048576" spans="9:9" x14ac:dyDescent="0.35">
      <c r="I1048576" s="129" t="e">
        <f>AVERAGE(#REF!)</f>
        <v>#REF!</v>
      </c>
    </row>
  </sheetData>
  <phoneticPr fontId="18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CC22-432F-434F-9E20-E3DDF9E782EE}">
  <sheetPr>
    <tabColor theme="5"/>
  </sheetPr>
  <dimension ref="E8:H20"/>
  <sheetViews>
    <sheetView topLeftCell="A4" workbookViewId="0">
      <selection activeCell="H19" sqref="H19"/>
    </sheetView>
  </sheetViews>
  <sheetFormatPr defaultRowHeight="14.5" x14ac:dyDescent="0.35"/>
  <cols>
    <col min="5" max="5" width="10.54296875" bestFit="1" customWidth="1"/>
    <col min="6" max="6" width="11.08984375" customWidth="1"/>
    <col min="7" max="7" width="13.26953125" bestFit="1" customWidth="1"/>
    <col min="8" max="8" width="25.81640625" bestFit="1" customWidth="1"/>
  </cols>
  <sheetData>
    <row r="8" spans="5:8" x14ac:dyDescent="0.35">
      <c r="H8" t="s">
        <v>511</v>
      </c>
    </row>
    <row r="9" spans="5:8" x14ac:dyDescent="0.35">
      <c r="H9" t="s">
        <v>515</v>
      </c>
    </row>
    <row r="11" spans="5:8" x14ac:dyDescent="0.35">
      <c r="E11" s="291" t="s">
        <v>503</v>
      </c>
      <c r="F11" s="292">
        <v>748.75</v>
      </c>
    </row>
    <row r="12" spans="5:8" x14ac:dyDescent="0.35">
      <c r="E12" s="295" t="s">
        <v>392</v>
      </c>
      <c r="F12" s="296">
        <v>34.840000000000003</v>
      </c>
      <c r="G12" s="288" t="s">
        <v>505</v>
      </c>
      <c r="H12" s="288" t="s">
        <v>506</v>
      </c>
    </row>
    <row r="13" spans="5:8" x14ac:dyDescent="0.35">
      <c r="E13" s="291" t="s">
        <v>504</v>
      </c>
      <c r="F13" s="292">
        <v>185.8</v>
      </c>
      <c r="G13" s="288" t="s">
        <v>512</v>
      </c>
    </row>
    <row r="14" spans="5:8" x14ac:dyDescent="0.35">
      <c r="E14" s="293" t="s">
        <v>393</v>
      </c>
      <c r="F14" s="294">
        <v>30</v>
      </c>
      <c r="G14" s="288" t="s">
        <v>512</v>
      </c>
    </row>
    <row r="15" spans="5:8" x14ac:dyDescent="0.35">
      <c r="E15" t="s">
        <v>509</v>
      </c>
      <c r="F15" s="289">
        <f>SUM(F11:F14)</f>
        <v>999.3900000000001</v>
      </c>
    </row>
    <row r="16" spans="5:8" x14ac:dyDescent="0.35">
      <c r="E16" t="s">
        <v>507</v>
      </c>
      <c r="F16" s="290">
        <v>3.7999999999999999E-2</v>
      </c>
      <c r="G16" s="288" t="s">
        <v>513</v>
      </c>
    </row>
    <row r="17" spans="5:8" x14ac:dyDescent="0.35">
      <c r="E17" t="s">
        <v>508</v>
      </c>
      <c r="F17" s="290">
        <v>0.04</v>
      </c>
      <c r="G17" s="288" t="s">
        <v>514</v>
      </c>
    </row>
    <row r="18" spans="5:8" x14ac:dyDescent="0.35">
      <c r="F18" s="290">
        <f>F17+F16</f>
        <v>7.8E-2</v>
      </c>
    </row>
    <row r="19" spans="5:8" x14ac:dyDescent="0.35">
      <c r="E19" t="s">
        <v>394</v>
      </c>
      <c r="F19" s="297">
        <f>((F15*F18)/365)*185</f>
        <v>39.510130684931511</v>
      </c>
      <c r="H19" s="6" t="s">
        <v>516</v>
      </c>
    </row>
    <row r="20" spans="5:8" x14ac:dyDescent="0.35">
      <c r="E20" t="s">
        <v>510</v>
      </c>
      <c r="F20" s="297">
        <f>F19+F11+F12+F13+F14</f>
        <v>1038.9001306849316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EAAA-1D85-484B-8B0F-9A7E53B44B22}">
  <dimension ref="B2:N69"/>
  <sheetViews>
    <sheetView showGridLines="0" zoomScale="90" zoomScaleNormal="90" workbookViewId="0">
      <selection activeCell="I16" sqref="I16"/>
    </sheetView>
  </sheetViews>
  <sheetFormatPr defaultColWidth="11.453125" defaultRowHeight="14.5" x14ac:dyDescent="0.35"/>
  <cols>
    <col min="1" max="1" width="8.1796875" bestFit="1" customWidth="1"/>
    <col min="2" max="2" width="30.1796875" bestFit="1" customWidth="1"/>
    <col min="3" max="3" width="5.1796875" bestFit="1" customWidth="1"/>
    <col min="4" max="4" width="17.81640625" bestFit="1" customWidth="1"/>
    <col min="5" max="5" width="10.81640625" bestFit="1" customWidth="1"/>
    <col min="6" max="6" width="26.08984375" customWidth="1"/>
    <col min="7" max="7" width="13" bestFit="1" customWidth="1"/>
    <col min="8" max="8" width="11.81640625" bestFit="1" customWidth="1"/>
    <col min="9" max="9" width="20.1796875" customWidth="1"/>
    <col min="11" max="11" width="12.453125" bestFit="1" customWidth="1"/>
  </cols>
  <sheetData>
    <row r="2" spans="2:9" ht="21" x14ac:dyDescent="0.5">
      <c r="B2" s="56"/>
      <c r="C2" s="6"/>
      <c r="D2" s="274"/>
      <c r="E2" s="9"/>
      <c r="F2" s="9"/>
      <c r="G2" s="9"/>
      <c r="H2" s="9"/>
      <c r="I2" s="10"/>
    </row>
    <row r="3" spans="2:9" x14ac:dyDescent="0.35">
      <c r="B3" s="14" t="s">
        <v>448</v>
      </c>
      <c r="D3" s="299" t="s">
        <v>499</v>
      </c>
      <c r="E3" s="299"/>
      <c r="F3" s="299"/>
      <c r="G3" s="299"/>
      <c r="H3" s="299"/>
      <c r="I3" s="299"/>
    </row>
    <row r="4" spans="2:9" x14ac:dyDescent="0.35">
      <c r="B4" s="1" t="s">
        <v>498</v>
      </c>
    </row>
    <row r="5" spans="2:9" x14ac:dyDescent="0.35">
      <c r="B5" s="2" t="s">
        <v>0</v>
      </c>
      <c r="C5" s="3"/>
      <c r="D5" s="4"/>
      <c r="E5" s="4"/>
      <c r="F5" s="4" t="s">
        <v>17</v>
      </c>
      <c r="G5" s="4" t="s">
        <v>1</v>
      </c>
      <c r="H5" s="4" t="s">
        <v>2</v>
      </c>
      <c r="I5" s="5" t="s">
        <v>3</v>
      </c>
    </row>
    <row r="6" spans="2:9" x14ac:dyDescent="0.35">
      <c r="C6" s="6" t="s">
        <v>4</v>
      </c>
      <c r="F6" s="7">
        <f>+F7/22.0462262</f>
        <v>0</v>
      </c>
      <c r="G6" s="7">
        <v>0</v>
      </c>
      <c r="H6" s="7">
        <f>+SUM(F6:G6)*0.5%</f>
        <v>0</v>
      </c>
      <c r="I6" s="8">
        <f>+SUM(D6:H6)</f>
        <v>0</v>
      </c>
    </row>
    <row r="7" spans="2:9" x14ac:dyDescent="0.35">
      <c r="C7" s="6" t="s">
        <v>5</v>
      </c>
      <c r="F7" s="76"/>
      <c r="G7" s="9">
        <f t="shared" ref="G7:H7" si="0">+G6*22.0462</f>
        <v>0</v>
      </c>
      <c r="H7" s="9">
        <f t="shared" si="0"/>
        <v>0</v>
      </c>
      <c r="I7" s="10">
        <f>+I6*22.0462</f>
        <v>0</v>
      </c>
    </row>
    <row r="8" spans="2:9" x14ac:dyDescent="0.35">
      <c r="C8" s="6"/>
      <c r="D8" s="9"/>
      <c r="E8" s="9"/>
      <c r="F8" s="9"/>
      <c r="G8" s="9"/>
      <c r="H8" s="9"/>
      <c r="I8" s="10"/>
    </row>
    <row r="9" spans="2:9" x14ac:dyDescent="0.35">
      <c r="B9" s="2" t="s">
        <v>6</v>
      </c>
      <c r="C9" s="2"/>
      <c r="D9" s="4"/>
      <c r="E9" s="4"/>
      <c r="F9" s="4" t="s">
        <v>17</v>
      </c>
      <c r="G9" s="4" t="s">
        <v>1</v>
      </c>
      <c r="H9" s="4" t="s">
        <v>2</v>
      </c>
      <c r="I9" s="5" t="s">
        <v>190</v>
      </c>
    </row>
    <row r="10" spans="2:9" x14ac:dyDescent="0.35">
      <c r="C10" s="6" t="s">
        <v>4</v>
      </c>
      <c r="F10" s="7">
        <f>+F11/22.0462262</f>
        <v>47.509978952867648</v>
      </c>
      <c r="G10" s="7">
        <v>0</v>
      </c>
      <c r="H10" s="7">
        <f>+SUM(F10:G10)*0.5%</f>
        <v>0.23754989476433824</v>
      </c>
      <c r="I10" s="8">
        <f>SUM(D10:H10)</f>
        <v>47.747528847631983</v>
      </c>
    </row>
    <row r="11" spans="2:9" x14ac:dyDescent="0.35">
      <c r="C11" s="6" t="s">
        <v>5</v>
      </c>
      <c r="F11" s="76">
        <f>+Kardex!CX8</f>
        <v>1047.4157427521593</v>
      </c>
      <c r="G11" s="9">
        <f t="shared" ref="G11" si="1">+G10*22.0462</f>
        <v>0</v>
      </c>
      <c r="H11" s="9">
        <f>+H10*22.0462</f>
        <v>5.2370724899535537</v>
      </c>
      <c r="I11" s="10">
        <f t="shared" ref="I11" si="2">+I10*22.0462</f>
        <v>1052.6515704806641</v>
      </c>
    </row>
    <row r="13" spans="2:9" x14ac:dyDescent="0.35">
      <c r="B13" s="2" t="s">
        <v>7</v>
      </c>
      <c r="C13" s="2"/>
      <c r="D13" s="4" t="s">
        <v>449</v>
      </c>
      <c r="E13" s="4" t="s">
        <v>450</v>
      </c>
      <c r="F13" s="4" t="s">
        <v>10</v>
      </c>
      <c r="G13" s="4" t="s">
        <v>1</v>
      </c>
      <c r="H13" s="4" t="s">
        <v>2</v>
      </c>
      <c r="I13" s="5" t="s">
        <v>11</v>
      </c>
    </row>
    <row r="14" spans="2:9" x14ac:dyDescent="0.35">
      <c r="C14" s="6" t="s">
        <v>4</v>
      </c>
      <c r="D14" s="7">
        <f>I6*0.25</f>
        <v>0</v>
      </c>
      <c r="E14" s="7">
        <f>I10*1</f>
        <v>47.747528847631983</v>
      </c>
      <c r="F14" s="7"/>
      <c r="G14" s="7">
        <v>1.3654999999999999</v>
      </c>
      <c r="H14" s="7">
        <v>0</v>
      </c>
      <c r="I14" s="8">
        <f>+SUM(D14:H14)</f>
        <v>49.113028847631981</v>
      </c>
    </row>
    <row r="15" spans="2:9" x14ac:dyDescent="0.35">
      <c r="C15" s="6" t="s">
        <v>5</v>
      </c>
      <c r="D15" s="9">
        <f>+D14*22.0462</f>
        <v>0</v>
      </c>
      <c r="E15" s="9">
        <f>+E14*22.0462</f>
        <v>1052.6515704806641</v>
      </c>
      <c r="F15" s="9">
        <f>+F14*22.0462</f>
        <v>0</v>
      </c>
      <c r="G15" s="9">
        <f t="shared" ref="G15:H15" si="3">+G14*22.0462</f>
        <v>30.104086099999996</v>
      </c>
      <c r="H15" s="9">
        <f t="shared" si="3"/>
        <v>0</v>
      </c>
      <c r="I15" s="10">
        <f>+I14*22.0462</f>
        <v>1082.7556565806642</v>
      </c>
    </row>
    <row r="16" spans="2:9" x14ac:dyDescent="0.35">
      <c r="C16" s="6"/>
      <c r="D16" s="9"/>
      <c r="E16" s="9"/>
      <c r="F16" s="9">
        <f>F15/2</f>
        <v>0</v>
      </c>
      <c r="G16" s="9">
        <f>G15/1</f>
        <v>30.104086099999996</v>
      </c>
      <c r="H16" s="9">
        <f>+H15*22.0462</f>
        <v>0</v>
      </c>
      <c r="I16" s="10"/>
    </row>
    <row r="20" spans="2:14" x14ac:dyDescent="0.35">
      <c r="C20" s="6"/>
      <c r="D20" s="9"/>
      <c r="E20" s="9"/>
      <c r="F20" s="9"/>
      <c r="G20" s="9"/>
      <c r="H20" s="9"/>
      <c r="I20" s="10"/>
      <c r="J20" s="13"/>
      <c r="K20" s="16"/>
    </row>
    <row r="21" spans="2:14" ht="21" x14ac:dyDescent="0.5">
      <c r="B21" s="56" t="s">
        <v>15</v>
      </c>
      <c r="C21" s="6"/>
      <c r="D21" s="274"/>
      <c r="E21" s="9"/>
      <c r="F21" s="9"/>
      <c r="G21" s="9"/>
      <c r="H21" s="9"/>
      <c r="I21" s="10"/>
      <c r="J21" s="17"/>
      <c r="K21" s="16"/>
    </row>
    <row r="22" spans="2:14" ht="28.75" customHeight="1" x14ac:dyDescent="0.35">
      <c r="B22" s="15" t="s">
        <v>188</v>
      </c>
      <c r="D22" s="298" t="str">
        <f>+D3</f>
        <v>SELL SIDE para aplicar en Mar   2026</v>
      </c>
      <c r="E22" s="298"/>
      <c r="F22" s="298"/>
      <c r="G22" s="298"/>
      <c r="H22" s="298"/>
      <c r="I22" s="298"/>
    </row>
    <row r="23" spans="2:14" x14ac:dyDescent="0.35">
      <c r="B23" s="1" t="str">
        <f>+B4</f>
        <v>Precio aplicable Mar   2026</v>
      </c>
    </row>
    <row r="24" spans="2:14" x14ac:dyDescent="0.35">
      <c r="B24" s="2" t="s">
        <v>0</v>
      </c>
      <c r="C24" s="3"/>
      <c r="D24" s="4"/>
      <c r="E24" s="4"/>
      <c r="F24" s="4" t="s">
        <v>17</v>
      </c>
      <c r="G24" s="4" t="s">
        <v>1</v>
      </c>
      <c r="H24" s="4" t="s">
        <v>2</v>
      </c>
      <c r="I24" s="5" t="s">
        <v>3</v>
      </c>
      <c r="L24" s="18"/>
    </row>
    <row r="25" spans="2:14" x14ac:dyDescent="0.35">
      <c r="C25" s="6" t="s">
        <v>4</v>
      </c>
      <c r="F25" s="7">
        <f>+F26/22.0462262</f>
        <v>70.202412279902134</v>
      </c>
      <c r="G25" s="7">
        <v>0</v>
      </c>
      <c r="H25" s="7">
        <f>+SUM(F25:G25)*0.5%</f>
        <v>0.35101206139951069</v>
      </c>
      <c r="I25" s="8">
        <f>+SUM(D25:H25)</f>
        <v>70.55342434130165</v>
      </c>
      <c r="K25" s="18"/>
    </row>
    <row r="26" spans="2:14" x14ac:dyDescent="0.35">
      <c r="C26" s="6" t="s">
        <v>5</v>
      </c>
      <c r="F26" s="76">
        <f>+Kardex!CX23</f>
        <v>1547.69826090838</v>
      </c>
      <c r="G26" s="9">
        <f t="shared" ref="G26:H26" si="4">+G25*22.0462</f>
        <v>0</v>
      </c>
      <c r="H26" s="9">
        <f t="shared" si="4"/>
        <v>7.7384821080258925</v>
      </c>
      <c r="I26" s="10">
        <f>+I25*22.0462</f>
        <v>1555.4349037132044</v>
      </c>
      <c r="K26" s="103"/>
      <c r="L26" s="18"/>
      <c r="M26" s="74"/>
    </row>
    <row r="27" spans="2:14" x14ac:dyDescent="0.35">
      <c r="C27" s="6"/>
      <c r="D27" s="9"/>
      <c r="E27" s="9"/>
      <c r="F27" s="9"/>
      <c r="G27" s="9"/>
      <c r="H27" s="9"/>
      <c r="I27" s="10"/>
      <c r="K27" s="18"/>
      <c r="L27" s="18"/>
    </row>
    <row r="28" spans="2:14" x14ac:dyDescent="0.35">
      <c r="B28" s="2" t="s">
        <v>6</v>
      </c>
      <c r="C28" s="2"/>
      <c r="D28" s="4"/>
      <c r="E28" s="4"/>
      <c r="F28" s="4" t="s">
        <v>17</v>
      </c>
      <c r="G28" s="4" t="s">
        <v>1</v>
      </c>
      <c r="H28" s="4" t="s">
        <v>2</v>
      </c>
      <c r="I28" s="5" t="s">
        <v>190</v>
      </c>
      <c r="K28" s="18"/>
      <c r="N28" s="74"/>
    </row>
    <row r="29" spans="2:14" x14ac:dyDescent="0.35">
      <c r="C29" s="6" t="s">
        <v>4</v>
      </c>
      <c r="F29" s="7">
        <f>+F30/22.0462262</f>
        <v>47.509978952867648</v>
      </c>
      <c r="G29" s="7">
        <v>0</v>
      </c>
      <c r="H29" s="7">
        <f>+SUM(F29:G29)*0.5%</f>
        <v>0.23754989476433824</v>
      </c>
      <c r="I29" s="8">
        <f>SUM(D29:H29)</f>
        <v>47.747528847631983</v>
      </c>
    </row>
    <row r="30" spans="2:14" x14ac:dyDescent="0.35">
      <c r="C30" s="6" t="s">
        <v>5</v>
      </c>
      <c r="F30" s="76">
        <f>+F11</f>
        <v>1047.4157427521593</v>
      </c>
      <c r="G30" s="9">
        <f t="shared" ref="G30:I30" si="5">+G29*22.0462</f>
        <v>0</v>
      </c>
      <c r="H30" s="9">
        <f>+H29*22.0462</f>
        <v>5.2370724899535537</v>
      </c>
      <c r="I30" s="10">
        <f t="shared" si="5"/>
        <v>1052.6515704806641</v>
      </c>
      <c r="K30" s="18"/>
    </row>
    <row r="31" spans="2:14" x14ac:dyDescent="0.35">
      <c r="K31" s="103"/>
      <c r="L31" s="103"/>
    </row>
    <row r="32" spans="2:14" x14ac:dyDescent="0.35">
      <c r="B32" s="2" t="s">
        <v>7</v>
      </c>
      <c r="C32" s="2"/>
      <c r="D32" s="4" t="s">
        <v>8</v>
      </c>
      <c r="E32" s="4" t="s">
        <v>9</v>
      </c>
      <c r="F32" s="4" t="s">
        <v>10</v>
      </c>
      <c r="G32" s="4" t="s">
        <v>1</v>
      </c>
      <c r="H32" s="4" t="s">
        <v>2</v>
      </c>
      <c r="I32" s="5" t="s">
        <v>11</v>
      </c>
    </row>
    <row r="33" spans="2:10" x14ac:dyDescent="0.35">
      <c r="C33" s="6" t="s">
        <v>4</v>
      </c>
      <c r="D33" s="7">
        <f>I25*0.25</f>
        <v>17.638356085325412</v>
      </c>
      <c r="E33" s="7">
        <f>I29*0.75</f>
        <v>35.810646635723984</v>
      </c>
      <c r="F33" s="7">
        <v>0.4763</v>
      </c>
      <c r="G33" s="7">
        <v>1.3654999999999999</v>
      </c>
      <c r="H33" s="7">
        <v>0</v>
      </c>
      <c r="I33" s="8">
        <f>+SUM(D33:H33)</f>
        <v>55.290802721049396</v>
      </c>
    </row>
    <row r="34" spans="2:10" x14ac:dyDescent="0.35">
      <c r="C34" s="6" t="s">
        <v>5</v>
      </c>
      <c r="D34" s="9">
        <f>+D33*22.0462</f>
        <v>388.85872592830111</v>
      </c>
      <c r="E34" s="9">
        <f>+E33*22.0462</f>
        <v>789.488677860498</v>
      </c>
      <c r="F34" s="9">
        <f>+F33*22.0462</f>
        <v>10.50060506</v>
      </c>
      <c r="G34" s="9">
        <f t="shared" ref="G34:H34" si="6">+G33*22.0462</f>
        <v>30.104086099999996</v>
      </c>
      <c r="H34" s="9">
        <f t="shared" si="6"/>
        <v>0</v>
      </c>
      <c r="I34" s="10">
        <f>+I33*22.0462</f>
        <v>1218.9520949487992</v>
      </c>
    </row>
    <row r="35" spans="2:10" x14ac:dyDescent="0.35">
      <c r="C35" s="6"/>
      <c r="D35" s="9"/>
      <c r="E35" s="9"/>
      <c r="F35" s="9">
        <f>F34/2</f>
        <v>5.2503025299999999</v>
      </c>
      <c r="G35" s="9">
        <f>G34/2</f>
        <v>15.052043049999998</v>
      </c>
      <c r="H35" s="9">
        <f>G35+F35</f>
        <v>20.302345579999997</v>
      </c>
      <c r="I35" s="10"/>
    </row>
    <row r="36" spans="2:10" ht="21" x14ac:dyDescent="0.5">
      <c r="B36" s="56" t="s">
        <v>16</v>
      </c>
      <c r="C36" s="6"/>
      <c r="D36" s="9"/>
      <c r="E36" s="9"/>
      <c r="F36" s="9"/>
      <c r="G36" s="9"/>
      <c r="H36" s="9"/>
      <c r="I36" s="10"/>
    </row>
    <row r="37" spans="2:10" ht="28.75" customHeight="1" x14ac:dyDescent="0.35">
      <c r="B37" s="14" t="s">
        <v>189</v>
      </c>
      <c r="D37" s="299" t="str">
        <f>+D22</f>
        <v>SELL SIDE para aplicar en Mar   2026</v>
      </c>
      <c r="E37" s="299"/>
      <c r="F37" s="299"/>
      <c r="G37" s="299"/>
      <c r="H37" s="299"/>
      <c r="I37" s="299"/>
    </row>
    <row r="38" spans="2:10" x14ac:dyDescent="0.35">
      <c r="B38" s="1" t="str">
        <f>+B23</f>
        <v>Precio aplicable Mar   2026</v>
      </c>
    </row>
    <row r="39" spans="2:10" x14ac:dyDescent="0.35">
      <c r="B39" s="2" t="s">
        <v>0</v>
      </c>
      <c r="C39" s="3"/>
      <c r="D39" s="4"/>
      <c r="E39" s="4"/>
      <c r="F39" s="4" t="s">
        <v>17</v>
      </c>
      <c r="G39" s="4" t="s">
        <v>1</v>
      </c>
      <c r="H39" s="4" t="s">
        <v>2</v>
      </c>
      <c r="I39" s="5" t="s">
        <v>3</v>
      </c>
    </row>
    <row r="40" spans="2:10" x14ac:dyDescent="0.35">
      <c r="C40" s="6" t="s">
        <v>4</v>
      </c>
      <c r="F40" s="7">
        <f>+F41/22.0462262</f>
        <v>70.202412279902134</v>
      </c>
      <c r="G40" s="7">
        <v>0</v>
      </c>
      <c r="H40" s="7">
        <f>+SUM(F40:G40)*0.5%</f>
        <v>0.35101206139951069</v>
      </c>
      <c r="I40" s="8">
        <f>+SUM(D40:H40)</f>
        <v>70.55342434130165</v>
      </c>
    </row>
    <row r="41" spans="2:10" x14ac:dyDescent="0.35">
      <c r="C41" s="6" t="s">
        <v>5</v>
      </c>
      <c r="F41" s="76">
        <f>+F26</f>
        <v>1547.69826090838</v>
      </c>
      <c r="G41" s="9">
        <f t="shared" ref="G41:H41" si="7">+G40*22.0462</f>
        <v>0</v>
      </c>
      <c r="H41" s="9">
        <f t="shared" si="7"/>
        <v>7.7384821080258925</v>
      </c>
      <c r="I41" s="10">
        <f>+I40*22.0462</f>
        <v>1555.4349037132044</v>
      </c>
      <c r="J41" s="11"/>
    </row>
    <row r="42" spans="2:10" x14ac:dyDescent="0.35">
      <c r="C42" s="6"/>
      <c r="D42" s="9"/>
      <c r="E42" s="9"/>
      <c r="F42" s="9"/>
      <c r="G42" s="9"/>
      <c r="H42" s="9"/>
      <c r="I42" s="10"/>
    </row>
    <row r="43" spans="2:10" x14ac:dyDescent="0.35">
      <c r="B43" s="2" t="s">
        <v>6</v>
      </c>
      <c r="C43" s="2"/>
      <c r="D43" s="4"/>
      <c r="E43" s="4"/>
      <c r="F43" s="4" t="s">
        <v>17</v>
      </c>
      <c r="G43" s="4" t="s">
        <v>1</v>
      </c>
      <c r="H43" s="4" t="s">
        <v>2</v>
      </c>
      <c r="I43" s="5" t="s">
        <v>190</v>
      </c>
    </row>
    <row r="44" spans="2:10" x14ac:dyDescent="0.35">
      <c r="C44" s="6" t="s">
        <v>4</v>
      </c>
      <c r="F44" s="7">
        <f>+F45/22.0462262</f>
        <v>47.509978952867648</v>
      </c>
      <c r="G44" s="7">
        <v>0</v>
      </c>
      <c r="H44" s="7">
        <f>+SUM(F44:G44)*0.5%</f>
        <v>0.23754989476433824</v>
      </c>
      <c r="I44" s="8">
        <f>SUM(D44:H44)</f>
        <v>47.747528847631983</v>
      </c>
    </row>
    <row r="45" spans="2:10" x14ac:dyDescent="0.35">
      <c r="C45" s="6" t="s">
        <v>5</v>
      </c>
      <c r="F45" s="76">
        <f>+F30</f>
        <v>1047.4157427521593</v>
      </c>
      <c r="G45" s="9">
        <f t="shared" ref="G45:I45" si="8">+G44*22.0462</f>
        <v>0</v>
      </c>
      <c r="H45" s="9">
        <f t="shared" si="8"/>
        <v>5.2370724899535537</v>
      </c>
      <c r="I45" s="10">
        <f t="shared" si="8"/>
        <v>1052.6515704806641</v>
      </c>
    </row>
    <row r="47" spans="2:10" x14ac:dyDescent="0.35">
      <c r="B47" s="2" t="s">
        <v>7</v>
      </c>
      <c r="C47" s="2"/>
      <c r="D47" s="4" t="s">
        <v>13</v>
      </c>
      <c r="E47" s="4" t="s">
        <v>14</v>
      </c>
      <c r="F47" s="4" t="s">
        <v>10</v>
      </c>
      <c r="G47" s="4" t="s">
        <v>1</v>
      </c>
      <c r="H47" s="4" t="s">
        <v>2</v>
      </c>
      <c r="I47" s="5" t="s">
        <v>11</v>
      </c>
    </row>
    <row r="48" spans="2:10" x14ac:dyDescent="0.35">
      <c r="C48" s="6" t="s">
        <v>4</v>
      </c>
      <c r="D48" s="7">
        <f>I40*0.5</f>
        <v>35.276712170650825</v>
      </c>
      <c r="E48" s="7">
        <f>I44*0.5</f>
        <v>23.873764423815992</v>
      </c>
      <c r="F48" s="7">
        <v>0.4763</v>
      </c>
      <c r="G48" s="7">
        <v>1.3654999999999999</v>
      </c>
      <c r="H48" s="7">
        <v>0</v>
      </c>
      <c r="I48" s="8">
        <f>+SUM(D48:H48)</f>
        <v>60.992276594466816</v>
      </c>
    </row>
    <row r="49" spans="2:10" x14ac:dyDescent="0.35">
      <c r="C49" s="6" t="s">
        <v>5</v>
      </c>
      <c r="D49" s="9">
        <f>+D48*22.0462</f>
        <v>777.71745185660222</v>
      </c>
      <c r="E49" s="9">
        <f>+E48*22.0462</f>
        <v>526.32578524033204</v>
      </c>
      <c r="F49" s="9">
        <f t="shared" ref="F49:H49" si="9">+F48*22.0462</f>
        <v>10.50060506</v>
      </c>
      <c r="G49" s="9">
        <f t="shared" si="9"/>
        <v>30.104086099999996</v>
      </c>
      <c r="H49" s="9">
        <f t="shared" si="9"/>
        <v>0</v>
      </c>
      <c r="I49" s="10">
        <f>+I48*22.0462</f>
        <v>1344.6479282569342</v>
      </c>
    </row>
    <row r="50" spans="2:10" x14ac:dyDescent="0.35">
      <c r="G50" s="11"/>
      <c r="J50" s="146"/>
    </row>
    <row r="51" spans="2:10" x14ac:dyDescent="0.35">
      <c r="G51" s="11"/>
      <c r="I51" s="11"/>
      <c r="J51" s="11"/>
    </row>
    <row r="54" spans="2:10" ht="21" x14ac:dyDescent="0.5">
      <c r="B54" s="56" t="s">
        <v>18</v>
      </c>
      <c r="C54" s="6"/>
      <c r="D54" s="9"/>
      <c r="E54" s="9"/>
      <c r="F54" s="9"/>
      <c r="G54" s="9"/>
      <c r="H54" s="9"/>
      <c r="I54" s="10"/>
    </row>
    <row r="55" spans="2:10" ht="28.75" customHeight="1" x14ac:dyDescent="0.35">
      <c r="B55" s="14" t="s">
        <v>202</v>
      </c>
      <c r="D55" s="299" t="str">
        <f>+D37</f>
        <v>SELL SIDE para aplicar en Mar   2026</v>
      </c>
      <c r="E55" s="299"/>
      <c r="F55" s="299"/>
      <c r="G55" s="299"/>
      <c r="H55" s="299"/>
      <c r="I55" s="299"/>
    </row>
    <row r="56" spans="2:10" x14ac:dyDescent="0.35">
      <c r="B56" s="1" t="str">
        <f>+B38</f>
        <v>Precio aplicable Mar   2026</v>
      </c>
    </row>
    <row r="57" spans="2:10" x14ac:dyDescent="0.35">
      <c r="B57" s="2" t="s">
        <v>0</v>
      </c>
      <c r="C57" s="3"/>
      <c r="D57" s="4"/>
      <c r="E57" s="4"/>
      <c r="F57" s="4" t="s">
        <v>17</v>
      </c>
      <c r="G57" s="4" t="s">
        <v>1</v>
      </c>
      <c r="H57" s="4" t="s">
        <v>2</v>
      </c>
      <c r="I57" s="5" t="s">
        <v>3</v>
      </c>
    </row>
    <row r="58" spans="2:10" x14ac:dyDescent="0.35">
      <c r="C58" s="6" t="s">
        <v>4</v>
      </c>
      <c r="F58" s="7">
        <f>+F59/22.0462262</f>
        <v>70.202412279902134</v>
      </c>
      <c r="G58" s="7">
        <v>0</v>
      </c>
      <c r="H58" s="7">
        <f>+SUM(F58:G58)*0.5%</f>
        <v>0.35101206139951069</v>
      </c>
      <c r="I58" s="8">
        <f>+SUM(D58:H58)</f>
        <v>70.55342434130165</v>
      </c>
    </row>
    <row r="59" spans="2:10" x14ac:dyDescent="0.35">
      <c r="C59" s="6" t="s">
        <v>5</v>
      </c>
      <c r="F59" s="76">
        <f>+F41</f>
        <v>1547.69826090838</v>
      </c>
      <c r="G59" s="9">
        <f t="shared" ref="G59:H59" si="10">+G58*22.0462</f>
        <v>0</v>
      </c>
      <c r="H59" s="9">
        <f t="shared" si="10"/>
        <v>7.7384821080258925</v>
      </c>
      <c r="I59" s="10">
        <f>+I58*22.0462</f>
        <v>1555.4349037132044</v>
      </c>
    </row>
    <row r="60" spans="2:10" x14ac:dyDescent="0.35">
      <c r="C60" s="6"/>
      <c r="D60" s="9"/>
      <c r="E60" s="9"/>
      <c r="F60" s="9"/>
      <c r="G60" s="9"/>
      <c r="H60" s="9"/>
      <c r="I60" s="10"/>
    </row>
    <row r="61" spans="2:10" x14ac:dyDescent="0.35">
      <c r="B61" s="2" t="s">
        <v>6</v>
      </c>
      <c r="C61" s="2"/>
      <c r="D61" s="4"/>
      <c r="E61" s="4"/>
      <c r="F61" s="4" t="s">
        <v>17</v>
      </c>
      <c r="G61" s="4" t="s">
        <v>1</v>
      </c>
      <c r="H61" s="4" t="s">
        <v>2</v>
      </c>
      <c r="I61" s="5" t="s">
        <v>190</v>
      </c>
    </row>
    <row r="62" spans="2:10" x14ac:dyDescent="0.35">
      <c r="C62" s="6" t="s">
        <v>4</v>
      </c>
      <c r="F62" s="7">
        <f>+F63/22.0462262</f>
        <v>0</v>
      </c>
      <c r="G62" s="7">
        <v>0</v>
      </c>
      <c r="H62" s="7">
        <f>+SUM(F62:G62)*0.5%</f>
        <v>0</v>
      </c>
      <c r="I62" s="8">
        <f>SUM(D62:H62)</f>
        <v>0</v>
      </c>
    </row>
    <row r="63" spans="2:10" x14ac:dyDescent="0.35">
      <c r="C63" s="6" t="s">
        <v>5</v>
      </c>
      <c r="F63" s="12"/>
      <c r="G63" s="9">
        <f t="shared" ref="G63:I63" si="11">+G62*22.0462</f>
        <v>0</v>
      </c>
      <c r="H63" s="9">
        <f t="shared" si="11"/>
        <v>0</v>
      </c>
      <c r="I63" s="10">
        <f t="shared" si="11"/>
        <v>0</v>
      </c>
    </row>
    <row r="65" spans="2:9" x14ac:dyDescent="0.35">
      <c r="B65" s="2" t="s">
        <v>7</v>
      </c>
      <c r="C65" s="2"/>
      <c r="D65" s="4" t="s">
        <v>20</v>
      </c>
      <c r="E65" s="4" t="s">
        <v>19</v>
      </c>
      <c r="F65" s="4" t="s">
        <v>10</v>
      </c>
      <c r="G65" s="4" t="s">
        <v>1</v>
      </c>
      <c r="H65" s="4" t="s">
        <v>2</v>
      </c>
      <c r="I65" s="5" t="s">
        <v>11</v>
      </c>
    </row>
    <row r="66" spans="2:9" x14ac:dyDescent="0.35">
      <c r="C66" s="6" t="s">
        <v>4</v>
      </c>
      <c r="D66" s="7">
        <f>I58*1</f>
        <v>70.55342434130165</v>
      </c>
      <c r="E66" s="7">
        <f>I62*0</f>
        <v>0</v>
      </c>
      <c r="F66" s="7">
        <v>0</v>
      </c>
      <c r="G66" s="7">
        <v>1.3654999999999999</v>
      </c>
      <c r="H66" s="7">
        <v>0</v>
      </c>
      <c r="I66" s="8">
        <f>+SUM(D66:H66)</f>
        <v>71.918924341301647</v>
      </c>
    </row>
    <row r="67" spans="2:9" x14ac:dyDescent="0.35">
      <c r="C67" s="6" t="s">
        <v>5</v>
      </c>
      <c r="D67" s="9">
        <f>+D66*22.0462</f>
        <v>1555.4349037132044</v>
      </c>
      <c r="E67" s="9">
        <f>+E66*22.0462</f>
        <v>0</v>
      </c>
      <c r="F67" s="9">
        <f t="shared" ref="F67:H67" si="12">+F66*22.0462</f>
        <v>0</v>
      </c>
      <c r="G67" s="9">
        <f t="shared" si="12"/>
        <v>30.104086099999996</v>
      </c>
      <c r="H67" s="9">
        <f t="shared" si="12"/>
        <v>0</v>
      </c>
      <c r="I67" s="10">
        <f>+I66*22.0462</f>
        <v>1585.5389898132044</v>
      </c>
    </row>
    <row r="69" spans="2:9" x14ac:dyDescent="0.35">
      <c r="I69" s="11"/>
    </row>
  </sheetData>
  <mergeCells count="4">
    <mergeCell ref="D22:I22"/>
    <mergeCell ref="D37:I37"/>
    <mergeCell ref="D55:I55"/>
    <mergeCell ref="D3:I3"/>
  </mergeCells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F3CA4-40E8-4A09-AB8A-40844AE90EEE}">
  <dimension ref="A1:DE33"/>
  <sheetViews>
    <sheetView showGridLines="0" zoomScaleNormal="85" workbookViewId="0">
      <pane xSplit="1" ySplit="4" topLeftCell="BG5" activePane="bottomRight" state="frozen"/>
      <selection pane="topRight" activeCell="B1" sqref="B1"/>
      <selection pane="bottomLeft" activeCell="A5" sqref="A5"/>
      <selection pane="bottomRight" activeCell="A8" sqref="A8"/>
    </sheetView>
  </sheetViews>
  <sheetFormatPr defaultColWidth="10.81640625" defaultRowHeight="14.5" x14ac:dyDescent="0.35"/>
  <cols>
    <col min="1" max="1" width="21.1796875" bestFit="1" customWidth="1"/>
    <col min="2" max="2" width="13.81640625" hidden="1" customWidth="1"/>
    <col min="3" max="3" width="11.08984375" hidden="1" customWidth="1"/>
    <col min="4" max="4" width="12.1796875" hidden="1" customWidth="1"/>
    <col min="5" max="5" width="13.81640625" hidden="1" customWidth="1"/>
    <col min="6" max="6" width="11.08984375" hidden="1" customWidth="1"/>
    <col min="7" max="7" width="12.1796875" hidden="1" customWidth="1"/>
    <col min="8" max="8" width="13.81640625" hidden="1" customWidth="1"/>
    <col min="9" max="9" width="11.08984375" hidden="1" customWidth="1"/>
    <col min="10" max="10" width="12.1796875" hidden="1" customWidth="1"/>
    <col min="11" max="11" width="13.81640625" hidden="1" customWidth="1"/>
    <col min="12" max="12" width="11.08984375" hidden="1" customWidth="1"/>
    <col min="13" max="13" width="12.1796875" hidden="1" customWidth="1"/>
    <col min="14" max="14" width="13.81640625" hidden="1" customWidth="1"/>
    <col min="15" max="15" width="10.81640625" hidden="1" customWidth="1"/>
    <col min="16" max="17" width="11.54296875" hidden="1" customWidth="1"/>
    <col min="18" max="18" width="10.81640625" hidden="1" customWidth="1"/>
    <col min="19" max="19" width="11.54296875" hidden="1" customWidth="1"/>
    <col min="20" max="20" width="11.81640625" hidden="1" customWidth="1"/>
    <col min="21" max="22" width="10.81640625" hidden="1" customWidth="1"/>
    <col min="23" max="23" width="11.81640625" hidden="1" customWidth="1"/>
    <col min="24" max="27" width="10.81640625" hidden="1" customWidth="1"/>
    <col min="28" max="28" width="11.54296875" hidden="1" customWidth="1"/>
    <col min="29" max="30" width="10.81640625" hidden="1" customWidth="1"/>
    <col min="31" max="31" width="11.54296875" hidden="1" customWidth="1"/>
    <col min="32" max="33" width="10.81640625" hidden="1" customWidth="1"/>
    <col min="34" max="34" width="11.54296875" hidden="1" customWidth="1"/>
    <col min="35" max="36" width="10.81640625" hidden="1" customWidth="1"/>
    <col min="37" max="37" width="11.90625" hidden="1" customWidth="1"/>
    <col min="38" max="39" width="10.81640625" hidden="1" customWidth="1"/>
    <col min="40" max="40" width="11.90625" hidden="1" customWidth="1"/>
    <col min="41" max="42" width="10.81640625" hidden="1" customWidth="1"/>
    <col min="43" max="43" width="11.90625" hidden="1" customWidth="1"/>
    <col min="44" max="44" width="11.54296875" hidden="1" customWidth="1"/>
    <col min="45" max="45" width="10.81640625" hidden="1" customWidth="1"/>
    <col min="46" max="46" width="11.90625" hidden="1" customWidth="1"/>
    <col min="47" max="47" width="11.54296875" hidden="1" customWidth="1"/>
    <col min="48" max="48" width="10.81640625" hidden="1" customWidth="1"/>
    <col min="49" max="49" width="11.90625" hidden="1" customWidth="1"/>
    <col min="50" max="50" width="11.54296875" hidden="1" customWidth="1"/>
    <col min="51" max="51" width="10.81640625" hidden="1" customWidth="1"/>
    <col min="52" max="52" width="11.90625" hidden="1" customWidth="1"/>
    <col min="53" max="53" width="11.54296875" hidden="1" customWidth="1"/>
    <col min="54" max="54" width="12.90625" hidden="1" customWidth="1"/>
    <col min="55" max="55" width="14.1796875" hidden="1" customWidth="1"/>
    <col min="56" max="56" width="12.6328125" hidden="1" customWidth="1"/>
    <col min="57" max="57" width="13.81640625" hidden="1" customWidth="1"/>
    <col min="58" max="58" width="14.1796875" hidden="1" customWidth="1"/>
    <col min="59" max="59" width="12.6328125" customWidth="1"/>
    <col min="60" max="60" width="13.81640625" bestFit="1" customWidth="1"/>
    <col min="61" max="61" width="14.1796875" bestFit="1" customWidth="1"/>
    <col min="62" max="62" width="13.1796875" bestFit="1" customWidth="1"/>
    <col min="63" max="63" width="13.81640625" bestFit="1" customWidth="1"/>
    <col min="64" max="64" width="14.1796875" bestFit="1" customWidth="1"/>
    <col min="65" max="65" width="12.81640625" bestFit="1" customWidth="1"/>
    <col min="67" max="67" width="13" customWidth="1"/>
    <col min="69" max="69" width="13.1796875" bestFit="1" customWidth="1"/>
    <col min="70" max="70" width="12.1796875" customWidth="1"/>
    <col min="72" max="72" width="13.453125" bestFit="1" customWidth="1"/>
    <col min="73" max="73" width="12.1796875" customWidth="1"/>
    <col min="75" max="75" width="13.453125" bestFit="1" customWidth="1"/>
    <col min="76" max="76" width="12.1796875" customWidth="1"/>
    <col min="78" max="78" width="13.453125" bestFit="1" customWidth="1"/>
    <col min="79" max="79" width="14.54296875" bestFit="1" customWidth="1"/>
    <col min="81" max="81" width="13.453125" bestFit="1" customWidth="1"/>
    <col min="82" max="82" width="14.54296875" bestFit="1" customWidth="1"/>
    <col min="83" max="83" width="15.54296875" bestFit="1" customWidth="1"/>
    <col min="84" max="84" width="15.6328125" bestFit="1" customWidth="1"/>
    <col min="85" max="85" width="14.54296875" bestFit="1" customWidth="1"/>
    <col min="86" max="86" width="11.54296875" bestFit="1" customWidth="1"/>
    <col min="87" max="87" width="13.08984375" bestFit="1" customWidth="1"/>
    <col min="88" max="88" width="11.81640625" bestFit="1" customWidth="1"/>
    <col min="89" max="89" width="11.54296875" bestFit="1" customWidth="1"/>
    <col min="90" max="90" width="13.08984375" bestFit="1" customWidth="1"/>
    <col min="91" max="91" width="14" bestFit="1" customWidth="1"/>
    <col min="92" max="92" width="11.54296875" bestFit="1" customWidth="1"/>
    <col min="93" max="93" width="13.08984375" bestFit="1" customWidth="1"/>
    <col min="94" max="94" width="11.81640625" bestFit="1" customWidth="1"/>
    <col min="95" max="95" width="12.90625" customWidth="1"/>
    <col min="97" max="97" width="13.54296875" customWidth="1"/>
    <col min="99" max="99" width="12.1796875" customWidth="1"/>
    <col min="100" max="100" width="13.90625" customWidth="1"/>
    <col min="101" max="101" width="10.81640625" customWidth="1"/>
    <col min="102" max="102" width="11.453125" bestFit="1" customWidth="1"/>
    <col min="103" max="103" width="14.1796875" customWidth="1"/>
  </cols>
  <sheetData>
    <row r="1" spans="1:109" ht="18.5" x14ac:dyDescent="0.45">
      <c r="A1" s="51" t="s">
        <v>125</v>
      </c>
    </row>
    <row r="2" spans="1:109" ht="15" thickBot="1" x14ac:dyDescent="0.4">
      <c r="BG2" s="6" t="s">
        <v>325</v>
      </c>
      <c r="BH2" s="6"/>
      <c r="BI2" s="6"/>
      <c r="BJ2" s="6" t="s">
        <v>329</v>
      </c>
      <c r="BK2" s="6"/>
      <c r="BL2" s="6"/>
      <c r="BM2" s="6" t="s">
        <v>334</v>
      </c>
      <c r="BP2" s="6" t="s">
        <v>371</v>
      </c>
      <c r="BS2" s="6" t="s">
        <v>374</v>
      </c>
      <c r="BV2" s="6" t="s">
        <v>379</v>
      </c>
      <c r="BY2" s="6" t="s">
        <v>400</v>
      </c>
      <c r="CB2" s="6" t="s">
        <v>272</v>
      </c>
      <c r="CE2" s="6" t="s">
        <v>424</v>
      </c>
      <c r="CH2" s="6" t="s">
        <v>430</v>
      </c>
      <c r="CK2" s="6" t="s">
        <v>303</v>
      </c>
      <c r="CN2" s="6" t="s">
        <v>306</v>
      </c>
      <c r="CQ2" s="6" t="s">
        <v>325</v>
      </c>
      <c r="CT2" s="6" t="s">
        <v>329</v>
      </c>
      <c r="CW2" s="6" t="s">
        <v>500</v>
      </c>
    </row>
    <row r="3" spans="1:109" ht="15" thickBot="1" x14ac:dyDescent="0.4">
      <c r="A3" s="303" t="s">
        <v>21</v>
      </c>
      <c r="B3" s="300">
        <v>45047</v>
      </c>
      <c r="C3" s="301"/>
      <c r="D3" s="302"/>
      <c r="E3" s="300">
        <v>45078</v>
      </c>
      <c r="F3" s="301"/>
      <c r="G3" s="302"/>
      <c r="H3" s="300">
        <v>45108</v>
      </c>
      <c r="I3" s="301"/>
      <c r="J3" s="302"/>
      <c r="K3" s="300">
        <v>45139</v>
      </c>
      <c r="L3" s="301"/>
      <c r="M3" s="302"/>
      <c r="N3" s="300">
        <v>45170</v>
      </c>
      <c r="O3" s="301"/>
      <c r="P3" s="302"/>
      <c r="Q3" s="300">
        <v>45200</v>
      </c>
      <c r="R3" s="301"/>
      <c r="S3" s="302"/>
      <c r="T3" s="300">
        <v>45231</v>
      </c>
      <c r="U3" s="301"/>
      <c r="V3" s="302"/>
      <c r="W3" s="300">
        <v>45261</v>
      </c>
      <c r="X3" s="301"/>
      <c r="Y3" s="302"/>
      <c r="Z3" s="300">
        <v>45292</v>
      </c>
      <c r="AA3" s="301"/>
      <c r="AB3" s="302"/>
      <c r="AC3" s="300">
        <v>45323</v>
      </c>
      <c r="AD3" s="301"/>
      <c r="AE3" s="302"/>
      <c r="AF3" s="300">
        <v>45352</v>
      </c>
      <c r="AG3" s="301"/>
      <c r="AH3" s="302"/>
      <c r="AI3" s="300">
        <v>45383</v>
      </c>
      <c r="AJ3" s="301"/>
      <c r="AK3" s="302"/>
      <c r="AL3" s="300">
        <v>45413</v>
      </c>
      <c r="AM3" s="301"/>
      <c r="AN3" s="302"/>
      <c r="AO3" s="300">
        <v>45444</v>
      </c>
      <c r="AP3" s="301"/>
      <c r="AQ3" s="302"/>
      <c r="AR3" s="300">
        <v>45474</v>
      </c>
      <c r="AS3" s="301"/>
      <c r="AT3" s="302"/>
      <c r="AU3" s="300">
        <v>45505</v>
      </c>
      <c r="AV3" s="301"/>
      <c r="AW3" s="302"/>
      <c r="AX3" s="300">
        <v>45536</v>
      </c>
      <c r="AY3" s="301"/>
      <c r="AZ3" s="302"/>
      <c r="BA3" s="300">
        <v>45566</v>
      </c>
      <c r="BB3" s="301"/>
      <c r="BC3" s="302"/>
      <c r="BD3" s="300">
        <v>45597</v>
      </c>
      <c r="BE3" s="301"/>
      <c r="BF3" s="302"/>
      <c r="BG3" s="300">
        <v>45627</v>
      </c>
      <c r="BH3" s="301"/>
      <c r="BI3" s="302"/>
      <c r="BJ3" s="300">
        <v>45658</v>
      </c>
      <c r="BK3" s="301"/>
      <c r="BL3" s="302"/>
      <c r="BM3" s="300">
        <v>45689</v>
      </c>
      <c r="BN3" s="301"/>
      <c r="BO3" s="302"/>
      <c r="BP3" s="300">
        <v>45717</v>
      </c>
      <c r="BQ3" s="301"/>
      <c r="BR3" s="302"/>
      <c r="BS3" s="300">
        <v>45748</v>
      </c>
      <c r="BT3" s="301"/>
      <c r="BU3" s="302"/>
      <c r="BV3" s="300">
        <v>45778</v>
      </c>
      <c r="BW3" s="301"/>
      <c r="BX3" s="302"/>
      <c r="BY3" s="300">
        <v>45809</v>
      </c>
      <c r="BZ3" s="301"/>
      <c r="CA3" s="302"/>
      <c r="CB3" s="300">
        <v>45839</v>
      </c>
      <c r="CC3" s="301"/>
      <c r="CD3" s="302"/>
      <c r="CE3" s="300">
        <v>45870</v>
      </c>
      <c r="CF3" s="301"/>
      <c r="CG3" s="302"/>
      <c r="CH3" s="273">
        <v>45901</v>
      </c>
      <c r="CI3" s="273">
        <v>45901</v>
      </c>
      <c r="CJ3" s="273">
        <v>45901</v>
      </c>
      <c r="CK3" s="273">
        <v>45931</v>
      </c>
      <c r="CL3" s="273">
        <v>45931</v>
      </c>
      <c r="CM3" s="273">
        <v>45931</v>
      </c>
      <c r="CN3" s="300">
        <v>45962</v>
      </c>
      <c r="CO3" s="301"/>
      <c r="CP3" s="302"/>
      <c r="CQ3" s="300">
        <v>45992</v>
      </c>
      <c r="CR3" s="301"/>
      <c r="CS3" s="302"/>
      <c r="CT3" s="300">
        <v>46023</v>
      </c>
      <c r="CU3" s="301"/>
      <c r="CV3" s="302"/>
      <c r="CW3" s="300">
        <v>46054</v>
      </c>
      <c r="CX3" s="301"/>
      <c r="CY3" s="302"/>
    </row>
    <row r="4" spans="1:109" ht="39.5" thickTop="1" x14ac:dyDescent="0.35">
      <c r="A4" s="304"/>
      <c r="B4" s="19" t="s">
        <v>22</v>
      </c>
      <c r="C4" s="20" t="s">
        <v>23</v>
      </c>
      <c r="D4" s="21" t="s">
        <v>24</v>
      </c>
      <c r="E4" s="19" t="s">
        <v>22</v>
      </c>
      <c r="F4" s="20" t="s">
        <v>23</v>
      </c>
      <c r="G4" s="21" t="s">
        <v>24</v>
      </c>
      <c r="H4" s="19" t="s">
        <v>22</v>
      </c>
      <c r="I4" s="20" t="s">
        <v>23</v>
      </c>
      <c r="J4" s="21" t="s">
        <v>24</v>
      </c>
      <c r="K4" s="19" t="s">
        <v>22</v>
      </c>
      <c r="L4" s="20" t="s">
        <v>23</v>
      </c>
      <c r="M4" s="21" t="s">
        <v>24</v>
      </c>
      <c r="N4" s="19" t="s">
        <v>22</v>
      </c>
      <c r="O4" s="20" t="s">
        <v>23</v>
      </c>
      <c r="P4" s="21" t="s">
        <v>24</v>
      </c>
      <c r="Q4" s="19" t="s">
        <v>22</v>
      </c>
      <c r="R4" s="20" t="s">
        <v>23</v>
      </c>
      <c r="S4" s="21" t="s">
        <v>24</v>
      </c>
      <c r="T4" s="19" t="s">
        <v>22</v>
      </c>
      <c r="U4" s="20" t="s">
        <v>23</v>
      </c>
      <c r="V4" s="21" t="s">
        <v>24</v>
      </c>
      <c r="W4" s="19" t="s">
        <v>22</v>
      </c>
      <c r="X4" s="20" t="s">
        <v>23</v>
      </c>
      <c r="Y4" s="21" t="s">
        <v>24</v>
      </c>
      <c r="Z4" s="19" t="s">
        <v>22</v>
      </c>
      <c r="AA4" s="20" t="s">
        <v>23</v>
      </c>
      <c r="AB4" s="21" t="s">
        <v>24</v>
      </c>
      <c r="AC4" s="19" t="s">
        <v>22</v>
      </c>
      <c r="AD4" s="20" t="s">
        <v>23</v>
      </c>
      <c r="AE4" s="21" t="s">
        <v>24</v>
      </c>
      <c r="AF4" s="19" t="s">
        <v>22</v>
      </c>
      <c r="AG4" s="20" t="s">
        <v>23</v>
      </c>
      <c r="AH4" s="21" t="s">
        <v>24</v>
      </c>
      <c r="AI4" s="19" t="s">
        <v>22</v>
      </c>
      <c r="AJ4" s="20" t="s">
        <v>23</v>
      </c>
      <c r="AK4" s="21" t="s">
        <v>24</v>
      </c>
      <c r="AL4" s="19" t="s">
        <v>22</v>
      </c>
      <c r="AM4" s="20" t="s">
        <v>23</v>
      </c>
      <c r="AN4" s="21" t="s">
        <v>24</v>
      </c>
      <c r="AO4" s="19" t="s">
        <v>22</v>
      </c>
      <c r="AP4" s="20" t="s">
        <v>23</v>
      </c>
      <c r="AQ4" s="21" t="s">
        <v>24</v>
      </c>
      <c r="AR4" s="19" t="s">
        <v>22</v>
      </c>
      <c r="AS4" s="20" t="s">
        <v>23</v>
      </c>
      <c r="AT4" s="21" t="s">
        <v>24</v>
      </c>
      <c r="AU4" s="19" t="s">
        <v>22</v>
      </c>
      <c r="AV4" s="20" t="s">
        <v>23</v>
      </c>
      <c r="AW4" s="21" t="s">
        <v>24</v>
      </c>
      <c r="AX4" s="19" t="s">
        <v>22</v>
      </c>
      <c r="AY4" s="20" t="s">
        <v>23</v>
      </c>
      <c r="AZ4" s="21" t="s">
        <v>24</v>
      </c>
      <c r="BA4" s="19" t="s">
        <v>22</v>
      </c>
      <c r="BB4" s="20" t="s">
        <v>23</v>
      </c>
      <c r="BC4" s="21" t="s">
        <v>24</v>
      </c>
      <c r="BD4" s="19" t="s">
        <v>22</v>
      </c>
      <c r="BE4" s="20" t="s">
        <v>23</v>
      </c>
      <c r="BF4" s="21" t="s">
        <v>24</v>
      </c>
      <c r="BG4" s="19" t="s">
        <v>22</v>
      </c>
      <c r="BH4" s="20" t="s">
        <v>23</v>
      </c>
      <c r="BI4" s="21" t="s">
        <v>24</v>
      </c>
      <c r="BJ4" s="19" t="s">
        <v>22</v>
      </c>
      <c r="BK4" s="20" t="s">
        <v>23</v>
      </c>
      <c r="BL4" s="21" t="s">
        <v>24</v>
      </c>
      <c r="BM4" s="19" t="s">
        <v>22</v>
      </c>
      <c r="BN4" s="20" t="s">
        <v>23</v>
      </c>
      <c r="BO4" s="21" t="s">
        <v>24</v>
      </c>
      <c r="BP4" s="19" t="s">
        <v>22</v>
      </c>
      <c r="BQ4" s="20" t="s">
        <v>23</v>
      </c>
      <c r="BR4" s="21" t="s">
        <v>24</v>
      </c>
      <c r="BS4" s="19" t="s">
        <v>22</v>
      </c>
      <c r="BT4" s="20" t="s">
        <v>23</v>
      </c>
      <c r="BU4" s="21" t="s">
        <v>24</v>
      </c>
      <c r="BV4" s="19" t="s">
        <v>22</v>
      </c>
      <c r="BW4" s="20" t="s">
        <v>23</v>
      </c>
      <c r="BX4" s="21" t="s">
        <v>24</v>
      </c>
      <c r="BY4" s="19" t="s">
        <v>22</v>
      </c>
      <c r="BZ4" s="20" t="s">
        <v>23</v>
      </c>
      <c r="CA4" s="21" t="s">
        <v>24</v>
      </c>
      <c r="CB4" s="19" t="s">
        <v>22</v>
      </c>
      <c r="CC4" s="20" t="s">
        <v>23</v>
      </c>
      <c r="CD4" s="21" t="s">
        <v>24</v>
      </c>
      <c r="CE4" s="19" t="s">
        <v>22</v>
      </c>
      <c r="CF4" s="20" t="s">
        <v>23</v>
      </c>
      <c r="CG4" s="21" t="s">
        <v>24</v>
      </c>
      <c r="CH4" s="19" t="s">
        <v>22</v>
      </c>
      <c r="CI4" s="20" t="s">
        <v>23</v>
      </c>
      <c r="CJ4" s="21" t="s">
        <v>24</v>
      </c>
      <c r="CK4" s="19" t="s">
        <v>22</v>
      </c>
      <c r="CL4" s="20" t="s">
        <v>23</v>
      </c>
      <c r="CM4" s="21" t="s">
        <v>24</v>
      </c>
      <c r="CN4" s="19" t="s">
        <v>22</v>
      </c>
      <c r="CO4" s="20" t="s">
        <v>23</v>
      </c>
      <c r="CP4" s="21" t="s">
        <v>24</v>
      </c>
      <c r="CQ4" s="19" t="s">
        <v>22</v>
      </c>
      <c r="CR4" s="20" t="s">
        <v>23</v>
      </c>
      <c r="CS4" s="21" t="s">
        <v>24</v>
      </c>
      <c r="CT4" s="19" t="s">
        <v>22</v>
      </c>
      <c r="CU4" s="20" t="s">
        <v>23</v>
      </c>
      <c r="CV4" s="21" t="s">
        <v>24</v>
      </c>
      <c r="CW4" s="19" t="s">
        <v>22</v>
      </c>
      <c r="CX4" s="20" t="s">
        <v>23</v>
      </c>
      <c r="CY4" s="21" t="s">
        <v>24</v>
      </c>
    </row>
    <row r="5" spans="1:109" x14ac:dyDescent="0.35">
      <c r="A5" s="22" t="s">
        <v>25</v>
      </c>
      <c r="B5" s="16">
        <v>2323510.8159999987</v>
      </c>
      <c r="C5" s="74">
        <v>1222.5882098127324</v>
      </c>
      <c r="D5" s="16">
        <f>B5*C5/1000</f>
        <v>2840696.9290139596</v>
      </c>
      <c r="E5" s="16">
        <f>B8</f>
        <v>2996145.8147384636</v>
      </c>
      <c r="F5" s="74">
        <f t="shared" ref="F5" si="0">C8</f>
        <v>1170.5706225717522</v>
      </c>
      <c r="G5" s="16">
        <f>E5*F5/1000</f>
        <v>3507200.2716741534</v>
      </c>
      <c r="H5" s="16">
        <f>E8</f>
        <v>2577958.8974384638</v>
      </c>
      <c r="I5" s="74">
        <f t="shared" ref="I5" si="1">F8</f>
        <v>1199.5921726795953</v>
      </c>
      <c r="J5" s="16">
        <f>H5*I5/1000</f>
        <v>3092499.3148569008</v>
      </c>
      <c r="K5" s="16">
        <f>H8</f>
        <v>2028118.8917384637</v>
      </c>
      <c r="L5" s="74">
        <f t="shared" ref="L5" si="2">I8</f>
        <v>1233.5403870252958</v>
      </c>
      <c r="M5" s="16">
        <f>K5*L5/1000</f>
        <v>2501766.5626483783</v>
      </c>
      <c r="N5" s="16">
        <f>K8</f>
        <v>2349353.6813384634</v>
      </c>
      <c r="O5" s="74">
        <f t="shared" ref="O5" si="3">L8</f>
        <v>1224.0835295299585</v>
      </c>
      <c r="P5" s="16">
        <f>N5*O5/1000</f>
        <v>2875805.1463669878</v>
      </c>
      <c r="Q5" s="16">
        <f>N8</f>
        <v>1689238.6813384634</v>
      </c>
      <c r="R5" s="74">
        <f t="shared" ref="R5" si="4">O8</f>
        <v>1205.4130067848193</v>
      </c>
      <c r="S5" s="16">
        <f>Q5*R5/1000</f>
        <v>2036230.2780494206</v>
      </c>
      <c r="T5" s="16">
        <f>Q8</f>
        <v>1396350.2453384632</v>
      </c>
      <c r="U5" s="74">
        <f t="shared" ref="U5" si="5">R8</f>
        <v>1256.3333605625176</v>
      </c>
      <c r="V5" s="16">
        <f>T5*U5/1000</f>
        <v>1754281.3962483674</v>
      </c>
      <c r="W5" s="16">
        <f>T8</f>
        <v>1663252.9356726557</v>
      </c>
      <c r="X5" s="74">
        <f t="shared" ref="X5" si="6">U8</f>
        <v>1259.253746509014</v>
      </c>
      <c r="Y5" s="16">
        <f>W5*X5/1000</f>
        <v>2094457.4906379078</v>
      </c>
      <c r="Z5" s="16">
        <f>W8</f>
        <v>2607570.6640726556</v>
      </c>
      <c r="AA5" s="74">
        <f t="shared" ref="AA5" si="7">X8</f>
        <v>1255.9788154675418</v>
      </c>
      <c r="AB5" s="16">
        <f>Z5*AA5/1000</f>
        <v>3275053.5139098852</v>
      </c>
      <c r="AC5" s="16">
        <f>Z8</f>
        <v>2486070.6640726556</v>
      </c>
      <c r="AD5" s="74">
        <f t="shared" ref="AD5" si="8">AA8</f>
        <v>1242.0868661834088</v>
      </c>
      <c r="AE5" s="16">
        <f>AC5*AD5/1000</f>
        <v>3087915.7202485111</v>
      </c>
      <c r="AF5" s="16">
        <f>AC8</f>
        <v>1994320.6640726556</v>
      </c>
      <c r="AG5" s="74">
        <f t="shared" ref="AG5" si="9">AD8</f>
        <v>1233.2267858351449</v>
      </c>
      <c r="AH5" s="16">
        <f>AF5*AG5/1000</f>
        <v>2459449.6624789326</v>
      </c>
      <c r="AI5" s="16">
        <f>AF8</f>
        <v>1919755.8640726558</v>
      </c>
      <c r="AJ5" s="74">
        <f t="shared" ref="AJ5" si="10">AG8</f>
        <v>1233.5211954144202</v>
      </c>
      <c r="AK5" s="16">
        <f>AI5*AJ5/1000</f>
        <v>2368059.5483547454</v>
      </c>
      <c r="AL5" s="16">
        <f>AI8</f>
        <v>2646630.516072656</v>
      </c>
      <c r="AM5" s="74">
        <f t="shared" ref="AM5" si="11">AJ8</f>
        <v>1256.1604627584013</v>
      </c>
      <c r="AN5" s="16">
        <f>AL5*AM5/1000</f>
        <v>3324592.613820334</v>
      </c>
      <c r="AO5" s="16">
        <f>AL8</f>
        <v>1476755.169872656</v>
      </c>
      <c r="AP5" s="74">
        <f t="shared" ref="AP5" si="12">AM8</f>
        <v>1271.5641678878153</v>
      </c>
      <c r="AQ5" s="16">
        <f>AO5*AP5/1000</f>
        <v>1877788.958753153</v>
      </c>
      <c r="AR5" s="16">
        <f>AO8</f>
        <v>1615226.689072656</v>
      </c>
      <c r="AS5" s="74">
        <f t="shared" ref="AS5" si="13">AP8</f>
        <v>1451.7040515903125</v>
      </c>
      <c r="AT5" s="16">
        <f>AR5*AS5/1000</f>
        <v>2344831.1287635807</v>
      </c>
      <c r="AU5" s="16">
        <f>AR8</f>
        <v>1652127.082672656</v>
      </c>
      <c r="AV5" s="74">
        <f t="shared" ref="AV5" si="14">AS8</f>
        <v>1592.3539509921036</v>
      </c>
      <c r="AW5" s="16">
        <f>AU5*AV5/1000</f>
        <v>2630771.0876348615</v>
      </c>
      <c r="AX5" s="16">
        <f>AU8</f>
        <v>2208127.082672656</v>
      </c>
      <c r="AY5" s="74">
        <f t="shared" ref="AY5" si="15">AV8</f>
        <v>1532.7970481247926</v>
      </c>
      <c r="AZ5" s="16">
        <f>AX5*AY5/1000</f>
        <v>3384610.6742050573</v>
      </c>
      <c r="BA5" s="16">
        <f>AX8</f>
        <v>2965281.082672656</v>
      </c>
      <c r="BB5" s="74">
        <f t="shared" ref="BB5" si="16">AY8</f>
        <v>1480.2514994305034</v>
      </c>
      <c r="BC5" s="16">
        <f>BA5*BB5/1000</f>
        <v>4389361.7688591052</v>
      </c>
      <c r="BD5" s="16">
        <f>BA8</f>
        <v>3247521.0826726556</v>
      </c>
      <c r="BE5" s="74">
        <f t="shared" ref="BE5" si="17">BB8</f>
        <v>1444.3573986609674</v>
      </c>
      <c r="BF5" s="16">
        <f>BD5*BE5/1000</f>
        <v>4690581.1030657254</v>
      </c>
      <c r="BG5" s="16">
        <f>BD8</f>
        <v>2997987.0826726556</v>
      </c>
      <c r="BH5" s="74">
        <f t="shared" ref="BH5" si="18">BE8</f>
        <v>1429.8201357267105</v>
      </c>
      <c r="BI5" s="16">
        <f>BG5*BH5/1000</f>
        <v>4286582.2974539418</v>
      </c>
      <c r="BJ5" s="16">
        <f>BG8</f>
        <v>2456987.0826726556</v>
      </c>
      <c r="BK5" s="74">
        <f t="shared" ref="BK5" si="19">BH8</f>
        <v>1420.5179945202908</v>
      </c>
      <c r="BL5" s="16">
        <f>BJ5*BK5/1000</f>
        <v>3490194.3632404208</v>
      </c>
      <c r="BM5" s="16">
        <f>BJ8</f>
        <v>2189191.1402726555</v>
      </c>
      <c r="BN5" s="74">
        <f t="shared" ref="BN5" si="20">BK8</f>
        <v>1382.1422816924739</v>
      </c>
      <c r="BO5" s="16">
        <f>BM5*BN5/1000</f>
        <v>3025773.6376773966</v>
      </c>
      <c r="BP5" s="16">
        <f>BM8</f>
        <v>2160752.6286726557</v>
      </c>
      <c r="BQ5" s="74">
        <f t="shared" ref="BQ5" si="21">BN8</f>
        <v>1341.8993874765124</v>
      </c>
      <c r="BR5" s="16">
        <f>BP5*BQ5/1000</f>
        <v>2899512.628904101</v>
      </c>
      <c r="BS5" s="16">
        <f>BP8</f>
        <v>1844752.6286726557</v>
      </c>
      <c r="BT5" s="74">
        <f t="shared" ref="BT5" si="22">BQ8</f>
        <v>1309.7996068123584</v>
      </c>
      <c r="BU5" s="16">
        <f>BS5*BT5/1000</f>
        <v>2416256.2677015089</v>
      </c>
      <c r="BV5" s="16">
        <f>BS8</f>
        <v>1410752.6286726557</v>
      </c>
      <c r="BW5" s="74">
        <f t="shared" ref="BW5" si="23">BT8</f>
        <v>1291.8020564993139</v>
      </c>
      <c r="BX5" s="16">
        <f>BV5*BW5/1000</f>
        <v>1822413.1469311498</v>
      </c>
      <c r="BY5" s="16">
        <f>BV8</f>
        <v>2001752.6286726557</v>
      </c>
      <c r="BZ5" s="74">
        <f t="shared" ref="BZ5" si="24">BW8</f>
        <v>1241.2470614442807</v>
      </c>
      <c r="CA5" s="16">
        <f>BY5*BZ5/1000</f>
        <v>2484669.5680782981</v>
      </c>
      <c r="CB5" s="16">
        <f>BY8</f>
        <v>1910752.6286726557</v>
      </c>
      <c r="CC5" s="74">
        <f t="shared" ref="CC5" si="25">BZ8</f>
        <v>1180.2336855601839</v>
      </c>
      <c r="CD5" s="16">
        <f>CB5*CC5/1000</f>
        <v>2255134.617132138</v>
      </c>
      <c r="CE5" s="16">
        <f>CB8</f>
        <v>1939252.6286726557</v>
      </c>
      <c r="CF5" s="74">
        <f t="shared" ref="CF5" si="26">CC8</f>
        <v>1116.4300198963954</v>
      </c>
      <c r="CG5" s="16">
        <f>CE5*CF5/1000</f>
        <v>2165039.8508131499</v>
      </c>
      <c r="CH5" s="16">
        <f>CE8</f>
        <v>2343252.6286726557</v>
      </c>
      <c r="CI5" s="74">
        <f t="shared" ref="CI5" si="27">CF8</f>
        <v>1082.4996646779612</v>
      </c>
      <c r="CJ5" s="16">
        <f>CH5*CI5/1000</f>
        <v>2536570.1847939012</v>
      </c>
      <c r="CK5" s="16">
        <f>CH8</f>
        <v>2333752.6286726557</v>
      </c>
      <c r="CL5" s="74">
        <f t="shared" ref="CL5" si="28">CI8</f>
        <v>1113.9948131354213</v>
      </c>
      <c r="CM5" s="16">
        <f>CK5*CL5/1000</f>
        <v>2599788.3234824934</v>
      </c>
      <c r="CN5" s="16">
        <f>CK8</f>
        <v>2017752.6286726557</v>
      </c>
      <c r="CO5" s="74">
        <f t="shared" ref="CO5" si="29">CL8</f>
        <v>1105.1977615733542</v>
      </c>
      <c r="CP5" s="16">
        <f>CN5*CO5/1000</f>
        <v>2230015.6886177706</v>
      </c>
      <c r="CQ5" s="16">
        <f>CN8</f>
        <v>1628752.6286726557</v>
      </c>
      <c r="CR5" s="74">
        <f>CO8</f>
        <v>1087.3003589339</v>
      </c>
      <c r="CS5" s="16">
        <f>CQ5*CR5/1000</f>
        <v>1770943.3177703118</v>
      </c>
      <c r="CT5" s="16">
        <f>CQ8</f>
        <v>2190502.6286726557</v>
      </c>
      <c r="CU5" s="74">
        <f>CR8</f>
        <v>1067.0271829527671</v>
      </c>
      <c r="CV5" s="16">
        <f>CT5*CU5/1000</f>
        <v>2337325.8491232153</v>
      </c>
      <c r="CW5" s="16">
        <f>CT8</f>
        <v>2527002.6286726557</v>
      </c>
      <c r="CX5" s="74">
        <f>CU8</f>
        <v>1059.4430896990693</v>
      </c>
      <c r="CY5" s="16">
        <f>CW5*CX5/1000</f>
        <v>2677215.4725986286</v>
      </c>
      <c r="DD5" t="s">
        <v>471</v>
      </c>
      <c r="DE5" t="s">
        <v>470</v>
      </c>
    </row>
    <row r="6" spans="1:109" x14ac:dyDescent="0.35">
      <c r="A6" s="22" t="s">
        <v>26</v>
      </c>
      <c r="B6" s="16">
        <v>2336400</v>
      </c>
      <c r="C6" s="74">
        <f>'ICIS Price History'!Q163</f>
        <v>1118.8400000000001</v>
      </c>
      <c r="D6" s="16">
        <f>B6*C6/1000</f>
        <v>2614057.7760000005</v>
      </c>
      <c r="E6" s="16">
        <v>1227600</v>
      </c>
      <c r="F6" s="74">
        <f>'ICIS Price History'!Q168</f>
        <v>1270.4237105525478</v>
      </c>
      <c r="G6" s="16">
        <f>E6*F6/1000</f>
        <v>1559572.1470743078</v>
      </c>
      <c r="H6" s="16">
        <v>1247400</v>
      </c>
      <c r="I6" s="74">
        <f>+'ICIS Price History'!Q173</f>
        <v>1303.7</v>
      </c>
      <c r="J6" s="16">
        <f>H6*I6/1000</f>
        <v>1626235.38</v>
      </c>
      <c r="K6" s="16">
        <v>2402400</v>
      </c>
      <c r="L6" s="74">
        <f>'ICIS Price History'!Q177</f>
        <v>1216.0999999999999</v>
      </c>
      <c r="M6" s="16">
        <f>K6*L6/1000</f>
        <v>2921558.64</v>
      </c>
      <c r="N6" s="110">
        <v>935000</v>
      </c>
      <c r="O6" s="74">
        <f>'ICIS Price History'!Q181</f>
        <v>1158.5</v>
      </c>
      <c r="P6" s="16">
        <f>N6*O6/1000</f>
        <v>1083197.5</v>
      </c>
      <c r="Q6" s="16">
        <v>1300000</v>
      </c>
      <c r="R6" s="74">
        <f>'ICIS Price History'!Q185</f>
        <v>1322.5</v>
      </c>
      <c r="S6" s="16">
        <f>Q6*R6/1000</f>
        <v>1719250</v>
      </c>
      <c r="T6" s="16">
        <v>1900000</v>
      </c>
      <c r="U6" s="74">
        <f>'ICIS Price History'!Q186</f>
        <v>1261.4000000000001</v>
      </c>
      <c r="V6" s="16">
        <f>T6*U6/1000</f>
        <v>2396660</v>
      </c>
      <c r="W6" s="16">
        <v>2500000</v>
      </c>
      <c r="X6" s="74">
        <f>'ICIS Price History'!Q187</f>
        <v>1253.8</v>
      </c>
      <c r="Y6" s="16">
        <f>W6*X6/1000</f>
        <v>3134500</v>
      </c>
      <c r="Z6" s="16">
        <v>1200000</v>
      </c>
      <c r="AA6" s="74">
        <f>'ICIS Price History'!Q188</f>
        <v>1211.9000000000001</v>
      </c>
      <c r="AB6" s="16">
        <f>Z6*AA6/1000</f>
        <v>1454280</v>
      </c>
      <c r="AC6" s="16">
        <v>1000000</v>
      </c>
      <c r="AD6" s="74">
        <f>'ICIS Price History'!Q189</f>
        <v>1211.2</v>
      </c>
      <c r="AE6" s="16">
        <f>AC6*AD6/1000</f>
        <v>1211200</v>
      </c>
      <c r="AF6" s="16">
        <v>1550000</v>
      </c>
      <c r="AG6" s="74">
        <f>'ICIS Price History'!Q190</f>
        <v>1233.9000000000001</v>
      </c>
      <c r="AH6" s="16">
        <f>AF6*AG6/1000</f>
        <v>1912545.0000000002</v>
      </c>
      <c r="AI6" s="16">
        <v>2450000</v>
      </c>
      <c r="AJ6" s="74">
        <f>'ICIS Price History'!Q191</f>
        <v>1273.9000000000001</v>
      </c>
      <c r="AK6" s="16">
        <f>AI6*AJ6/1000</f>
        <v>3121055</v>
      </c>
      <c r="AL6" s="16">
        <v>500000</v>
      </c>
      <c r="AM6" s="74">
        <f>'ICIS Price History'!Q192</f>
        <v>1353.1</v>
      </c>
      <c r="AN6" s="16">
        <f>AL6*AM6/1000</f>
        <v>676550</v>
      </c>
      <c r="AO6" s="16">
        <v>1850000</v>
      </c>
      <c r="AP6" s="74">
        <f>'ICIS Price History'!Q193</f>
        <v>1595.5</v>
      </c>
      <c r="AQ6" s="16">
        <f>AO6*AP6/1000</f>
        <v>2951675</v>
      </c>
      <c r="AR6" s="16">
        <v>1500000</v>
      </c>
      <c r="AS6" s="74">
        <f>'ICIS Price History'!Q196</f>
        <v>1743.8082652115418</v>
      </c>
      <c r="AT6" s="16">
        <f>AR6*AS6/1000</f>
        <v>2615712.3978173127</v>
      </c>
      <c r="AU6" s="153">
        <v>1500000</v>
      </c>
      <c r="AV6" s="74">
        <f>'ICIS Price History'!Q197</f>
        <v>1467.2</v>
      </c>
      <c r="AW6" s="16">
        <f>AU6*AV6/1000</f>
        <v>2200800</v>
      </c>
      <c r="AX6" s="153">
        <v>1500000</v>
      </c>
      <c r="AY6" s="74">
        <f>'ICIS Price History'!Q198</f>
        <v>1402.9</v>
      </c>
      <c r="AZ6" s="16">
        <f>AX6*AY6/1000</f>
        <v>2104350.0000000005</v>
      </c>
      <c r="BA6" s="153">
        <v>1500000</v>
      </c>
      <c r="BB6" s="74">
        <f>'ICIS Price History'!Q199</f>
        <v>1373.4</v>
      </c>
      <c r="BC6" s="16">
        <f>BA6*BB6/1000</f>
        <v>2060100.0000000002</v>
      </c>
      <c r="BD6" s="153">
        <v>500000</v>
      </c>
      <c r="BE6" s="74">
        <f>'ICIS Price History'!Q200</f>
        <v>1335.4</v>
      </c>
      <c r="BF6" s="16">
        <f>BD6*BE6/1000</f>
        <v>667700</v>
      </c>
      <c r="BG6" s="153">
        <v>150000</v>
      </c>
      <c r="BH6" s="74">
        <f>'ICIS Price History'!Q201</f>
        <v>1234.5999999999999</v>
      </c>
      <c r="BI6" s="16">
        <f>BG6*BH6/1000</f>
        <v>185190</v>
      </c>
      <c r="BJ6" s="153">
        <v>890000</v>
      </c>
      <c r="BK6" s="74">
        <f>'ICIS Price History'!Q202</f>
        <v>1276.2</v>
      </c>
      <c r="BL6" s="16">
        <f>BJ6*BK6/1000</f>
        <v>1135818</v>
      </c>
      <c r="BM6" s="153">
        <v>1000000</v>
      </c>
      <c r="BN6" s="74">
        <f>'ICIS Price History'!Q203</f>
        <v>1253.8</v>
      </c>
      <c r="BO6" s="16">
        <f>BM6*BN6/1000</f>
        <v>1253800</v>
      </c>
      <c r="BP6" s="153">
        <v>800000</v>
      </c>
      <c r="BQ6" s="74">
        <f>'ICIS Price History'!Q204</f>
        <v>1223.0999999999999</v>
      </c>
      <c r="BR6" s="16">
        <f>BP6*BQ6/1000</f>
        <v>978479.99999999988</v>
      </c>
      <c r="BS6" s="238">
        <v>500000</v>
      </c>
      <c r="BT6" s="74">
        <f>'ICIS Price History'!Q205</f>
        <v>1225.4000000000001</v>
      </c>
      <c r="BU6" s="16">
        <f>BS6*BT6/1000</f>
        <v>612700</v>
      </c>
      <c r="BV6" s="238">
        <v>1500000</v>
      </c>
      <c r="BW6" s="242">
        <f>'ICIS Price History'!Q206</f>
        <v>1193.7</v>
      </c>
      <c r="BX6" s="16">
        <f>BV6*BW6/1000</f>
        <v>1790550</v>
      </c>
      <c r="BY6" s="238">
        <v>1000000</v>
      </c>
      <c r="BZ6" s="242">
        <f>'ICIS Price History'!Q207</f>
        <v>1058.0999999999999</v>
      </c>
      <c r="CA6" s="16">
        <f>BY6*BZ6/1000</f>
        <v>1058099.9999999998</v>
      </c>
      <c r="CB6" s="238">
        <v>1100000</v>
      </c>
      <c r="CC6" s="242">
        <f>'ICIS Price History'!Q208</f>
        <v>1005.6</v>
      </c>
      <c r="CD6" s="16">
        <f>CB6*CC6/1000</f>
        <v>1106160</v>
      </c>
      <c r="CE6" s="238">
        <v>1400000</v>
      </c>
      <c r="CF6" s="242">
        <f>'ICIS Price History'!Q209</f>
        <v>1035.5</v>
      </c>
      <c r="CG6" s="16">
        <f>CE6*CF6/1000</f>
        <v>1449700</v>
      </c>
      <c r="CH6" s="238">
        <f>'ICIS Price History'!T212*1000</f>
        <v>1415000</v>
      </c>
      <c r="CI6" s="242">
        <f>'ICIS Price History'!Q212</f>
        <v>1166.1510600706713</v>
      </c>
      <c r="CJ6" s="16">
        <f>CH6*CI6/1000</f>
        <v>1650103.7499999998</v>
      </c>
      <c r="CK6" s="238">
        <v>1098000</v>
      </c>
      <c r="CL6" s="242">
        <f>'ICIS Price History'!Q213</f>
        <v>1086.5</v>
      </c>
      <c r="CM6" s="16">
        <f>CK6*CL6/1000</f>
        <v>1192977</v>
      </c>
      <c r="CN6" s="238">
        <v>1480000</v>
      </c>
      <c r="CO6" s="242">
        <f>'ICIS Price History'!Q214</f>
        <v>1062.9000000000001</v>
      </c>
      <c r="CP6" s="16">
        <f>CN6*CO6/1000</f>
        <v>1573092.0000000002</v>
      </c>
      <c r="CQ6" s="238">
        <v>2354000</v>
      </c>
      <c r="CR6" s="242">
        <f>+'ICIS Price History'!Q215</f>
        <v>1053</v>
      </c>
      <c r="CS6" s="16">
        <f>CQ6*CR6/1000</f>
        <v>2478762</v>
      </c>
      <c r="CT6" s="238">
        <v>2232000</v>
      </c>
      <c r="CU6" s="242">
        <f>+'ICIS Price History'!Q216</f>
        <v>1052</v>
      </c>
      <c r="CV6" s="16">
        <f>CT6*CU6/1000</f>
        <v>2348064</v>
      </c>
      <c r="CW6" s="238">
        <v>2918000</v>
      </c>
      <c r="CX6" s="242">
        <f>+'ICIS Price History'!Q217</f>
        <v>1037</v>
      </c>
      <c r="CY6" s="16">
        <f>CW6*CX6/1000</f>
        <v>3025966</v>
      </c>
      <c r="DB6" s="271">
        <v>0.25</v>
      </c>
      <c r="DC6">
        <v>1850</v>
      </c>
      <c r="DD6">
        <f>+DC6*0.75</f>
        <v>1387.5</v>
      </c>
      <c r="DE6">
        <f>+DC6-DD6</f>
        <v>462.5</v>
      </c>
    </row>
    <row r="7" spans="1:109" x14ac:dyDescent="0.35">
      <c r="A7" s="22" t="s">
        <v>27</v>
      </c>
      <c r="B7" s="16">
        <v>1663765.0012615351</v>
      </c>
      <c r="C7" s="75">
        <v>1222.5882098127324</v>
      </c>
      <c r="D7" s="16">
        <f>B7*C7/1000</f>
        <v>2034099.4744414187</v>
      </c>
      <c r="E7" s="16">
        <v>1645786.9173000001</v>
      </c>
      <c r="F7" s="75">
        <f>F5</f>
        <v>1170.5706225717522</v>
      </c>
      <c r="G7" s="16">
        <f>E7*F7/1000</f>
        <v>1926509.8164043059</v>
      </c>
      <c r="H7" s="16">
        <v>1797240.0057000001</v>
      </c>
      <c r="I7" s="75">
        <f>I5</f>
        <v>1199.5921726795953</v>
      </c>
      <c r="J7" s="16">
        <f>H7*I7/1000</f>
        <v>2155955.0432643513</v>
      </c>
      <c r="K7" s="16">
        <v>2081165.2103999997</v>
      </c>
      <c r="L7" s="75">
        <f>L5</f>
        <v>1233.5403870252958</v>
      </c>
      <c r="M7" s="16">
        <f>K7*L7/1000</f>
        <v>2567201.3391003967</v>
      </c>
      <c r="N7" s="16">
        <v>1595115</v>
      </c>
      <c r="O7" s="75">
        <f>O5</f>
        <v>1224.0835295299585</v>
      </c>
      <c r="P7" s="16">
        <f>N7*O7/1000</f>
        <v>1952553.9992061795</v>
      </c>
      <c r="Q7" s="16">
        <v>1592888.4360000002</v>
      </c>
      <c r="R7" s="75">
        <f>R5</f>
        <v>1205.4130067848193</v>
      </c>
      <c r="S7" s="16">
        <f>Q7*R7/1000</f>
        <v>1920088.4391115287</v>
      </c>
      <c r="T7" s="16">
        <v>1633097.3096658075</v>
      </c>
      <c r="U7" s="75">
        <f>U5</f>
        <v>1256.3333605625176</v>
      </c>
      <c r="V7" s="16">
        <f>T7*U7/1000</f>
        <v>2051714.6311780503</v>
      </c>
      <c r="W7" s="16">
        <v>1555682.2716000001</v>
      </c>
      <c r="X7" s="74">
        <f>X5</f>
        <v>1259.253746509014</v>
      </c>
      <c r="Y7" s="16">
        <f>W7*X7/1000</f>
        <v>1958998.7288899536</v>
      </c>
      <c r="Z7" s="16">
        <v>1321500</v>
      </c>
      <c r="AA7" s="74">
        <f>AA5</f>
        <v>1255.9788154675418</v>
      </c>
      <c r="AB7" s="16">
        <f>Z7*AA7/1000</f>
        <v>1659776.0046403566</v>
      </c>
      <c r="AC7" s="16">
        <v>1491750</v>
      </c>
      <c r="AD7" s="74">
        <f>AD5</f>
        <v>1242.0868661834088</v>
      </c>
      <c r="AE7" s="16">
        <f>AC7*AD7/1000</f>
        <v>1852883.0826291002</v>
      </c>
      <c r="AF7" s="16">
        <v>1624564.7999999998</v>
      </c>
      <c r="AG7" s="74">
        <f>AG5</f>
        <v>1233.2267858351449</v>
      </c>
      <c r="AH7" s="16">
        <f>AF7*AG7/1000</f>
        <v>2003456.8266849148</v>
      </c>
      <c r="AI7" s="16">
        <v>1723125.3480000002</v>
      </c>
      <c r="AJ7" s="74">
        <f>AJ5</f>
        <v>1233.5211954144202</v>
      </c>
      <c r="AK7" s="16">
        <f>AI7*AJ7/1000</f>
        <v>2125511.639113849</v>
      </c>
      <c r="AL7" s="16">
        <v>1669875.3462</v>
      </c>
      <c r="AM7" s="74">
        <f>AM5</f>
        <v>1256.1604627584013</v>
      </c>
      <c r="AN7" s="16">
        <f>AL7*AM7/1000</f>
        <v>2097631.3876314377</v>
      </c>
      <c r="AO7" s="16">
        <v>1711528.4808</v>
      </c>
      <c r="AP7" s="74">
        <f>AP5</f>
        <v>1271.5641678878153</v>
      </c>
      <c r="AQ7" s="16">
        <f>AO7*AP7/1000</f>
        <v>2176318.2885047486</v>
      </c>
      <c r="AR7" s="16">
        <v>1463099.6063999999</v>
      </c>
      <c r="AS7" s="74">
        <f>AS5</f>
        <v>1451.7040515903125</v>
      </c>
      <c r="AT7" s="16">
        <f>AR7*AS7/1000</f>
        <v>2123987.6264910717</v>
      </c>
      <c r="AU7" s="16">
        <v>944000</v>
      </c>
      <c r="AV7" s="74">
        <f>AV5</f>
        <v>1592.3539509921036</v>
      </c>
      <c r="AW7" s="16">
        <f>AU7*AV7/1000</f>
        <v>1503182.1297365457</v>
      </c>
      <c r="AX7" s="16">
        <v>742846</v>
      </c>
      <c r="AY7" s="74">
        <f>AY5</f>
        <v>1532.7970481247926</v>
      </c>
      <c r="AZ7" s="16">
        <f>AX7*AY7/1000</f>
        <v>1138632.1560113097</v>
      </c>
      <c r="BA7" s="153">
        <f>2064000*59%</f>
        <v>1217760</v>
      </c>
      <c r="BB7" s="74">
        <f>BB5</f>
        <v>1480.2514994305034</v>
      </c>
      <c r="BC7" s="16">
        <f>BA7*BB7/1000</f>
        <v>1802591.0659464898</v>
      </c>
      <c r="BD7" s="153">
        <v>749534</v>
      </c>
      <c r="BE7" s="74">
        <f>BE5</f>
        <v>1444.3573986609674</v>
      </c>
      <c r="BF7" s="16">
        <f>BD7*BE7/1000</f>
        <v>1082594.9784479497</v>
      </c>
      <c r="BG7" s="153">
        <v>691000</v>
      </c>
      <c r="BH7" s="74">
        <f>BH5</f>
        <v>1429.8201357267105</v>
      </c>
      <c r="BI7" s="16">
        <f>BG7*BH7/1000</f>
        <v>988005.71378715697</v>
      </c>
      <c r="BJ7" s="153">
        <v>1157795.9424000001</v>
      </c>
      <c r="BK7" s="74">
        <f>BK5</f>
        <v>1420.5179945202908</v>
      </c>
      <c r="BL7" s="16">
        <f>BJ7*BK7/1000</f>
        <v>1644669.9701617782</v>
      </c>
      <c r="BM7" s="153">
        <v>1028438.5116000001</v>
      </c>
      <c r="BN7" s="74">
        <f>BN5</f>
        <v>1382.1422816924739</v>
      </c>
      <c r="BO7" s="16">
        <f>BM7*BN7/1000</f>
        <v>1421448.3510032361</v>
      </c>
      <c r="BP7" s="153">
        <v>1116000</v>
      </c>
      <c r="BQ7" s="74">
        <f>BQ5</f>
        <v>1341.8993874765124</v>
      </c>
      <c r="BR7" s="16">
        <f>BP7*BQ7/1000</f>
        <v>1497559.7164237879</v>
      </c>
      <c r="BS7" s="238">
        <v>934000</v>
      </c>
      <c r="BT7" s="74">
        <f>BT5</f>
        <v>1309.7996068123584</v>
      </c>
      <c r="BU7" s="16">
        <f>BS7*BT7/1000</f>
        <v>1223352.8327627426</v>
      </c>
      <c r="BV7" s="238">
        <v>909000</v>
      </c>
      <c r="BW7" s="242">
        <f>BW5</f>
        <v>1291.8020564993139</v>
      </c>
      <c r="BX7" s="16">
        <f>BV7*BW7/1000</f>
        <v>1174248.0693578762</v>
      </c>
      <c r="BY7" s="238">
        <v>1091000</v>
      </c>
      <c r="BZ7" s="242">
        <f>BZ5</f>
        <v>1241.2470614442807</v>
      </c>
      <c r="CA7" s="16">
        <f>BY7*BZ7/1000</f>
        <v>1354200.5440357104</v>
      </c>
      <c r="CB7" s="238">
        <f>2143000/2</f>
        <v>1071500</v>
      </c>
      <c r="CC7" s="242">
        <f>CC5</f>
        <v>1180.2336855601839</v>
      </c>
      <c r="CD7" s="16">
        <f>CB7*CC7/1000</f>
        <v>1264620.3940777371</v>
      </c>
      <c r="CE7" s="238">
        <f>1992000/2</f>
        <v>996000</v>
      </c>
      <c r="CF7" s="242">
        <f>CF5</f>
        <v>1116.4300198963954</v>
      </c>
      <c r="CG7" s="16">
        <f>CE7*CF7/1000</f>
        <v>1111964.2998168098</v>
      </c>
      <c r="CH7" s="238">
        <v>1424500</v>
      </c>
      <c r="CI7" s="242">
        <f>CI5</f>
        <v>1082.4996646779612</v>
      </c>
      <c r="CJ7" s="16">
        <f>CH7*CI7/1000</f>
        <v>1542020.7723337556</v>
      </c>
      <c r="CK7" s="238">
        <v>1414000</v>
      </c>
      <c r="CL7" s="242">
        <f>CL5</f>
        <v>1113.9948131354213</v>
      </c>
      <c r="CM7" s="16">
        <f>CK7*CL7/1000</f>
        <v>1575188.6657734856</v>
      </c>
      <c r="CN7" s="238">
        <v>1869000</v>
      </c>
      <c r="CO7" s="242">
        <f>CO5</f>
        <v>1105.1977615733542</v>
      </c>
      <c r="CP7" s="16">
        <f>CN7*CO7/1000</f>
        <v>2065614.6163805991</v>
      </c>
      <c r="CQ7" s="238">
        <v>1792250</v>
      </c>
      <c r="CR7" s="242">
        <f>CR5</f>
        <v>1087.3003589339</v>
      </c>
      <c r="CS7" s="16">
        <f>CQ7*CR7/1000</f>
        <v>1948714.0682992823</v>
      </c>
      <c r="CT7" s="238">
        <v>1895500</v>
      </c>
      <c r="CU7" s="242">
        <f>CU5</f>
        <v>1067.0271829527671</v>
      </c>
      <c r="CV7" s="16">
        <f>CT7*CU7/1000</f>
        <v>2022550.0252869702</v>
      </c>
      <c r="CW7" s="238">
        <v>1472500</v>
      </c>
      <c r="CX7" s="242">
        <f>CX5</f>
        <v>1059.4430896990693</v>
      </c>
      <c r="CY7" s="16">
        <f>CW7*CX7/1000</f>
        <v>1560029.9495818797</v>
      </c>
      <c r="DB7" s="271">
        <v>0.5</v>
      </c>
      <c r="DC7">
        <v>0</v>
      </c>
    </row>
    <row r="8" spans="1:109" x14ac:dyDescent="0.35">
      <c r="A8" s="24" t="s">
        <v>28</v>
      </c>
      <c r="B8" s="16">
        <v>2996145.8147384636</v>
      </c>
      <c r="C8" s="99">
        <f>+(B5*C5+B6*C6)/(B5+B6)</f>
        <v>1170.5706225717522</v>
      </c>
      <c r="D8" s="16">
        <f>B8*C8/1000</f>
        <v>3507200.2716741534</v>
      </c>
      <c r="E8" s="16">
        <f>E5+E6-E7</f>
        <v>2577958.8974384638</v>
      </c>
      <c r="F8" s="73">
        <f>+(E5*F5+E6*F6)/(E5+E6)</f>
        <v>1199.5921726795953</v>
      </c>
      <c r="G8" s="16">
        <f>E8*F8/1000</f>
        <v>3092499.3148569008</v>
      </c>
      <c r="H8" s="16">
        <f>H5+H6-H7</f>
        <v>2028118.8917384637</v>
      </c>
      <c r="I8" s="73">
        <f>+(H5*I5+H6*I6)/(H5+H6)</f>
        <v>1233.5403870252958</v>
      </c>
      <c r="J8" s="16">
        <f>H8*I8/1000</f>
        <v>2501766.5626483783</v>
      </c>
      <c r="K8" s="16">
        <f>K5+K6-K7</f>
        <v>2349353.6813384634</v>
      </c>
      <c r="L8" s="73">
        <f>+(K5*L5+K6*L6)/(K5+K6)</f>
        <v>1224.0835295299585</v>
      </c>
      <c r="M8" s="16">
        <f>K8*L8/1000</f>
        <v>2875805.1463669878</v>
      </c>
      <c r="N8" s="16">
        <f>N5+N6-N7</f>
        <v>1689238.6813384634</v>
      </c>
      <c r="O8" s="73">
        <f>+(N5*O5+N6*O6)/(N5+N6)</f>
        <v>1205.4130067848193</v>
      </c>
      <c r="P8" s="16">
        <f>N8*O8/1000</f>
        <v>2036230.2780494206</v>
      </c>
      <c r="Q8" s="16">
        <f>Q5+Q6-Q7</f>
        <v>1396350.2453384632</v>
      </c>
      <c r="R8" s="73">
        <f>+(Q5*R5+Q6*R6)/(Q5+Q6)</f>
        <v>1256.3333605625176</v>
      </c>
      <c r="S8" s="16">
        <f>Q8*R8/1000</f>
        <v>1754281.3962483674</v>
      </c>
      <c r="T8" s="16">
        <f>T5+T6-T7</f>
        <v>1663252.9356726557</v>
      </c>
      <c r="U8" s="73">
        <f>+(T5*U5+T6*U6)/(T5+T6)</f>
        <v>1259.253746509014</v>
      </c>
      <c r="V8" s="16">
        <f>T8*U8/1000</f>
        <v>2094457.4906379078</v>
      </c>
      <c r="W8" s="16">
        <f>W5+W6-W7</f>
        <v>2607570.6640726556</v>
      </c>
      <c r="X8" s="73">
        <f>+(W5*X5+W6*X6)/(W5+W6)</f>
        <v>1255.9788154675418</v>
      </c>
      <c r="Y8" s="16">
        <f>W8*X8/1000</f>
        <v>3275053.5139098852</v>
      </c>
      <c r="Z8" s="16">
        <f>Z5+Z6-Z7</f>
        <v>2486070.6640726556</v>
      </c>
      <c r="AA8" s="73">
        <f>+(Z5*AA5+Z6*AA6)/(Z5+Z6)</f>
        <v>1242.0868661834088</v>
      </c>
      <c r="AB8" s="16">
        <f>Z8*AA8/1000</f>
        <v>3087915.7202485111</v>
      </c>
      <c r="AC8" s="16">
        <f>AC5+AC6-AC7</f>
        <v>1994320.6640726556</v>
      </c>
      <c r="AD8" s="73">
        <f>+(AC5*AD5+AC6*AD6)/(AC5+AC6)</f>
        <v>1233.2267858351449</v>
      </c>
      <c r="AE8" s="16">
        <f>AC8*AD8/1000</f>
        <v>2459449.6624789326</v>
      </c>
      <c r="AF8" s="16">
        <f>AF5+AF6-AF7</f>
        <v>1919755.8640726558</v>
      </c>
      <c r="AG8" s="73">
        <f>+(AF5*AG5+AF6*AG6)/(AF5+AF6)</f>
        <v>1233.5211954144202</v>
      </c>
      <c r="AH8" s="16">
        <f>AF8*AG8/1000</f>
        <v>2368059.5483547454</v>
      </c>
      <c r="AI8" s="16">
        <f>AI5+AI6-AI7</f>
        <v>2646630.516072656</v>
      </c>
      <c r="AJ8" s="73">
        <f>+(AI5*AJ5+AI6*AJ6)/(AI5+AI6)</f>
        <v>1256.1604627584013</v>
      </c>
      <c r="AK8" s="16">
        <f>AI8*AJ8/1000</f>
        <v>3324592.613820334</v>
      </c>
      <c r="AL8" s="16">
        <f>AL5+AL6-AL7</f>
        <v>1476755.169872656</v>
      </c>
      <c r="AM8" s="73">
        <f>+(AL5*AM5+AL6*AM6)/(AL5+AL6)</f>
        <v>1271.5641678878153</v>
      </c>
      <c r="AN8" s="16">
        <f>AL8*AM8/1000</f>
        <v>1877788.958753153</v>
      </c>
      <c r="AO8" s="16">
        <f>AO5+AO6-AO7</f>
        <v>1615226.689072656</v>
      </c>
      <c r="AP8" s="73">
        <f>+(AO5*AP5+AO6*AP6)/(AO5+AO6)</f>
        <v>1451.7040515903125</v>
      </c>
      <c r="AQ8" s="16">
        <f>AO8*AP8/1000</f>
        <v>2344831.1287635807</v>
      </c>
      <c r="AR8" s="16">
        <f>AR5+AR6-AR7</f>
        <v>1652127.082672656</v>
      </c>
      <c r="AS8" s="73">
        <f>+(AR5*AS5+AR6*AS6)/(AR5+AR6)</f>
        <v>1592.3539509921036</v>
      </c>
      <c r="AT8" s="16">
        <f>AR8*AS8/1000</f>
        <v>2630771.0876348615</v>
      </c>
      <c r="AU8" s="16">
        <f>AU5+AU6-AU7</f>
        <v>2208127.082672656</v>
      </c>
      <c r="AV8" s="73">
        <f>+(AU5*AV5+AU6*AV6)/(AU5+AU6)</f>
        <v>1532.7970481247926</v>
      </c>
      <c r="AW8" s="16">
        <f>AU8*AV8/1000</f>
        <v>3384610.6742050573</v>
      </c>
      <c r="AX8" s="16">
        <f>AX5+AX6-AX7</f>
        <v>2965281.082672656</v>
      </c>
      <c r="AY8" s="73">
        <f>+(AX5*AY5+AX6*AY6)/(AX5+AX6)</f>
        <v>1480.2514994305034</v>
      </c>
      <c r="AZ8" s="16">
        <f>AX8*AY8/1000</f>
        <v>4389361.7688591052</v>
      </c>
      <c r="BA8" s="16">
        <f>BA5+BA6-BA7</f>
        <v>3247521.0826726556</v>
      </c>
      <c r="BB8" s="73">
        <f>+(BA5*BB5+BA6*BB6)/(BA5+BA6)</f>
        <v>1444.3573986609674</v>
      </c>
      <c r="BC8" s="16">
        <f>BA8*BB8/1000</f>
        <v>4690581.1030657254</v>
      </c>
      <c r="BD8" s="16">
        <f>BD5+BD6-BD7</f>
        <v>2997987.0826726556</v>
      </c>
      <c r="BE8" s="73">
        <f>+(BD5*BE5+BD6*BE6)/(BD5+BD6)</f>
        <v>1429.8201357267105</v>
      </c>
      <c r="BF8" s="16">
        <f>BD8*BE8/1000</f>
        <v>4286582.2974539418</v>
      </c>
      <c r="BG8" s="16">
        <f>BG5+BG6-BG7</f>
        <v>2456987.0826726556</v>
      </c>
      <c r="BH8" s="73">
        <f>+(BG5*BH5+BG6*BH6)/(BG5+BG6)</f>
        <v>1420.5179945202908</v>
      </c>
      <c r="BI8" s="16">
        <f>BG8*BH8/1000</f>
        <v>3490194.3632404208</v>
      </c>
      <c r="BJ8" s="16">
        <f>BJ5+BJ6-BJ7</f>
        <v>2189191.1402726555</v>
      </c>
      <c r="BK8" s="73">
        <f>+(BJ5*BK5+BJ6*BK6)/(BJ5+BJ6)</f>
        <v>1382.1422816924739</v>
      </c>
      <c r="BL8" s="16">
        <f>BJ8*BK8/1000</f>
        <v>3025773.6376773966</v>
      </c>
      <c r="BM8" s="16">
        <f>BM5+BM6-BM7</f>
        <v>2160752.6286726557</v>
      </c>
      <c r="BN8" s="73">
        <f>+(BM5*BN5+BM6*BN6)/(BM5+BM6)</f>
        <v>1341.8993874765124</v>
      </c>
      <c r="BO8" s="16">
        <f>BM8*BN8/1000</f>
        <v>2899512.628904101</v>
      </c>
      <c r="BP8" s="16">
        <f>BP5+BP6-BP7</f>
        <v>1844752.6286726557</v>
      </c>
      <c r="BQ8" s="73">
        <f>+(BP5*BQ5+BP6*BQ6)/(BP5+BP6)</f>
        <v>1309.7996068123584</v>
      </c>
      <c r="BR8" s="16">
        <f>BP8*BQ8/1000</f>
        <v>2416256.2677015089</v>
      </c>
      <c r="BS8" s="16">
        <f>BS5+BS6-BS7</f>
        <v>1410752.6286726557</v>
      </c>
      <c r="BT8" s="73">
        <f>+(BS5*BT5+BS6*BT6)/(BS5+BS6)</f>
        <v>1291.8020564993139</v>
      </c>
      <c r="BU8" s="16">
        <f>BS8*BT8/1000</f>
        <v>1822413.1469311498</v>
      </c>
      <c r="BV8" s="16">
        <f>BV5+BV6-BV7</f>
        <v>2001752.6286726557</v>
      </c>
      <c r="BW8" s="73">
        <f>+(BV5*BW5+BV6*BW6)/(BV5+BV6)</f>
        <v>1241.2470614442807</v>
      </c>
      <c r="BX8" s="16">
        <f>BV8*BW8/1000</f>
        <v>2484669.5680782981</v>
      </c>
      <c r="BY8" s="16">
        <f>BY5+BY6-BY7</f>
        <v>1910752.6286726557</v>
      </c>
      <c r="BZ8" s="73">
        <f>+(BY5*BZ5+BY6*BZ6)/(BY5+BY6)</f>
        <v>1180.2336855601839</v>
      </c>
      <c r="CA8" s="16">
        <f>BY8*BZ8/1000</f>
        <v>2255134.617132138</v>
      </c>
      <c r="CB8" s="16">
        <f>CB5+CB6-CB7</f>
        <v>1939252.6286726557</v>
      </c>
      <c r="CC8" s="73">
        <f>+(CB5*CC5+CB6*CC6)/(CB5+CB6)</f>
        <v>1116.4300198963954</v>
      </c>
      <c r="CD8" s="16">
        <f>CB8*CC8/1000</f>
        <v>2165039.8508131499</v>
      </c>
      <c r="CE8" s="16">
        <f>CE5+CE6-CE7</f>
        <v>2343252.6286726557</v>
      </c>
      <c r="CF8" s="73">
        <f>+(CE5*CF5+CE6*CF6)/(CE5+CE6)</f>
        <v>1082.4996646779612</v>
      </c>
      <c r="CG8" s="16">
        <f>CE8*CF8/1000</f>
        <v>2536570.1847939012</v>
      </c>
      <c r="CH8" s="16">
        <f>CH5+CH6-CH7</f>
        <v>2333752.6286726557</v>
      </c>
      <c r="CI8" s="73">
        <f>+(CH5*CI5+CH6*CI6)/(CH5+CH6)</f>
        <v>1113.9948131354213</v>
      </c>
      <c r="CJ8" s="16">
        <f>CH8*CI8/1000</f>
        <v>2599788.3234824934</v>
      </c>
      <c r="CK8" s="16">
        <f>CK5+CK6-CK7</f>
        <v>2017752.6286726557</v>
      </c>
      <c r="CL8" s="73">
        <f>+(CK5*CL5+CK6*CL6)/(CK5+CK6)</f>
        <v>1105.1977615733542</v>
      </c>
      <c r="CM8" s="16">
        <f>CK8*CL8/1000</f>
        <v>2230015.6886177706</v>
      </c>
      <c r="CN8" s="16">
        <f>CN5+CN6-CN7</f>
        <v>1628752.6286726557</v>
      </c>
      <c r="CO8" s="73">
        <f>+(CN5*CO5+CN6*CO6)/(CN5+CN6)</f>
        <v>1087.3003589339</v>
      </c>
      <c r="CP8" s="16">
        <f>CN8*CO8/1000</f>
        <v>1770943.3177703118</v>
      </c>
      <c r="CQ8" s="16">
        <f>CQ5+CQ6-CQ7</f>
        <v>2190502.6286726557</v>
      </c>
      <c r="CR8" s="73">
        <f>+(CQ5*CR5+CQ6*CR6)/(CQ5+CQ6)</f>
        <v>1067.0271829527671</v>
      </c>
      <c r="CS8" s="16">
        <f>CQ8*CR8/1000</f>
        <v>2337325.8491232153</v>
      </c>
      <c r="CT8" s="16">
        <f>CT5+CT6-CT7</f>
        <v>2527002.6286726557</v>
      </c>
      <c r="CU8" s="73">
        <f>+(CT5*CU5+CT6*CU6)/(CT5+CT6)</f>
        <v>1059.4430896990693</v>
      </c>
      <c r="CV8" s="16">
        <f>CT8*CU8/1000</f>
        <v>2677215.4725986286</v>
      </c>
      <c r="CW8" s="16">
        <f>CW5+CW6-CW7</f>
        <v>3972502.6286726557</v>
      </c>
      <c r="CX8" s="73">
        <f>+(CW5*CX5+CW6*CX6)/(CW5+CW6)</f>
        <v>1047.4157427521593</v>
      </c>
      <c r="CY8" s="16">
        <f>CW8*CX8/1000</f>
        <v>4160861.7913960749</v>
      </c>
      <c r="DB8" s="271">
        <v>1</v>
      </c>
      <c r="DC8">
        <f>1935-DC6</f>
        <v>85</v>
      </c>
      <c r="DD8">
        <f>+DC8</f>
        <v>85</v>
      </c>
    </row>
    <row r="9" spans="1:109" x14ac:dyDescent="0.35">
      <c r="BJ9" s="74"/>
      <c r="BM9" s="74"/>
      <c r="DD9">
        <f>SUM(DD6:DD8)</f>
        <v>1472.5</v>
      </c>
      <c r="DE9">
        <f>SUM(DE6:DE8)</f>
        <v>462.5</v>
      </c>
    </row>
    <row r="10" spans="1:109" x14ac:dyDescent="0.35">
      <c r="AR10" t="s">
        <v>271</v>
      </c>
      <c r="AS10" s="151">
        <f>150*'ICIS Price History'!T195/'ICIS Price History'!T197</f>
        <v>49.917425772274115</v>
      </c>
      <c r="AV10" s="151"/>
      <c r="AY10" s="151"/>
      <c r="BB10" s="151"/>
      <c r="BE10" s="151"/>
      <c r="BH10" s="151"/>
      <c r="BJ10" s="16"/>
      <c r="BK10" s="151"/>
      <c r="CQ10" s="23"/>
      <c r="CT10" s="23"/>
      <c r="CW10" s="23"/>
    </row>
    <row r="11" spans="1:109" x14ac:dyDescent="0.35">
      <c r="AP11" s="145"/>
      <c r="AR11" t="s">
        <v>272</v>
      </c>
      <c r="AS11" s="73">
        <f>AS8-AS10</f>
        <v>1542.4365252198295</v>
      </c>
      <c r="AV11" s="151"/>
      <c r="AY11" s="151"/>
      <c r="BB11" s="151"/>
      <c r="BE11" s="151"/>
      <c r="BH11" s="151"/>
      <c r="BK11" s="151"/>
    </row>
    <row r="12" spans="1:109" ht="19" thickBot="1" x14ac:dyDescent="0.5">
      <c r="A12" s="51" t="s">
        <v>126</v>
      </c>
      <c r="BA12" t="s">
        <v>303</v>
      </c>
      <c r="BD12" t="s">
        <v>310</v>
      </c>
      <c r="BG12" s="6" t="s">
        <v>325</v>
      </c>
      <c r="BH12" s="6"/>
      <c r="BI12" s="6"/>
      <c r="BJ12" s="6" t="s">
        <v>329</v>
      </c>
      <c r="BK12" s="6"/>
      <c r="BL12" s="6"/>
      <c r="BM12" s="6" t="s">
        <v>334</v>
      </c>
      <c r="BP12" s="6" t="s">
        <v>371</v>
      </c>
      <c r="BS12" s="6" t="s">
        <v>375</v>
      </c>
      <c r="BV12" s="6" t="s">
        <v>379</v>
      </c>
      <c r="BY12" s="6" t="s">
        <v>401</v>
      </c>
      <c r="CB12" s="6" t="s">
        <v>419</v>
      </c>
      <c r="CE12" s="6" t="s">
        <v>425</v>
      </c>
      <c r="CH12" s="6" t="s">
        <v>433</v>
      </c>
      <c r="CK12" s="6" t="s">
        <v>303</v>
      </c>
      <c r="CN12" s="6" t="s">
        <v>306</v>
      </c>
      <c r="CQ12" s="6" t="str">
        <f>+CQ2</f>
        <v>Precio Ene</v>
      </c>
      <c r="CT12" s="6" t="str">
        <f>+CT2</f>
        <v>Precio Feb</v>
      </c>
      <c r="CW12" s="6" t="str">
        <f>+CW2</f>
        <v>Precio Mar</v>
      </c>
    </row>
    <row r="13" spans="1:109" ht="15" thickBot="1" x14ac:dyDescent="0.4">
      <c r="A13" s="303" t="s">
        <v>21</v>
      </c>
      <c r="B13" s="300">
        <v>45047</v>
      </c>
      <c r="C13" s="301"/>
      <c r="D13" s="302"/>
      <c r="E13" s="300">
        <v>45078</v>
      </c>
      <c r="F13" s="301"/>
      <c r="G13" s="302"/>
      <c r="H13" s="300">
        <v>45108</v>
      </c>
      <c r="I13" s="301"/>
      <c r="J13" s="302"/>
      <c r="K13" s="300">
        <v>45139</v>
      </c>
      <c r="L13" s="301"/>
      <c r="M13" s="302"/>
      <c r="N13" s="300">
        <v>45170</v>
      </c>
      <c r="O13" s="301"/>
      <c r="P13" s="302"/>
      <c r="Q13" s="300">
        <v>45200</v>
      </c>
      <c r="R13" s="301"/>
      <c r="S13" s="302"/>
      <c r="T13" s="300">
        <v>45231</v>
      </c>
      <c r="U13" s="301"/>
      <c r="V13" s="302"/>
      <c r="W13" s="300">
        <v>45261</v>
      </c>
      <c r="X13" s="301"/>
      <c r="Y13" s="302"/>
      <c r="Z13" s="300">
        <v>45292</v>
      </c>
      <c r="AA13" s="301"/>
      <c r="AB13" s="302"/>
      <c r="AC13" s="300">
        <v>45323</v>
      </c>
      <c r="AD13" s="301"/>
      <c r="AE13" s="302"/>
      <c r="AF13" s="300">
        <v>45352</v>
      </c>
      <c r="AG13" s="301"/>
      <c r="AH13" s="302"/>
      <c r="AI13" s="300">
        <v>45383</v>
      </c>
      <c r="AJ13" s="301"/>
      <c r="AK13" s="302"/>
      <c r="AL13" s="300">
        <v>45413</v>
      </c>
      <c r="AM13" s="301"/>
      <c r="AN13" s="302"/>
      <c r="AO13" s="300">
        <v>45444</v>
      </c>
      <c r="AP13" s="301"/>
      <c r="AQ13" s="302"/>
      <c r="AR13" s="300">
        <v>45444</v>
      </c>
      <c r="AS13" s="301"/>
      <c r="AT13" s="302"/>
      <c r="AU13" s="300">
        <v>45505</v>
      </c>
      <c r="AV13" s="301"/>
      <c r="AW13" s="302"/>
      <c r="AX13" s="300">
        <v>45536</v>
      </c>
      <c r="AY13" s="301"/>
      <c r="AZ13" s="302"/>
      <c r="BA13" s="300">
        <v>45566</v>
      </c>
      <c r="BB13" s="301"/>
      <c r="BC13" s="302"/>
      <c r="BD13" s="300">
        <v>45597</v>
      </c>
      <c r="BE13" s="301"/>
      <c r="BF13" s="302"/>
      <c r="BG13" s="300">
        <v>45627</v>
      </c>
      <c r="BH13" s="301"/>
      <c r="BI13" s="302"/>
      <c r="BJ13" s="300">
        <v>45658</v>
      </c>
      <c r="BK13" s="301"/>
      <c r="BL13" s="302"/>
      <c r="BM13" s="300">
        <v>45689</v>
      </c>
      <c r="BN13" s="301"/>
      <c r="BO13" s="302"/>
      <c r="BP13" s="300">
        <v>45717</v>
      </c>
      <c r="BQ13" s="301"/>
      <c r="BR13" s="302"/>
      <c r="BS13" s="300">
        <v>45748</v>
      </c>
      <c r="BT13" s="301"/>
      <c r="BU13" s="302"/>
      <c r="BV13" s="300">
        <v>45778</v>
      </c>
      <c r="BW13" s="301"/>
      <c r="BX13" s="302"/>
      <c r="BY13" s="300">
        <v>45809</v>
      </c>
      <c r="BZ13" s="301"/>
      <c r="CA13" s="302"/>
      <c r="CB13" s="300">
        <v>45839</v>
      </c>
      <c r="CC13" s="301"/>
      <c r="CD13" s="302"/>
      <c r="CE13" s="300">
        <v>45870</v>
      </c>
      <c r="CF13" s="301"/>
      <c r="CG13" s="302"/>
      <c r="CH13" s="300">
        <v>45901</v>
      </c>
      <c r="CI13" s="301"/>
      <c r="CJ13" s="302"/>
      <c r="CK13" s="300">
        <v>45931</v>
      </c>
      <c r="CL13" s="301"/>
      <c r="CM13" s="302"/>
      <c r="CN13" s="300">
        <v>45962</v>
      </c>
      <c r="CO13" s="301"/>
      <c r="CP13" s="302"/>
      <c r="CQ13" s="300">
        <f>+CQ3</f>
        <v>45992</v>
      </c>
      <c r="CR13" s="301"/>
      <c r="CS13" s="302"/>
      <c r="CT13" s="300">
        <f>+CT3</f>
        <v>46023</v>
      </c>
      <c r="CU13" s="301"/>
      <c r="CV13" s="302"/>
      <c r="CW13" s="300">
        <f>+CW3</f>
        <v>46054</v>
      </c>
      <c r="CX13" s="301"/>
      <c r="CY13" s="302"/>
    </row>
    <row r="14" spans="1:109" ht="39.5" thickTop="1" x14ac:dyDescent="0.35">
      <c r="A14" s="304"/>
      <c r="B14" s="19" t="s">
        <v>22</v>
      </c>
      <c r="C14" s="20" t="s">
        <v>23</v>
      </c>
      <c r="D14" s="21" t="s">
        <v>24</v>
      </c>
      <c r="E14" s="19" t="s">
        <v>22</v>
      </c>
      <c r="F14" s="20" t="s">
        <v>23</v>
      </c>
      <c r="G14" s="21" t="s">
        <v>24</v>
      </c>
      <c r="H14" s="19" t="s">
        <v>22</v>
      </c>
      <c r="I14" s="20" t="s">
        <v>23</v>
      </c>
      <c r="J14" s="21" t="s">
        <v>24</v>
      </c>
      <c r="K14" s="19" t="s">
        <v>22</v>
      </c>
      <c r="L14" s="20" t="s">
        <v>23</v>
      </c>
      <c r="M14" s="21" t="s">
        <v>24</v>
      </c>
      <c r="N14" s="19" t="s">
        <v>22</v>
      </c>
      <c r="O14" s="20" t="s">
        <v>23</v>
      </c>
      <c r="P14" s="21" t="s">
        <v>24</v>
      </c>
      <c r="Q14" s="19" t="s">
        <v>22</v>
      </c>
      <c r="R14" s="20" t="s">
        <v>23</v>
      </c>
      <c r="S14" s="21" t="s">
        <v>24</v>
      </c>
      <c r="T14" s="19" t="s">
        <v>22</v>
      </c>
      <c r="U14" s="20" t="s">
        <v>23</v>
      </c>
      <c r="V14" s="21" t="s">
        <v>24</v>
      </c>
      <c r="W14" s="19" t="s">
        <v>22</v>
      </c>
      <c r="X14" s="20" t="s">
        <v>23</v>
      </c>
      <c r="Y14" s="21" t="s">
        <v>24</v>
      </c>
      <c r="Z14" s="19" t="s">
        <v>22</v>
      </c>
      <c r="AA14" s="20" t="s">
        <v>23</v>
      </c>
      <c r="AB14" s="21" t="s">
        <v>24</v>
      </c>
      <c r="AC14" s="19" t="s">
        <v>22</v>
      </c>
      <c r="AD14" s="20" t="s">
        <v>23</v>
      </c>
      <c r="AE14" s="21" t="s">
        <v>24</v>
      </c>
      <c r="AF14" s="19" t="s">
        <v>22</v>
      </c>
      <c r="AG14" s="20" t="s">
        <v>23</v>
      </c>
      <c r="AH14" s="21" t="s">
        <v>24</v>
      </c>
      <c r="AI14" s="19" t="s">
        <v>22</v>
      </c>
      <c r="AJ14" s="20" t="s">
        <v>23</v>
      </c>
      <c r="AK14" s="21" t="s">
        <v>24</v>
      </c>
      <c r="AL14" s="19" t="s">
        <v>22</v>
      </c>
      <c r="AM14" s="20" t="s">
        <v>23</v>
      </c>
      <c r="AN14" s="21" t="s">
        <v>24</v>
      </c>
      <c r="AO14" s="19" t="s">
        <v>22</v>
      </c>
      <c r="AP14" s="20" t="s">
        <v>23</v>
      </c>
      <c r="AQ14" s="21" t="s">
        <v>24</v>
      </c>
      <c r="AR14" s="19" t="s">
        <v>22</v>
      </c>
      <c r="AS14" s="20" t="s">
        <v>23</v>
      </c>
      <c r="AT14" s="21" t="s">
        <v>24</v>
      </c>
      <c r="AU14" s="19" t="s">
        <v>22</v>
      </c>
      <c r="AV14" s="20" t="s">
        <v>23</v>
      </c>
      <c r="AW14" s="21" t="s">
        <v>24</v>
      </c>
      <c r="AX14" s="19" t="s">
        <v>22</v>
      </c>
      <c r="AY14" s="20" t="s">
        <v>23</v>
      </c>
      <c r="AZ14" s="21" t="s">
        <v>24</v>
      </c>
      <c r="BA14" s="19" t="s">
        <v>22</v>
      </c>
      <c r="BB14" s="20" t="s">
        <v>23</v>
      </c>
      <c r="BC14" s="21" t="s">
        <v>24</v>
      </c>
      <c r="BD14" s="19" t="s">
        <v>22</v>
      </c>
      <c r="BE14" s="20" t="s">
        <v>23</v>
      </c>
      <c r="BF14" s="21" t="s">
        <v>24</v>
      </c>
      <c r="BG14" s="19" t="s">
        <v>22</v>
      </c>
      <c r="BH14" s="20" t="s">
        <v>23</v>
      </c>
      <c r="BI14" s="21" t="s">
        <v>24</v>
      </c>
      <c r="BJ14" s="19" t="s">
        <v>22</v>
      </c>
      <c r="BK14" s="20" t="s">
        <v>23</v>
      </c>
      <c r="BL14" s="21" t="s">
        <v>24</v>
      </c>
      <c r="BM14" s="19" t="s">
        <v>22</v>
      </c>
      <c r="BN14" s="20" t="s">
        <v>23</v>
      </c>
      <c r="BO14" s="21" t="s">
        <v>24</v>
      </c>
      <c r="BP14" s="19" t="s">
        <v>22</v>
      </c>
      <c r="BQ14" s="20" t="s">
        <v>23</v>
      </c>
      <c r="BR14" s="21" t="s">
        <v>24</v>
      </c>
      <c r="BS14" s="19" t="s">
        <v>22</v>
      </c>
      <c r="BT14" s="20" t="s">
        <v>23</v>
      </c>
      <c r="BU14" s="21" t="s">
        <v>24</v>
      </c>
      <c r="BV14" s="19" t="s">
        <v>22</v>
      </c>
      <c r="BW14" s="20" t="s">
        <v>23</v>
      </c>
      <c r="BX14" s="21" t="s">
        <v>24</v>
      </c>
      <c r="BY14" s="19" t="s">
        <v>22</v>
      </c>
      <c r="BZ14" s="20" t="s">
        <v>23</v>
      </c>
      <c r="CA14" s="21" t="s">
        <v>24</v>
      </c>
      <c r="CB14" s="19" t="s">
        <v>22</v>
      </c>
      <c r="CC14" s="20" t="s">
        <v>23</v>
      </c>
      <c r="CD14" s="21" t="s">
        <v>24</v>
      </c>
      <c r="CE14" s="19" t="s">
        <v>22</v>
      </c>
      <c r="CF14" s="20" t="s">
        <v>23</v>
      </c>
      <c r="CG14" s="21" t="s">
        <v>24</v>
      </c>
      <c r="CH14" s="19" t="s">
        <v>22</v>
      </c>
      <c r="CI14" s="20" t="s">
        <v>23</v>
      </c>
      <c r="CJ14" s="21" t="s">
        <v>24</v>
      </c>
      <c r="CK14" s="19" t="s">
        <v>22</v>
      </c>
      <c r="CL14" s="20" t="s">
        <v>23</v>
      </c>
      <c r="CM14" s="21" t="s">
        <v>24</v>
      </c>
      <c r="CN14" s="19" t="s">
        <v>22</v>
      </c>
      <c r="CO14" s="20" t="s">
        <v>23</v>
      </c>
      <c r="CP14" s="21" t="s">
        <v>24</v>
      </c>
      <c r="CQ14" s="19" t="s">
        <v>22</v>
      </c>
      <c r="CR14" s="20" t="s">
        <v>23</v>
      </c>
      <c r="CS14" s="21" t="s">
        <v>24</v>
      </c>
      <c r="CT14" s="19" t="s">
        <v>22</v>
      </c>
      <c r="CU14" s="20" t="s">
        <v>23</v>
      </c>
      <c r="CV14" s="21" t="s">
        <v>24</v>
      </c>
      <c r="CW14" s="19" t="s">
        <v>22</v>
      </c>
      <c r="CX14" s="20" t="s">
        <v>23</v>
      </c>
      <c r="CY14" s="21" t="s">
        <v>24</v>
      </c>
    </row>
    <row r="15" spans="1:109" x14ac:dyDescent="0.35">
      <c r="A15" s="22" t="s">
        <v>25</v>
      </c>
      <c r="B15" s="23">
        <v>1261711.79825</v>
      </c>
      <c r="C15" s="83">
        <v>1721.1985209379272</v>
      </c>
      <c r="D15" s="60">
        <v>2171655.7773718773</v>
      </c>
      <c r="E15" s="18">
        <f>B18</f>
        <v>1291123.464496155</v>
      </c>
      <c r="F15" s="83">
        <f t="shared" ref="F15" si="30">C18</f>
        <v>1723.2999953487351</v>
      </c>
      <c r="G15" s="60">
        <f t="shared" ref="G15" si="31">D18</f>
        <v>2224993.0603608666</v>
      </c>
      <c r="H15" s="18">
        <f>E18</f>
        <v>1296527.825396155</v>
      </c>
      <c r="I15" s="83">
        <f t="shared" ref="I15" si="32">F18</f>
        <v>1722.7728276782993</v>
      </c>
      <c r="J15" s="60">
        <f t="shared" ref="J15" si="33">G18</f>
        <v>2233622.9079213305</v>
      </c>
      <c r="K15" s="18">
        <f>H18</f>
        <v>1304447.823496155</v>
      </c>
      <c r="L15" s="83">
        <f t="shared" ref="L15" si="34">I18</f>
        <v>1642.5537942750093</v>
      </c>
      <c r="M15" s="60">
        <f t="shared" ref="M15" si="35">J18</f>
        <v>2142625.7219173871</v>
      </c>
      <c r="N15" s="18">
        <f>K18</f>
        <v>1110726.0866961549</v>
      </c>
      <c r="O15" s="83">
        <f t="shared" ref="O15" si="36">L18</f>
        <v>1581.6924368467605</v>
      </c>
      <c r="P15" s="60">
        <f t="shared" ref="P15" si="37">M18</f>
        <v>1756827.0507357076</v>
      </c>
      <c r="Q15" s="18">
        <f>N18</f>
        <v>735021.0866961549</v>
      </c>
      <c r="R15" s="83">
        <f t="shared" ref="R15" si="38">O18</f>
        <v>1562.8206761922586</v>
      </c>
      <c r="S15" s="60">
        <f t="shared" ref="S15" si="39">P18</f>
        <v>1148706.1517260536</v>
      </c>
      <c r="T15" s="18">
        <f>Q18</f>
        <v>394058.27469615487</v>
      </c>
      <c r="U15" s="83">
        <f t="shared" ref="U15" si="40">R18</f>
        <v>1549.7558363795388</v>
      </c>
      <c r="V15" s="60">
        <f t="shared" ref="V15" si="41">S18</f>
        <v>610694.11108401755</v>
      </c>
      <c r="W15" s="113">
        <f>T18</f>
        <v>359692.50480755232</v>
      </c>
      <c r="X15" s="83">
        <f t="shared" ref="X15" si="42">U18</f>
        <v>1545.6359044159542</v>
      </c>
      <c r="Y15" s="60">
        <f t="shared" ref="Y15" si="43">V18</f>
        <v>555953.6499798611</v>
      </c>
      <c r="Z15" s="113">
        <f>W18</f>
        <v>381131.74760755233</v>
      </c>
      <c r="AA15" s="83">
        <f t="shared" ref="AA15" si="44">X18</f>
        <v>1573.6105059856102</v>
      </c>
      <c r="AB15" s="60">
        <f t="shared" ref="AB15" si="45">Y18</f>
        <v>599752.92219990026</v>
      </c>
      <c r="AC15" s="113">
        <f>Z18</f>
        <v>440631.74760755233</v>
      </c>
      <c r="AD15" s="83">
        <f t="shared" ref="AD15" si="46">AA18</f>
        <v>1594.307074627691</v>
      </c>
      <c r="AE15" s="60">
        <f t="shared" ref="AE15" si="47">AB18</f>
        <v>702502.31251628383</v>
      </c>
      <c r="AF15" s="113">
        <f>AC18</f>
        <v>613381.74760755245</v>
      </c>
      <c r="AG15" s="83">
        <f t="shared" ref="AG15" si="48">AD18</f>
        <v>1621.1458132549046</v>
      </c>
      <c r="AH15" s="60">
        <f t="shared" ref="AH15" si="49">AE18</f>
        <v>994381.25206096028</v>
      </c>
      <c r="AI15" s="113">
        <f>AF18</f>
        <v>581860.14760755247</v>
      </c>
      <c r="AJ15" s="83">
        <f t="shared" ref="AJ15" si="50">AG18</f>
        <v>1639.4750560723701</v>
      </c>
      <c r="AK15" s="60">
        <f t="shared" ref="AK15" si="51">AH18</f>
        <v>953945.19812516961</v>
      </c>
      <c r="AL15" s="113">
        <f>AI18</f>
        <v>557485.03160755232</v>
      </c>
      <c r="AM15" s="83">
        <f t="shared" ref="AM15" si="52">AJ18</f>
        <v>1671.6016322929995</v>
      </c>
      <c r="AN15" s="60">
        <f t="shared" ref="AN15" si="53">AK18</f>
        <v>931892.88881409878</v>
      </c>
      <c r="AO15" s="113">
        <f>AL18</f>
        <v>520859.91620755242</v>
      </c>
      <c r="AP15" s="83">
        <f t="shared" ref="AP15" si="54">AM18</f>
        <v>1710.4165831759826</v>
      </c>
      <c r="AQ15" s="60">
        <f t="shared" ref="AQ15" si="55">AN18</f>
        <v>890887.43819305033</v>
      </c>
      <c r="AR15" s="113">
        <f>AO18</f>
        <v>464234.80080755241</v>
      </c>
      <c r="AS15" s="83">
        <f t="shared" ref="AS15" si="56">AP18</f>
        <v>1744.2566738819216</v>
      </c>
      <c r="AT15" s="60">
        <f t="shared" ref="AT15" si="57">AQ18</f>
        <v>809744.64955681772</v>
      </c>
      <c r="AU15" s="113">
        <f>AR18</f>
        <v>428101.6520075514</v>
      </c>
      <c r="AV15" s="83">
        <f t="shared" ref="AV15" si="58">AS18</f>
        <v>1794.3205359445201</v>
      </c>
      <c r="AW15" s="60">
        <f t="shared" ref="AW15" si="59">AT18</f>
        <v>768151.58566892415</v>
      </c>
      <c r="AX15" s="113">
        <f>AU18</f>
        <v>344101.6520075514</v>
      </c>
      <c r="AY15" s="83">
        <f t="shared" ref="AY15" si="60">AV18</f>
        <v>1851.8239439031042</v>
      </c>
      <c r="AZ15" s="60">
        <f t="shared" ref="AZ15" si="61">AW18</f>
        <v>637215.67832419742</v>
      </c>
      <c r="BA15" s="113">
        <f>AX18</f>
        <v>651101.6520075514</v>
      </c>
      <c r="BB15" s="74">
        <f t="shared" ref="BB15" si="62">AY18</f>
        <v>1902.9419031428868</v>
      </c>
      <c r="BC15" s="60">
        <f t="shared" ref="BC15" si="63">AZ18</f>
        <v>1239008.6168107274</v>
      </c>
      <c r="BD15" s="113">
        <f>BA18</f>
        <v>1580861.6520075514</v>
      </c>
      <c r="BE15" s="74">
        <f t="shared" ref="BE15" si="64">BB18</f>
        <v>1908.9858260260823</v>
      </c>
      <c r="BF15" s="60">
        <f t="shared" ref="BF15" si="65">BC18</f>
        <v>3017842.4865905927</v>
      </c>
      <c r="BG15" s="23">
        <f>BD18</f>
        <v>1719757.6520075514</v>
      </c>
      <c r="BH15" s="74">
        <f t="shared" ref="BH15" si="66">BE18</f>
        <v>1909.0031000859935</v>
      </c>
      <c r="BI15" s="60">
        <f t="shared" ref="BI15" si="67">BF18</f>
        <v>3283022.6890790248</v>
      </c>
      <c r="BJ15" s="23">
        <f>BG18</f>
        <v>1817757.6520075514</v>
      </c>
      <c r="BK15" s="74">
        <f t="shared" ref="BK15" si="68">BH18</f>
        <v>1873.8234478584488</v>
      </c>
      <c r="BL15" s="60">
        <f t="shared" ref="BL15" si="69">BI18</f>
        <v>3406156.9108558684</v>
      </c>
      <c r="BM15" s="23">
        <f>BJ18</f>
        <v>1649961.7096075513</v>
      </c>
      <c r="BN15" s="74">
        <f t="shared" ref="BN15" si="70">BK18</f>
        <v>1861.6601783258241</v>
      </c>
      <c r="BO15" s="60">
        <f t="shared" ref="BO15" si="71">BL18</f>
        <v>3071668.0105387755</v>
      </c>
      <c r="BP15" s="23">
        <f>BM18</f>
        <v>1370523.1980075513</v>
      </c>
      <c r="BQ15" s="74">
        <f t="shared" ref="BQ15" si="72">BN18</f>
        <v>1857.2149317904245</v>
      </c>
      <c r="BR15" s="60">
        <f t="shared" ref="BR15" si="73">BO18</f>
        <v>2545356.1477047885</v>
      </c>
      <c r="BS15" s="23">
        <f>BP18</f>
        <v>1250523.198007551</v>
      </c>
      <c r="BT15" s="74">
        <f t="shared" ref="BT15" si="74">BQ18</f>
        <v>1856.4224384720203</v>
      </c>
      <c r="BU15" s="60">
        <f t="shared" ref="BU15" si="75">BR18</f>
        <v>2321499.3246110068</v>
      </c>
      <c r="BV15" s="23">
        <f>BS18</f>
        <v>1316523.198007551</v>
      </c>
      <c r="BW15" s="74">
        <f t="shared" ref="BW15" si="76">BT18</f>
        <v>1855.9972806971728</v>
      </c>
      <c r="BX15" s="60">
        <f t="shared" ref="BX15" si="77">BU18</f>
        <v>2443463.4754767604</v>
      </c>
      <c r="BY15" s="23">
        <f>BV18</f>
        <v>1050523.198007551</v>
      </c>
      <c r="BZ15" s="74">
        <f t="shared" ref="BZ15" si="78">BW18</f>
        <v>1838.4879735223631</v>
      </c>
      <c r="CA15" s="60">
        <f t="shared" ref="CA15" si="79">BX18</f>
        <v>1931374.2654431346</v>
      </c>
      <c r="CB15" s="23">
        <f>BY18</f>
        <v>1040523.198007551</v>
      </c>
      <c r="CC15" s="74">
        <f t="shared" ref="CC15" si="80">BZ18</f>
        <v>1824.4572737590888</v>
      </c>
      <c r="CD15" s="60">
        <f t="shared" ref="CD15" si="81">CA18</f>
        <v>1898390.1171199451</v>
      </c>
      <c r="CE15" s="23">
        <f>CB18</f>
        <v>1178023.198007551</v>
      </c>
      <c r="CF15" s="74">
        <f t="shared" ref="CF15" si="82">CC18</f>
        <v>1732.7090086403357</v>
      </c>
      <c r="CG15" s="60">
        <f t="shared" ref="CG15" si="83">CD18</f>
        <v>2041171.4075749817</v>
      </c>
      <c r="CH15" s="23">
        <f>CE18</f>
        <v>1319023.198007551</v>
      </c>
      <c r="CI15" s="74">
        <f t="shared" ref="CI15" si="84">CF18</f>
        <v>1625.8657038877757</v>
      </c>
      <c r="CJ15" s="60">
        <f t="shared" ref="CJ15" si="85">CG18</f>
        <v>2144554.580272852</v>
      </c>
      <c r="CK15" s="23">
        <f>CH18</f>
        <v>1406523.198007551</v>
      </c>
      <c r="CL15" s="74">
        <f t="shared" ref="CL15" si="86">CI18</f>
        <v>1543.7663027289068</v>
      </c>
      <c r="CM15" s="60">
        <f t="shared" ref="CM15" si="87">CJ18</f>
        <v>2171343.1170905554</v>
      </c>
      <c r="CN15" s="23">
        <f>CK18</f>
        <v>1448523.198007551</v>
      </c>
      <c r="CO15" s="74">
        <f t="shared" ref="CO15" si="88">CL18</f>
        <v>1494.8337139513671</v>
      </c>
      <c r="CP15" s="60">
        <f t="shared" ref="CP15" si="89">CM18</f>
        <v>2165301.311822339</v>
      </c>
      <c r="CQ15" s="23">
        <f>CN18</f>
        <v>1806523.198007551</v>
      </c>
      <c r="CR15" s="74">
        <f t="shared" ref="CR15" si="90">CO18</f>
        <v>1472.9984164433044</v>
      </c>
      <c r="CS15" s="60">
        <f t="shared" ref="CS15" si="91">CP18</f>
        <v>2661005.8099332168</v>
      </c>
      <c r="CT15" s="23">
        <f>CQ18</f>
        <v>2377523.198007551</v>
      </c>
      <c r="CU15" s="74">
        <f>CR18</f>
        <v>1462.6030469911245</v>
      </c>
      <c r="CV15" s="60">
        <f t="shared" ref="CV15" si="92">CS18</f>
        <v>3477372.673697927</v>
      </c>
      <c r="CW15" s="23">
        <f>CT18</f>
        <v>2556623.198007551</v>
      </c>
      <c r="CX15" s="74">
        <f>CU18</f>
        <v>1455.9078120776019</v>
      </c>
      <c r="CY15" s="60">
        <f t="shared" ref="CY15" si="93">CV18</f>
        <v>3722207.6865180149</v>
      </c>
    </row>
    <row r="16" spans="1:109" x14ac:dyDescent="0.35">
      <c r="A16" s="22" t="s">
        <v>26</v>
      </c>
      <c r="B16" s="16">
        <v>540000</v>
      </c>
      <c r="C16" s="63">
        <f>PCR!AR15</f>
        <v>1728.2100973076924</v>
      </c>
      <c r="D16" s="16">
        <f>B16*C16/1000</f>
        <v>933233.45254615392</v>
      </c>
      <c r="E16" s="16">
        <v>554000</v>
      </c>
      <c r="F16" s="63">
        <f>PCR!AT15</f>
        <v>1721.5442382396295</v>
      </c>
      <c r="G16" s="16">
        <f>E16*F16/1000</f>
        <v>953735.50798475475</v>
      </c>
      <c r="H16" s="16">
        <v>607000</v>
      </c>
      <c r="I16" s="63">
        <f>+PCR!AV15</f>
        <v>1471.2091337581239</v>
      </c>
      <c r="J16" s="16">
        <f>H16*I16/1000</f>
        <v>893023.94419118122</v>
      </c>
      <c r="K16" s="16">
        <v>500000</v>
      </c>
      <c r="L16" s="63">
        <f>PCR!AX15</f>
        <v>1422.9115063821596</v>
      </c>
      <c r="M16" s="16">
        <f>K16*L16/1000</f>
        <v>711455.75319107971</v>
      </c>
      <c r="N16" s="16">
        <v>156000</v>
      </c>
      <c r="O16" s="63">
        <f>PCR!AZ15</f>
        <v>1428.4530040073773</v>
      </c>
      <c r="P16" s="16">
        <f>N16*O16/1000</f>
        <v>222838.66862515087</v>
      </c>
      <c r="Q16" s="16">
        <v>190000</v>
      </c>
      <c r="R16" s="63">
        <f>PCR!BB15</f>
        <v>1499.2140850287142</v>
      </c>
      <c r="S16" s="16">
        <f>Q16*R16/1000</f>
        <v>284850.6761554557</v>
      </c>
      <c r="T16" s="16">
        <v>510000</v>
      </c>
      <c r="U16" s="63">
        <f>PCR!BD15</f>
        <v>1542.4525842562764</v>
      </c>
      <c r="V16" s="16">
        <f>T16*U16/1000</f>
        <v>786650.81797070103</v>
      </c>
      <c r="W16" s="16">
        <v>540000</v>
      </c>
      <c r="X16" s="63">
        <f>PCR!BF15</f>
        <v>1592.2443106329856</v>
      </c>
      <c r="Y16" s="16">
        <f>W16*X16/1000</f>
        <v>859811.92774181219</v>
      </c>
      <c r="Z16" s="16">
        <v>500000</v>
      </c>
      <c r="AA16" s="63">
        <f>PCR!BH15</f>
        <v>1610.0833133797628</v>
      </c>
      <c r="AB16" s="16">
        <f>Z16*AA16/1000</f>
        <v>805041.65668988146</v>
      </c>
      <c r="AC16" s="16">
        <v>670000</v>
      </c>
      <c r="AD16" s="63">
        <f>PCR!BJ15</f>
        <v>1638.796559978623</v>
      </c>
      <c r="AE16" s="16">
        <f>AC16*AD16/1000</f>
        <v>1097993.6951856776</v>
      </c>
      <c r="AF16" s="16">
        <v>510000</v>
      </c>
      <c r="AG16" s="63">
        <f>PCR!BL15</f>
        <v>1661.5198070364877</v>
      </c>
      <c r="AH16" s="16">
        <f>AF16*AG16/1000</f>
        <v>847375.1015886087</v>
      </c>
      <c r="AI16" s="16">
        <v>550000</v>
      </c>
      <c r="AJ16" s="63">
        <f>PCR!BN15</f>
        <v>1705.5892220782007</v>
      </c>
      <c r="AK16" s="16">
        <f>AI16*AJ16/1000</f>
        <v>938074.07214301033</v>
      </c>
      <c r="AL16" s="16">
        <v>520000</v>
      </c>
      <c r="AM16" s="63">
        <f>PCR!BP15</f>
        <v>1752.0295718679938</v>
      </c>
      <c r="AN16" s="16">
        <f>AL16*AM16/1000</f>
        <v>911055.37737135671</v>
      </c>
      <c r="AO16" s="16">
        <v>500000</v>
      </c>
      <c r="AP16" s="63">
        <f>PCR!BR15</f>
        <v>1779.5085675010239</v>
      </c>
      <c r="AQ16" s="16">
        <f>AO16*AP16/1000</f>
        <v>889754.28375051206</v>
      </c>
      <c r="AR16" s="16">
        <v>540000</v>
      </c>
      <c r="AS16" s="63">
        <f>PCR!BT15</f>
        <v>1837.3601415598666</v>
      </c>
      <c r="AT16" s="16">
        <f>AR16*AS16/1000</f>
        <v>992174.47644232796</v>
      </c>
      <c r="AU16" s="16">
        <v>698000</v>
      </c>
      <c r="AV16" s="63">
        <f>PCR!BV15</f>
        <v>1887.092287661176</v>
      </c>
      <c r="AW16" s="16">
        <f>AU16*AV16/1000</f>
        <v>1317190.416787501</v>
      </c>
      <c r="AX16" s="16">
        <f>PCR!BW28</f>
        <v>1640000</v>
      </c>
      <c r="AY16" s="63">
        <f>PCR!BV28</f>
        <v>1913.667375229267</v>
      </c>
      <c r="AZ16" s="16">
        <f>AX16*AY16/1000</f>
        <v>3138414.4953759979</v>
      </c>
      <c r="BA16" s="16">
        <f>PCR!BY28</f>
        <v>1776000</v>
      </c>
      <c r="BB16" s="74">
        <f>PCR!BX28</f>
        <v>1911.2015963942438</v>
      </c>
      <c r="BC16" s="16">
        <f>BA16*BB16/1000</f>
        <v>3394294.0351961772</v>
      </c>
      <c r="BD16" s="16">
        <f>PCR!CB28</f>
        <v>888430</v>
      </c>
      <c r="BE16" s="74">
        <f>PCR!CA28</f>
        <v>1909.0338373403506</v>
      </c>
      <c r="BF16" s="16">
        <f>BD16*BE16/1000</f>
        <v>1696042.9321082875</v>
      </c>
      <c r="BG16" s="16">
        <f>PCR!CD28</f>
        <v>789000</v>
      </c>
      <c r="BH16" s="74">
        <f>PCR!CC28</f>
        <v>1797.1435034816623</v>
      </c>
      <c r="BI16" s="16">
        <f>BG16*BH16/1000</f>
        <v>1417946.2242470314</v>
      </c>
      <c r="BJ16" s="16">
        <f>PCR!CF28</f>
        <v>990000</v>
      </c>
      <c r="BK16" s="74">
        <f>PCR!CE28</f>
        <v>1839.3269699759669</v>
      </c>
      <c r="BL16" s="16">
        <f>BJ16*BK16/1000</f>
        <v>1820933.7002762072</v>
      </c>
      <c r="BM16" s="16">
        <f>PCR!CH51</f>
        <v>749000</v>
      </c>
      <c r="BN16" s="74">
        <f>PCR!CI51</f>
        <v>1847.4225598636228</v>
      </c>
      <c r="BO16" s="16">
        <f>BM16*BN16/1000</f>
        <v>1383719.4973378535</v>
      </c>
      <c r="BP16" s="16">
        <f>PCR!CL51</f>
        <v>996000</v>
      </c>
      <c r="BQ16" s="74">
        <f>PCR!CM51</f>
        <v>1855.331946025093</v>
      </c>
      <c r="BR16" s="16">
        <f>BP16*BQ16/1000</f>
        <v>1847910.6182409925</v>
      </c>
      <c r="BS16" s="239">
        <f>PCR!CP51</f>
        <v>1000000</v>
      </c>
      <c r="BT16" s="74">
        <f>PCR!CQ51</f>
        <v>1855.4656110369126</v>
      </c>
      <c r="BU16" s="16">
        <f>BS16*BT16/1000</f>
        <v>1855465.6110369128</v>
      </c>
      <c r="BV16" s="239">
        <f>PCR!CT51</f>
        <v>807000</v>
      </c>
      <c r="BW16" s="242">
        <f>PCR!CU51</f>
        <v>1809.9236500072736</v>
      </c>
      <c r="BX16" s="16">
        <f>BV16*BW16/1000</f>
        <v>1460608.3855558699</v>
      </c>
      <c r="BY16" s="239">
        <f>PCR!CX51</f>
        <v>1081000</v>
      </c>
      <c r="BZ16" s="242">
        <f>PCR!CY51</f>
        <v>1810.8221437076566</v>
      </c>
      <c r="CA16" s="16">
        <f>BY16*BZ16/1000</f>
        <v>1957498.7373479768</v>
      </c>
      <c r="CB16" s="239">
        <f>PCR!DB51</f>
        <v>1209000</v>
      </c>
      <c r="CC16" s="242">
        <f>PCR!DC51</f>
        <v>1653.7460655195666</v>
      </c>
      <c r="CD16" s="16">
        <f>CB16*CC16/1000</f>
        <v>1999378.993213156</v>
      </c>
      <c r="CE16" s="239">
        <f>PCR!DF51</f>
        <v>1137000</v>
      </c>
      <c r="CF16" s="242">
        <f>PCR!DG51</f>
        <v>1515.1674703342962</v>
      </c>
      <c r="CG16" s="16">
        <f>CE16*CF16/1000</f>
        <v>1722745.413770095</v>
      </c>
      <c r="CH16" s="239">
        <f>PCR!DJ51</f>
        <v>677000</v>
      </c>
      <c r="CI16" s="242">
        <f>PCR!DK51</f>
        <v>1383.8091170995481</v>
      </c>
      <c r="CJ16" s="16">
        <f>CH16*CI16/1000</f>
        <v>936838.77227639395</v>
      </c>
      <c r="CK16" s="239">
        <f>PCR!DN51</f>
        <v>580000</v>
      </c>
      <c r="CL16" s="242">
        <f>PCR!$DO$51</f>
        <v>1376.1702290303783</v>
      </c>
      <c r="CM16" s="16">
        <f>CK16*CL16/1000</f>
        <v>798178.73283761938</v>
      </c>
      <c r="CN16" s="239">
        <f>PCR!DR51</f>
        <v>580000</v>
      </c>
      <c r="CO16" s="275">
        <f>PCR!DS51</f>
        <v>1418.4657699332606</v>
      </c>
      <c r="CP16" s="16">
        <f>CN16*CO16/1000</f>
        <v>822710.14656129107</v>
      </c>
      <c r="CQ16" s="239">
        <v>580000</v>
      </c>
      <c r="CR16" s="275">
        <f>+PCR!DW51</f>
        <v>1430.2246399786725</v>
      </c>
      <c r="CS16" s="16">
        <f>CQ16*CR16/1000</f>
        <v>829530.29118763003</v>
      </c>
      <c r="CT16" s="239">
        <v>562600</v>
      </c>
      <c r="CU16" s="275">
        <f>+PCR!EA51</f>
        <v>1427.6140397295569</v>
      </c>
      <c r="CV16" s="16">
        <f>CT16*CU16/1000</f>
        <v>803175.65875184874</v>
      </c>
      <c r="CW16" s="239">
        <v>504000</v>
      </c>
      <c r="CX16" s="275">
        <f>+PCR!EE50</f>
        <v>1406.0539574074623</v>
      </c>
      <c r="CY16" s="16">
        <f>CW16*CX16/1000</f>
        <v>708651.19453336112</v>
      </c>
    </row>
    <row r="17" spans="1:103" x14ac:dyDescent="0.35">
      <c r="A17" s="22" t="s">
        <v>27</v>
      </c>
      <c r="B17" s="16">
        <v>510588.33375384501</v>
      </c>
      <c r="C17" s="83">
        <v>1721.1985209379272</v>
      </c>
      <c r="D17" s="60">
        <f>B17*C17/1000</f>
        <v>878823.88486527884</v>
      </c>
      <c r="E17" s="16">
        <v>548595.63910000003</v>
      </c>
      <c r="F17" s="83">
        <f>F15</f>
        <v>1723.2999953487351</v>
      </c>
      <c r="G17" s="60">
        <f>E17*F17/1000</f>
        <v>945394.86230936646</v>
      </c>
      <c r="H17" s="16">
        <v>599080.00190000003</v>
      </c>
      <c r="I17" s="83">
        <v>1722.7728232891436</v>
      </c>
      <c r="J17" s="60">
        <f>H17*I17/1000</f>
        <v>1032078.7462493286</v>
      </c>
      <c r="K17" s="16">
        <v>693721.73679999996</v>
      </c>
      <c r="L17" s="83">
        <v>1722.7728232891436</v>
      </c>
      <c r="M17" s="60">
        <f>K17*L17/1000</f>
        <v>1195124.9550839842</v>
      </c>
      <c r="N17" s="16">
        <v>531705</v>
      </c>
      <c r="O17" s="83">
        <v>1722.7728232891436</v>
      </c>
      <c r="P17" s="60">
        <f>N17*O17/1000</f>
        <v>916006.92400695407</v>
      </c>
      <c r="Q17" s="16">
        <v>530962.81200000003</v>
      </c>
      <c r="R17" s="74">
        <f>R15</f>
        <v>1562.8206761922586</v>
      </c>
      <c r="S17" s="60">
        <f>Q17*R17/1000</f>
        <v>829799.66088278312</v>
      </c>
      <c r="T17" s="16">
        <v>544365.76988860255</v>
      </c>
      <c r="U17" s="74">
        <f>U15</f>
        <v>1549.7558363795388</v>
      </c>
      <c r="V17" s="60">
        <f>T17*U17/1000</f>
        <v>843634.02901010273</v>
      </c>
      <c r="W17" s="16">
        <v>518560.75719999999</v>
      </c>
      <c r="X17" s="74">
        <f>X15</f>
        <v>1545.6359044159542</v>
      </c>
      <c r="Y17" s="60">
        <f>W17*X17/1000</f>
        <v>801506.12494944409</v>
      </c>
      <c r="Z17" s="16">
        <v>440500</v>
      </c>
      <c r="AA17" s="74">
        <f>AA15</f>
        <v>1573.6105059856102</v>
      </c>
      <c r="AB17" s="60">
        <f>Z17*AA17/1000</f>
        <v>693175.42788666126</v>
      </c>
      <c r="AC17" s="16">
        <v>497250</v>
      </c>
      <c r="AD17" s="74">
        <f>AD15</f>
        <v>1594.307074627691</v>
      </c>
      <c r="AE17" s="60">
        <f>AC17*AD17/1000</f>
        <v>792769.19285861938</v>
      </c>
      <c r="AF17" s="16">
        <v>541521.6</v>
      </c>
      <c r="AG17" s="74">
        <f>AG15</f>
        <v>1621.1458132549046</v>
      </c>
      <c r="AH17" s="60">
        <f>AF17*AG17/1000</f>
        <v>877885.47462709714</v>
      </c>
      <c r="AI17" s="16">
        <v>574375.11600000004</v>
      </c>
      <c r="AJ17" s="74">
        <f>AJ15</f>
        <v>1639.4750560723701</v>
      </c>
      <c r="AK17" s="60">
        <f>AI17*AJ17/1000</f>
        <v>941673.67551067413</v>
      </c>
      <c r="AL17" s="16">
        <v>556625.11540000001</v>
      </c>
      <c r="AM17" s="74">
        <f>AM15</f>
        <v>1671.6016322929995</v>
      </c>
      <c r="AN17" s="60">
        <f>AL17*AM17/1000</f>
        <v>930455.45147791924</v>
      </c>
      <c r="AO17" s="16">
        <v>556625.11540000001</v>
      </c>
      <c r="AP17" s="74">
        <f>AP15</f>
        <v>1710.4165831759826</v>
      </c>
      <c r="AQ17" s="60">
        <f>AO17*AP17/1000</f>
        <v>952060.82799240504</v>
      </c>
      <c r="AR17" s="16">
        <v>576133.14880000101</v>
      </c>
      <c r="AS17" s="74">
        <f>AS15</f>
        <v>1744.2566738819216</v>
      </c>
      <c r="AT17" s="60">
        <f>AR17*AS17/1000</f>
        <v>1004924.0898390079</v>
      </c>
      <c r="AU17" s="16">
        <v>782000</v>
      </c>
      <c r="AV17" s="74">
        <f>AV15</f>
        <v>1794.3205359445201</v>
      </c>
      <c r="AW17" s="60">
        <f>AU17*AV17/1000</f>
        <v>1403158.6591086148</v>
      </c>
      <c r="AX17" s="16">
        <v>1333000</v>
      </c>
      <c r="AY17" s="74">
        <f>AY15</f>
        <v>1851.8239439031042</v>
      </c>
      <c r="AZ17" s="60">
        <f>AX17*AY17/1000</f>
        <v>2468481.3172228378</v>
      </c>
      <c r="BA17" s="16">
        <v>846240</v>
      </c>
      <c r="BB17" s="74">
        <f>BB15</f>
        <v>1902.9419031428868</v>
      </c>
      <c r="BC17" s="60">
        <f>BA17*BB17/1000</f>
        <v>1610345.5561156366</v>
      </c>
      <c r="BD17" s="16">
        <v>749534</v>
      </c>
      <c r="BE17" s="74">
        <f>BE15</f>
        <v>1908.9858260260823</v>
      </c>
      <c r="BF17" s="60">
        <f>BD17*BE17/1000</f>
        <v>1430849.7821246334</v>
      </c>
      <c r="BG17" s="153">
        <v>691000</v>
      </c>
      <c r="BH17" s="74">
        <f>BH15</f>
        <v>1909.0031000859935</v>
      </c>
      <c r="BI17" s="60">
        <f>BG17*BH17/1000</f>
        <v>1319121.1421594215</v>
      </c>
      <c r="BJ17" s="153">
        <v>1157795.9424000001</v>
      </c>
      <c r="BK17" s="74">
        <f>BK15</f>
        <v>1873.8234478584488</v>
      </c>
      <c r="BL17" s="60">
        <f>BJ17*BK17/1000</f>
        <v>2169505.18470449</v>
      </c>
      <c r="BM17" s="153">
        <v>1028438.5116000001</v>
      </c>
      <c r="BN17" s="74">
        <f>BN15</f>
        <v>1861.6601783258241</v>
      </c>
      <c r="BO17" s="60">
        <f>BM17*BN17/1000</f>
        <v>1914603.0229024012</v>
      </c>
      <c r="BP17" s="153">
        <v>1116000</v>
      </c>
      <c r="BQ17" s="74">
        <f>BQ15</f>
        <v>1857.2149317904245</v>
      </c>
      <c r="BR17" s="60">
        <f>BP17*BQ17/1000</f>
        <v>2072651.8638781137</v>
      </c>
      <c r="BS17" s="238">
        <v>934000</v>
      </c>
      <c r="BT17" s="74">
        <f>BT15</f>
        <v>1856.4224384720203</v>
      </c>
      <c r="BU17" s="60">
        <f>BS17*BT17/1000</f>
        <v>1733898.557532867</v>
      </c>
      <c r="BV17" s="238">
        <v>1073000</v>
      </c>
      <c r="BW17" s="242">
        <f>BW15</f>
        <v>1855.9972806971728</v>
      </c>
      <c r="BX17" s="60">
        <f>BV17*BW17/1000</f>
        <v>1991485.0821880666</v>
      </c>
      <c r="BY17" s="238">
        <f>BY7</f>
        <v>1091000</v>
      </c>
      <c r="BZ17" s="242">
        <f>BZ15</f>
        <v>1838.4879735223631</v>
      </c>
      <c r="CA17" s="60">
        <f>BY17*BZ17/1000</f>
        <v>2005790.3791128981</v>
      </c>
      <c r="CB17" s="238">
        <f>CB7</f>
        <v>1071500</v>
      </c>
      <c r="CC17" s="242">
        <f>CC15</f>
        <v>1824.4572737590888</v>
      </c>
      <c r="CD17" s="60">
        <f>CB17*CC17/1000</f>
        <v>1954905.9688328635</v>
      </c>
      <c r="CE17" s="238">
        <f>CE7</f>
        <v>996000</v>
      </c>
      <c r="CF17" s="242">
        <f>CF15</f>
        <v>1732.7090086403357</v>
      </c>
      <c r="CG17" s="60">
        <f>CE17*CF17/1000</f>
        <v>1725778.1726057744</v>
      </c>
      <c r="CH17" s="238">
        <v>589500</v>
      </c>
      <c r="CI17" s="242">
        <f>CI15</f>
        <v>1625.8657038877757</v>
      </c>
      <c r="CJ17" s="60">
        <f>CH17*CI17/1000</f>
        <v>958447.8324418437</v>
      </c>
      <c r="CK17" s="238">
        <v>538000</v>
      </c>
      <c r="CL17" s="242">
        <f>CL15</f>
        <v>1543.7663027289068</v>
      </c>
      <c r="CM17" s="60">
        <f>CK17*CL17/1000</f>
        <v>830546.27086815191</v>
      </c>
      <c r="CN17" s="238">
        <v>222000</v>
      </c>
      <c r="CO17" s="242">
        <f>CO15</f>
        <v>1494.8337139513671</v>
      </c>
      <c r="CP17" s="60">
        <f>CN17*CO17/1000</f>
        <v>331853.08449720353</v>
      </c>
      <c r="CQ17" s="238">
        <v>9000</v>
      </c>
      <c r="CR17" s="242">
        <f>CR15</f>
        <v>1472.9984164433044</v>
      </c>
      <c r="CS17" s="60">
        <f>CQ17*CR17/1000</f>
        <v>13256.98574798974</v>
      </c>
      <c r="CT17" s="238">
        <v>383500</v>
      </c>
      <c r="CU17" s="242">
        <f>CU15</f>
        <v>1462.6030469911245</v>
      </c>
      <c r="CV17" s="60">
        <f>CT17*CU17/1000</f>
        <v>560908.26852109621</v>
      </c>
      <c r="CW17" s="238">
        <v>462500</v>
      </c>
      <c r="CX17" s="242">
        <f>CX15</f>
        <v>1455.9078120776019</v>
      </c>
      <c r="CY17" s="60">
        <f>CW17*CX17/1000</f>
        <v>673357.36308589089</v>
      </c>
    </row>
    <row r="18" spans="1:103" x14ac:dyDescent="0.35">
      <c r="A18" s="24" t="s">
        <v>28</v>
      </c>
      <c r="B18" s="18">
        <v>1291123.464496155</v>
      </c>
      <c r="C18" s="73">
        <f>+(B15*C15+B16*C16)/(B15+B16)</f>
        <v>1723.2999953487351</v>
      </c>
      <c r="D18" s="60">
        <f>B18*C18/1000</f>
        <v>2224993.0603608666</v>
      </c>
      <c r="E18" s="18">
        <f>E15+E16-E17</f>
        <v>1296527.825396155</v>
      </c>
      <c r="F18" s="73">
        <f>+(E15*F15+E16*F16)/(E15+E16)</f>
        <v>1722.7728276782993</v>
      </c>
      <c r="G18" s="60">
        <f>E18*F18/1000</f>
        <v>2233622.9079213305</v>
      </c>
      <c r="H18" s="18">
        <f>H15+H16-H17</f>
        <v>1304447.823496155</v>
      </c>
      <c r="I18" s="73">
        <f>+(H15*I15+H16*I16)/(H15+H16)</f>
        <v>1642.5537942750093</v>
      </c>
      <c r="J18" s="60">
        <f>H18*I18/1000</f>
        <v>2142625.7219173871</v>
      </c>
      <c r="K18" s="23">
        <f>K15+K16-K17</f>
        <v>1110726.0866961549</v>
      </c>
      <c r="L18" s="73">
        <f>+(K15*L15+K16*L16)/(K15+K16)</f>
        <v>1581.6924368467605</v>
      </c>
      <c r="M18" s="60">
        <f>K18*L18/1000</f>
        <v>1756827.0507357076</v>
      </c>
      <c r="N18" s="23">
        <f>N15+N16-N17</f>
        <v>735021.0866961549</v>
      </c>
      <c r="O18" s="73">
        <f>+(N15*O15+N16*O16)/(N15+N16)</f>
        <v>1562.8206761922586</v>
      </c>
      <c r="P18" s="60">
        <f>N18*O18/1000</f>
        <v>1148706.1517260536</v>
      </c>
      <c r="Q18" s="23">
        <f>Q15+Q16-Q17</f>
        <v>394058.27469615487</v>
      </c>
      <c r="R18" s="73">
        <f>+(Q15*R15+Q16*R16)/(Q15+Q16)</f>
        <v>1549.7558363795388</v>
      </c>
      <c r="S18" s="60">
        <f>Q18*R18/1000</f>
        <v>610694.11108401755</v>
      </c>
      <c r="T18" s="23">
        <f>T15+T16-T17</f>
        <v>359692.50480755232</v>
      </c>
      <c r="U18" s="73">
        <f>+(T15*U15+T16*U16)/(T15+T16)</f>
        <v>1545.6359044159542</v>
      </c>
      <c r="V18" s="60">
        <f>T18*U18/1000</f>
        <v>555953.6499798611</v>
      </c>
      <c r="W18" s="23">
        <f>W15+W16-W17</f>
        <v>381131.74760755233</v>
      </c>
      <c r="X18" s="73">
        <f>+(W15*X15+W16*X16)/(W15+W16)</f>
        <v>1573.6105059856102</v>
      </c>
      <c r="Y18" s="60">
        <f>W18*X18/1000</f>
        <v>599752.92219990026</v>
      </c>
      <c r="Z18" s="23">
        <f>Z15+Z16-Z17</f>
        <v>440631.74760755233</v>
      </c>
      <c r="AA18" s="73">
        <f>+(Z15*AA15+Z16*AA16)/(Z15+Z16)</f>
        <v>1594.307074627691</v>
      </c>
      <c r="AB18" s="60">
        <f>Z18*AA18/1000</f>
        <v>702502.31251628383</v>
      </c>
      <c r="AC18" s="23">
        <f>AC15+AC16-AC17</f>
        <v>613381.74760755245</v>
      </c>
      <c r="AD18" s="73">
        <f>+(AC15*AD15+AC16*AD16)/(AC15+AC16)</f>
        <v>1621.1458132549046</v>
      </c>
      <c r="AE18" s="60">
        <f>AC18*AD18/1000</f>
        <v>994381.25206096028</v>
      </c>
      <c r="AF18" s="23">
        <f>AF15+AF16-AF17</f>
        <v>581860.14760755247</v>
      </c>
      <c r="AG18" s="73">
        <f>+(AF15*AG15+AF16*AG16)/(AF15+AF16)</f>
        <v>1639.4750560723701</v>
      </c>
      <c r="AH18" s="60">
        <f>AF18*AG18/1000</f>
        <v>953945.19812516961</v>
      </c>
      <c r="AI18" s="23">
        <f>AI15+AI16-AI17</f>
        <v>557485.03160755232</v>
      </c>
      <c r="AJ18" s="73">
        <f>+(AI15*AJ15+AI16*AJ16)/(AI15+AI16)</f>
        <v>1671.6016322929995</v>
      </c>
      <c r="AK18" s="60">
        <f>AI18*AJ18/1000</f>
        <v>931892.88881409878</v>
      </c>
      <c r="AL18" s="23">
        <f>AL15+AL16-AL17</f>
        <v>520859.91620755242</v>
      </c>
      <c r="AM18" s="73">
        <f>+(AL15*AM15+AL16*AM16)/(AL15+AL16)</f>
        <v>1710.4165831759826</v>
      </c>
      <c r="AN18" s="60">
        <f>AL18*AM18/1000</f>
        <v>890887.43819305033</v>
      </c>
      <c r="AO18" s="23">
        <f>AO15+AO16-AO17</f>
        <v>464234.80080755241</v>
      </c>
      <c r="AP18" s="73">
        <f>+(AO15*AP15+AO16*AP16)/(AO15+AO16)</f>
        <v>1744.2566738819216</v>
      </c>
      <c r="AQ18" s="60">
        <f>AO18*AP18/1000</f>
        <v>809744.64955681772</v>
      </c>
      <c r="AR18" s="23">
        <f>AR15+AR16-AR17</f>
        <v>428101.6520075514</v>
      </c>
      <c r="AS18" s="73">
        <f>+(AR15*AS15+AR16*AS16)/(AR15+AR16)</f>
        <v>1794.3205359445201</v>
      </c>
      <c r="AT18" s="60">
        <f>AR18*AS18/1000</f>
        <v>768151.58566892415</v>
      </c>
      <c r="AU18" s="23">
        <f>AU15+AU16-AU17</f>
        <v>344101.6520075514</v>
      </c>
      <c r="AV18" s="73">
        <f>+(AU15*AV15+AU16*AV16)/(AU15+AU16)</f>
        <v>1851.8239439031042</v>
      </c>
      <c r="AW18" s="60">
        <f>AU18*AV18/1000</f>
        <v>637215.67832419742</v>
      </c>
      <c r="AX18" s="23">
        <f>AX15+AX16-AX17</f>
        <v>651101.6520075514</v>
      </c>
      <c r="AY18" s="73">
        <f>+(AX15*AY15+AX16*AY16)/(AX15+AX16)</f>
        <v>1902.9419031428868</v>
      </c>
      <c r="AZ18" s="60">
        <f>AX18*AY18/1000</f>
        <v>1239008.6168107274</v>
      </c>
      <c r="BA18" s="23">
        <f>BA15+BA16-BA17</f>
        <v>1580861.6520075514</v>
      </c>
      <c r="BB18" s="73">
        <f>+(BA15*BB15+BA16*BB16)/(BA15+BA16)</f>
        <v>1908.9858260260823</v>
      </c>
      <c r="BC18" s="60">
        <f>BA18*BB18/1000</f>
        <v>3017842.4865905927</v>
      </c>
      <c r="BD18" s="23">
        <f>BD15+BD16-BD17</f>
        <v>1719757.6520075514</v>
      </c>
      <c r="BE18" s="73">
        <f>+(BD15*BE15+BD16*BE16)/(BD15+BD16)</f>
        <v>1909.0031000859935</v>
      </c>
      <c r="BF18" s="60">
        <f>BD18*BE18/1000</f>
        <v>3283022.6890790248</v>
      </c>
      <c r="BG18" s="23">
        <f>BG15+BG16-BG17</f>
        <v>1817757.6520075514</v>
      </c>
      <c r="BH18" s="73">
        <f>+(BG15*BH15+BG16*BH16)/(BG15+BG16)</f>
        <v>1873.8234478584488</v>
      </c>
      <c r="BI18" s="60">
        <f>BG18*BH18/1000</f>
        <v>3406156.9108558684</v>
      </c>
      <c r="BJ18" s="23">
        <f>BJ15+BJ16-BJ17</f>
        <v>1649961.7096075513</v>
      </c>
      <c r="BK18" s="73">
        <f>+(BJ15*BK15+BJ16*BK16)/(BJ15+BJ16)</f>
        <v>1861.6601783258241</v>
      </c>
      <c r="BL18" s="60">
        <f>BJ18*BK18/1000</f>
        <v>3071668.0105387755</v>
      </c>
      <c r="BM18" s="23">
        <f>BM15+BM16-BM17</f>
        <v>1370523.1980075513</v>
      </c>
      <c r="BN18" s="73">
        <f>+(BM15*BN15+BM16*BN16)/(BM15+BM16)</f>
        <v>1857.2149317904245</v>
      </c>
      <c r="BO18" s="60">
        <f>BM18*BN18/1000</f>
        <v>2545356.1477047885</v>
      </c>
      <c r="BP18" s="23">
        <f>BP15+BP16-BP17</f>
        <v>1250523.198007551</v>
      </c>
      <c r="BQ18" s="73">
        <f>+(BP15*BQ15+BP16*BQ16)/(BP15+BP16)</f>
        <v>1856.4224384720203</v>
      </c>
      <c r="BR18" s="60">
        <f>BP18*BQ18/1000</f>
        <v>2321499.3246110068</v>
      </c>
      <c r="BS18" s="23">
        <f>BS15+BS16-BS17</f>
        <v>1316523.198007551</v>
      </c>
      <c r="BT18" s="73">
        <f>+(BS15*BT15+BS16*BT16)/(BS15+BS16)</f>
        <v>1855.9972806971728</v>
      </c>
      <c r="BU18" s="60">
        <f>BS18*BT18/1000</f>
        <v>2443463.4754767604</v>
      </c>
      <c r="BV18" s="23">
        <f>BV15+BV16-BV17</f>
        <v>1050523.198007551</v>
      </c>
      <c r="BW18" s="73">
        <f>+(BV15*BW15+BV16*BW16)/(BV15+BV16)</f>
        <v>1838.4879735223631</v>
      </c>
      <c r="BX18" s="60">
        <f>BV18*BW18/1000</f>
        <v>1931374.2654431346</v>
      </c>
      <c r="BY18" s="23">
        <f>BY15+BY16-BY17</f>
        <v>1040523.198007551</v>
      </c>
      <c r="BZ18" s="73">
        <f>+(BY15*BZ15+BY16*BZ16)/(BY15+BY16)</f>
        <v>1824.4572737590888</v>
      </c>
      <c r="CA18" s="60">
        <f>BY18*BZ18/1000</f>
        <v>1898390.1171199451</v>
      </c>
      <c r="CB18" s="23">
        <f>CB15+CB16-CB17</f>
        <v>1178023.198007551</v>
      </c>
      <c r="CC18" s="73">
        <f>+(CB15*CC15+CB16*CC16)/(CB15+CB16)</f>
        <v>1732.7090086403357</v>
      </c>
      <c r="CD18" s="60">
        <f>CB18*CC18/1000</f>
        <v>2041171.4075749817</v>
      </c>
      <c r="CE18" s="23">
        <f>CE15+CE16-CE17</f>
        <v>1319023.198007551</v>
      </c>
      <c r="CF18" s="73">
        <f>+(CE15*CF15+CE16*CF16)/(CE15+CE16)</f>
        <v>1625.8657038877757</v>
      </c>
      <c r="CG18" s="60">
        <f>CE18*CF18/1000</f>
        <v>2144554.580272852</v>
      </c>
      <c r="CH18" s="23">
        <f>CH15+CH16-CH17</f>
        <v>1406523.198007551</v>
      </c>
      <c r="CI18" s="73">
        <f>+(CH15*CI15+CH16*CI16)/(CH15+CH16)</f>
        <v>1543.7663027289068</v>
      </c>
      <c r="CJ18" s="60">
        <f>CH18*CI18/1000</f>
        <v>2171343.1170905554</v>
      </c>
      <c r="CK18" s="23">
        <f>CK15+CK16-CK17</f>
        <v>1448523.198007551</v>
      </c>
      <c r="CL18" s="73">
        <f>+(CK15*CL15+CK16*CL16)/(CK15+CK16)</f>
        <v>1494.8337139513671</v>
      </c>
      <c r="CM18" s="60">
        <f>CK18*CL18/1000</f>
        <v>2165301.311822339</v>
      </c>
      <c r="CN18" s="23">
        <f>CN15+CN16-CN17</f>
        <v>1806523.198007551</v>
      </c>
      <c r="CO18" s="73">
        <f>+(CN15*CO15+CN16*CO16)/(CN15+CN16)</f>
        <v>1472.9984164433044</v>
      </c>
      <c r="CP18" s="60">
        <f>CN18*CO18/1000</f>
        <v>2661005.8099332168</v>
      </c>
      <c r="CQ18" s="23">
        <f>CQ15+CQ16-CQ17</f>
        <v>2377523.198007551</v>
      </c>
      <c r="CR18" s="73">
        <f>+(CQ15*CR15+CQ16*CR16)/(CQ15+CQ16)</f>
        <v>1462.6030469911245</v>
      </c>
      <c r="CS18" s="60">
        <f>CQ18*CR18/1000</f>
        <v>3477372.673697927</v>
      </c>
      <c r="CT18" s="23">
        <f>CT15+CT16-CT17</f>
        <v>2556623.198007551</v>
      </c>
      <c r="CU18" s="73">
        <f>+(CT15*CU15+CT16*CU16)/(CT15+CT16)</f>
        <v>1455.9078120776019</v>
      </c>
      <c r="CV18" s="60">
        <f>CT18*CU18/1000</f>
        <v>3722207.6865180149</v>
      </c>
      <c r="CW18" s="23">
        <f>CW15+CW16-CW17</f>
        <v>2598123.198007551</v>
      </c>
      <c r="CX18" s="73">
        <f>+(CW15*CX15+CW16*CX16)/(CW15+CW16)</f>
        <v>1447.69826090838</v>
      </c>
      <c r="CY18" s="60">
        <f>CW18*CX18/1000</f>
        <v>3761298.4353812505</v>
      </c>
    </row>
    <row r="19" spans="1:103" x14ac:dyDescent="0.35">
      <c r="AP19" s="145"/>
      <c r="AS19" s="145"/>
      <c r="AV19" s="145"/>
      <c r="AY19" s="145"/>
      <c r="BB19" s="145"/>
      <c r="BE19" s="145"/>
      <c r="BH19" s="145"/>
      <c r="BJ19" s="16"/>
      <c r="BM19" s="16"/>
    </row>
    <row r="20" spans="1:103" x14ac:dyDescent="0.35">
      <c r="AP20" s="145"/>
      <c r="AS20" s="145"/>
      <c r="AV20" s="145"/>
      <c r="AY20" s="145"/>
      <c r="AZ20" t="s">
        <v>304</v>
      </c>
      <c r="BB20" s="73">
        <v>1896.8797986439993</v>
      </c>
    </row>
    <row r="21" spans="1:103" x14ac:dyDescent="0.35">
      <c r="AZ21" t="s">
        <v>305</v>
      </c>
      <c r="BB21" s="18">
        <f>BB20-BB18</f>
        <v>-12.106027382083084</v>
      </c>
    </row>
    <row r="22" spans="1:103" x14ac:dyDescent="0.35">
      <c r="BJ22" s="23"/>
      <c r="CD22" s="266" t="s">
        <v>427</v>
      </c>
      <c r="CE22" s="265"/>
      <c r="CF22" s="268">
        <v>100</v>
      </c>
      <c r="CH22" s="265"/>
      <c r="CI22" s="268">
        <v>100</v>
      </c>
      <c r="CK22" s="265"/>
      <c r="CN22" s="265"/>
      <c r="CQ22" s="265"/>
      <c r="CR22" s="268">
        <v>100</v>
      </c>
      <c r="CT22" s="265"/>
      <c r="CU22" s="268">
        <v>100</v>
      </c>
      <c r="CW22" s="265"/>
      <c r="CX22" s="268">
        <v>100</v>
      </c>
    </row>
    <row r="23" spans="1:103" x14ac:dyDescent="0.35">
      <c r="BM23" s="18"/>
      <c r="CE23" s="6" t="s">
        <v>426</v>
      </c>
      <c r="CF23" s="267">
        <f>CF18+CF22</f>
        <v>1725.8657038877757</v>
      </c>
      <c r="CH23" s="6" t="s">
        <v>426</v>
      </c>
      <c r="CI23" s="267">
        <f>CI18+CI22</f>
        <v>1643.7663027289068</v>
      </c>
      <c r="CK23" s="6"/>
      <c r="CL23" s="267"/>
      <c r="CN23" s="6"/>
      <c r="CO23" s="267"/>
      <c r="CQ23" s="6" t="s">
        <v>426</v>
      </c>
      <c r="CR23" s="267">
        <f>CR18+CR22</f>
        <v>1562.6030469911245</v>
      </c>
      <c r="CT23" s="6" t="s">
        <v>426</v>
      </c>
      <c r="CU23" s="283">
        <f>+CU18+CU22</f>
        <v>1555.9078120776019</v>
      </c>
      <c r="CW23" s="6" t="s">
        <v>426</v>
      </c>
      <c r="CX23" s="283">
        <f>+CX18+CX22</f>
        <v>1547.69826090838</v>
      </c>
    </row>
    <row r="24" spans="1:103" x14ac:dyDescent="0.35">
      <c r="BQ24" s="16"/>
      <c r="BT24" s="16"/>
      <c r="BW24" s="16"/>
      <c r="BZ24" s="16"/>
      <c r="CC24" s="16"/>
      <c r="CF24" s="16"/>
    </row>
    <row r="25" spans="1:103" x14ac:dyDescent="0.35">
      <c r="CF25" s="151"/>
      <c r="CI25" s="151"/>
    </row>
    <row r="30" spans="1:103" x14ac:dyDescent="0.35">
      <c r="CF30" s="271"/>
      <c r="CG30" s="271"/>
    </row>
    <row r="31" spans="1:103" x14ac:dyDescent="0.35">
      <c r="CF31" s="74"/>
      <c r="CG31" s="16"/>
      <c r="CH31" s="74"/>
      <c r="CK31" s="74"/>
      <c r="CN31" s="74"/>
    </row>
    <row r="32" spans="1:103" x14ac:dyDescent="0.35">
      <c r="CF32" s="18"/>
      <c r="CG32" s="18"/>
      <c r="CH32" s="18"/>
      <c r="CI32" s="74"/>
      <c r="CK32" s="18"/>
      <c r="CL32" s="74"/>
      <c r="CN32" s="18"/>
      <c r="CO32" s="74"/>
    </row>
    <row r="33" spans="84:93" x14ac:dyDescent="0.35">
      <c r="CF33" s="74"/>
      <c r="CG33" s="74"/>
      <c r="CH33" s="74"/>
      <c r="CI33" s="74"/>
      <c r="CK33" s="74"/>
      <c r="CL33" s="74"/>
      <c r="CN33" s="74"/>
      <c r="CO33" s="74"/>
    </row>
  </sheetData>
  <mergeCells count="68">
    <mergeCell ref="AL13:AN13"/>
    <mergeCell ref="AX3:AZ3"/>
    <mergeCell ref="AX13:AZ13"/>
    <mergeCell ref="BY13:CA13"/>
    <mergeCell ref="AR3:AT3"/>
    <mergeCell ref="AO3:AQ3"/>
    <mergeCell ref="AO13:AQ13"/>
    <mergeCell ref="BA3:BC3"/>
    <mergeCell ref="BA13:BC13"/>
    <mergeCell ref="BD3:BF3"/>
    <mergeCell ref="BD13:BF13"/>
    <mergeCell ref="AR13:AT13"/>
    <mergeCell ref="AU3:AW3"/>
    <mergeCell ref="AU13:AW13"/>
    <mergeCell ref="AF3:AH3"/>
    <mergeCell ref="AF13:AH13"/>
    <mergeCell ref="CW3:CY3"/>
    <mergeCell ref="CW13:CY13"/>
    <mergeCell ref="CT3:CV3"/>
    <mergeCell ref="CT13:CV13"/>
    <mergeCell ref="CQ13:CS13"/>
    <mergeCell ref="CQ3:CS3"/>
    <mergeCell ref="CN3:CP3"/>
    <mergeCell ref="AI3:AK3"/>
    <mergeCell ref="AI13:AK13"/>
    <mergeCell ref="CN13:CP13"/>
    <mergeCell ref="CK13:CM13"/>
    <mergeCell ref="AL3:AN3"/>
    <mergeCell ref="BG3:BI3"/>
    <mergeCell ref="BG13:BI13"/>
    <mergeCell ref="T3:V3"/>
    <mergeCell ref="T13:V13"/>
    <mergeCell ref="Z3:AB3"/>
    <mergeCell ref="Z13:AB13"/>
    <mergeCell ref="AC3:AE3"/>
    <mergeCell ref="AC13:AE13"/>
    <mergeCell ref="W3:Y3"/>
    <mergeCell ref="W13:Y13"/>
    <mergeCell ref="Q13:S13"/>
    <mergeCell ref="A3:A4"/>
    <mergeCell ref="A13:A14"/>
    <mergeCell ref="H3:J3"/>
    <mergeCell ref="H13:J13"/>
    <mergeCell ref="E3:G3"/>
    <mergeCell ref="E13:G13"/>
    <mergeCell ref="B3:D3"/>
    <mergeCell ref="B13:D13"/>
    <mergeCell ref="K3:M3"/>
    <mergeCell ref="K13:M13"/>
    <mergeCell ref="N3:P3"/>
    <mergeCell ref="N13:P13"/>
    <mergeCell ref="Q3:S3"/>
    <mergeCell ref="CH13:CJ13"/>
    <mergeCell ref="CE3:CG3"/>
    <mergeCell ref="CE13:CG13"/>
    <mergeCell ref="BJ3:BL3"/>
    <mergeCell ref="BJ13:BL13"/>
    <mergeCell ref="BM13:BO13"/>
    <mergeCell ref="BM3:BO3"/>
    <mergeCell ref="BS3:BU3"/>
    <mergeCell ref="BS13:BU13"/>
    <mergeCell ref="BP3:BR3"/>
    <mergeCell ref="BP13:BR13"/>
    <mergeCell ref="BV3:BX3"/>
    <mergeCell ref="BV13:BX13"/>
    <mergeCell ref="CB3:CD3"/>
    <mergeCell ref="CB13:CD13"/>
    <mergeCell ref="BY3:CA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4AD13-1D9F-4570-9B70-FDCBF41D0A3A}">
  <dimension ref="A2:EH54"/>
  <sheetViews>
    <sheetView showGridLines="0" zoomScaleNormal="100" workbookViewId="0">
      <pane xSplit="80" ySplit="3" topLeftCell="DU4" activePane="bottomRight" state="frozen"/>
      <selection pane="topRight" activeCell="CC1" sqref="CC1"/>
      <selection pane="bottomLeft" activeCell="A4" sqref="A4"/>
      <selection pane="bottomRight" activeCell="DU55" sqref="DU55"/>
    </sheetView>
  </sheetViews>
  <sheetFormatPr defaultColWidth="11.54296875" defaultRowHeight="12" outlineLevelRow="1" outlineLevelCol="1" x14ac:dyDescent="0.35"/>
  <cols>
    <col min="1" max="1" width="8.54296875" style="154" bestFit="1" customWidth="1"/>
    <col min="2" max="2" width="30.36328125" style="154" customWidth="1"/>
    <col min="3" max="3" width="9.1796875" style="154" hidden="1" customWidth="1" outlineLevel="1"/>
    <col min="4" max="4" width="9" style="154" hidden="1" customWidth="1" collapsed="1"/>
    <col min="5" max="5" width="9.81640625" style="154" hidden="1" customWidth="1" outlineLevel="1"/>
    <col min="6" max="6" width="9" style="154" hidden="1" customWidth="1" collapsed="1"/>
    <col min="7" max="7" width="9.1796875" style="154" hidden="1" customWidth="1" outlineLevel="1"/>
    <col min="8" max="8" width="9" style="154" hidden="1" customWidth="1" collapsed="1"/>
    <col min="9" max="9" width="9.1796875" style="154" hidden="1" customWidth="1" outlineLevel="1"/>
    <col min="10" max="10" width="9" style="154" hidden="1" customWidth="1" collapsed="1"/>
    <col min="11" max="11" width="9.1796875" style="154" hidden="1" customWidth="1" outlineLevel="1"/>
    <col min="12" max="12" width="9" style="154" hidden="1" customWidth="1" collapsed="1"/>
    <col min="13" max="13" width="8.81640625" style="154" hidden="1" customWidth="1" outlineLevel="1"/>
    <col min="14" max="14" width="11.54296875" style="154" hidden="1" customWidth="1" collapsed="1"/>
    <col min="15" max="15" width="11.54296875" style="154" hidden="1" customWidth="1" outlineLevel="1"/>
    <col min="16" max="16" width="11.54296875" style="154" hidden="1" customWidth="1" collapsed="1"/>
    <col min="17" max="17" width="11.54296875" style="154" hidden="1" customWidth="1" outlineLevel="1"/>
    <col min="18" max="18" width="11.54296875" style="154" hidden="1" customWidth="1" collapsed="1"/>
    <col min="19" max="19" width="11.54296875" style="154" hidden="1" customWidth="1" outlineLevel="1"/>
    <col min="20" max="20" width="11.54296875" style="154" hidden="1" customWidth="1" collapsed="1"/>
    <col min="21" max="21" width="11.54296875" style="154" hidden="1" customWidth="1" outlineLevel="1"/>
    <col min="22" max="22" width="11.54296875" style="154" hidden="1" customWidth="1" collapsed="1"/>
    <col min="23" max="23" width="11.54296875" style="154" hidden="1" customWidth="1" outlineLevel="1"/>
    <col min="24" max="24" width="11.54296875" style="154" hidden="1" customWidth="1" collapsed="1"/>
    <col min="25" max="25" width="11.54296875" style="154" hidden="1" customWidth="1" outlineLevel="1"/>
    <col min="26" max="26" width="11.54296875" style="154" hidden="1" customWidth="1" collapsed="1"/>
    <col min="27" max="27" width="11.54296875" style="154" hidden="1" customWidth="1" outlineLevel="1"/>
    <col min="28" max="28" width="11.54296875" style="154" hidden="1" customWidth="1" collapsed="1"/>
    <col min="29" max="29" width="11.54296875" style="154" hidden="1" customWidth="1" outlineLevel="1"/>
    <col min="30" max="30" width="11.54296875" style="154" hidden="1" customWidth="1" collapsed="1"/>
    <col min="31" max="31" width="11.54296875" style="154" hidden="1" customWidth="1" outlineLevel="1"/>
    <col min="32" max="32" width="11.54296875" style="154" hidden="1" customWidth="1" collapsed="1"/>
    <col min="33" max="33" width="11.54296875" style="154" hidden="1" customWidth="1" outlineLevel="1"/>
    <col min="34" max="34" width="11.54296875" style="154" hidden="1" customWidth="1" collapsed="1"/>
    <col min="35" max="35" width="11.54296875" style="154" hidden="1" customWidth="1" outlineLevel="1"/>
    <col min="36" max="36" width="11.54296875" style="154" hidden="1" customWidth="1" collapsed="1"/>
    <col min="37" max="37" width="11.54296875" style="154" hidden="1" customWidth="1" outlineLevel="1"/>
    <col min="38" max="38" width="11.54296875" style="154" hidden="1" customWidth="1" collapsed="1"/>
    <col min="39" max="40" width="11.54296875" style="154" hidden="1" customWidth="1"/>
    <col min="41" max="41" width="9.81640625" style="154" hidden="1" customWidth="1"/>
    <col min="42" max="42" width="9" style="154" hidden="1" customWidth="1"/>
    <col min="43" max="43" width="10.36328125" style="154" hidden="1" customWidth="1"/>
    <col min="44" max="44" width="9" style="154" hidden="1" customWidth="1"/>
    <col min="45" max="45" width="9.6328125" style="154" hidden="1" customWidth="1"/>
    <col min="46" max="70" width="9" style="154" hidden="1" customWidth="1"/>
    <col min="71" max="71" width="10.1796875" style="154" hidden="1" customWidth="1"/>
    <col min="72" max="72" width="9" style="154" hidden="1" customWidth="1"/>
    <col min="73" max="73" width="10.1796875" style="154" hidden="1" customWidth="1"/>
    <col min="74" max="74" width="9" style="154" hidden="1" customWidth="1"/>
    <col min="75" max="75" width="11.81640625" style="154" hidden="1" customWidth="1"/>
    <col min="76" max="76" width="9" style="154" hidden="1" customWidth="1"/>
    <col min="77" max="80" width="0" style="154" hidden="1" customWidth="1"/>
    <col min="81" max="85" width="11.54296875" style="154"/>
    <col min="86" max="86" width="17.1796875" style="154" bestFit="1" customWidth="1"/>
    <col min="87" max="87" width="13.08984375" style="188" customWidth="1"/>
    <col min="88" max="88" width="11.54296875" style="154"/>
    <col min="89" max="89" width="16.453125" style="154" bestFit="1" customWidth="1"/>
    <col min="90" max="90" width="17.1796875" style="154" bestFit="1" customWidth="1"/>
    <col min="91" max="92" width="11.54296875" style="154"/>
    <col min="93" max="93" width="16.453125" style="154" bestFit="1" customWidth="1"/>
    <col min="94" max="94" width="17.1796875" style="154" bestFit="1" customWidth="1"/>
    <col min="95" max="96" width="11.54296875" style="154"/>
    <col min="97" max="97" width="16.453125" style="154" bestFit="1" customWidth="1"/>
    <col min="98" max="98" width="17.1796875" style="154" bestFit="1" customWidth="1"/>
    <col min="99" max="100" width="11.54296875" style="154"/>
    <col min="101" max="101" width="16.453125" style="154" bestFit="1" customWidth="1"/>
    <col min="102" max="102" width="17.1796875" style="154" bestFit="1" customWidth="1"/>
    <col min="103" max="104" width="11.54296875" style="154"/>
    <col min="105" max="105" width="16.453125" style="154" bestFit="1" customWidth="1"/>
    <col min="106" max="106" width="17.1796875" style="154" bestFit="1" customWidth="1"/>
    <col min="107" max="108" width="11.54296875" style="154"/>
    <col min="109" max="109" width="16.453125" style="154" bestFit="1" customWidth="1"/>
    <col min="110" max="110" width="17.1796875" style="154" bestFit="1" customWidth="1"/>
    <col min="111" max="137" width="11.54296875" style="154"/>
    <col min="138" max="138" width="13.6328125" style="154" bestFit="1" customWidth="1"/>
    <col min="139" max="16384" width="11.54296875" style="154"/>
  </cols>
  <sheetData>
    <row r="2" spans="2:138" ht="12.5" thickBot="1" x14ac:dyDescent="0.4">
      <c r="B2" s="154">
        <f>22.0462*100</f>
        <v>2204.62</v>
      </c>
      <c r="F2" s="163"/>
      <c r="CG2" s="154" t="s">
        <v>186</v>
      </c>
      <c r="CK2" s="154" t="s">
        <v>150</v>
      </c>
      <c r="CO2" s="154" t="s">
        <v>378</v>
      </c>
      <c r="CS2" s="154" t="s">
        <v>380</v>
      </c>
      <c r="CW2" s="154" t="s">
        <v>402</v>
      </c>
      <c r="DA2" s="154" t="s">
        <v>420</v>
      </c>
      <c r="DE2" s="154" t="s">
        <v>421</v>
      </c>
      <c r="DI2" s="154" t="s">
        <v>431</v>
      </c>
      <c r="DM2" s="154" t="s">
        <v>432</v>
      </c>
      <c r="DQ2" s="154" t="s">
        <v>298</v>
      </c>
      <c r="DU2" s="154" t="s">
        <v>308</v>
      </c>
      <c r="DY2" s="154" t="s">
        <v>454</v>
      </c>
      <c r="EC2" s="154" t="s">
        <v>501</v>
      </c>
    </row>
    <row r="3" spans="2:138" s="166" customFormat="1" x14ac:dyDescent="0.3">
      <c r="B3" s="331" t="s">
        <v>455</v>
      </c>
      <c r="C3" s="332"/>
      <c r="D3" s="332"/>
      <c r="E3" s="332"/>
      <c r="F3" s="332"/>
      <c r="G3" s="333"/>
      <c r="H3" s="173" t="s">
        <v>145</v>
      </c>
      <c r="I3" s="173" t="s">
        <v>146</v>
      </c>
      <c r="J3" s="173" t="s">
        <v>147</v>
      </c>
      <c r="K3" s="173" t="s">
        <v>148</v>
      </c>
      <c r="L3" s="173" t="s">
        <v>149</v>
      </c>
      <c r="M3" s="173" t="s">
        <v>158</v>
      </c>
      <c r="N3" s="173" t="s">
        <v>150</v>
      </c>
      <c r="O3" s="173" t="s">
        <v>165</v>
      </c>
      <c r="P3" s="173" t="s">
        <v>164</v>
      </c>
      <c r="Q3" s="173" t="s">
        <v>166</v>
      </c>
      <c r="R3" s="173" t="s">
        <v>167</v>
      </c>
      <c r="S3" s="173" t="s">
        <v>168</v>
      </c>
      <c r="T3" s="173" t="s">
        <v>169</v>
      </c>
      <c r="U3" s="173" t="s">
        <v>170</v>
      </c>
      <c r="V3" s="173" t="s">
        <v>171</v>
      </c>
      <c r="W3" s="173" t="s">
        <v>172</v>
      </c>
      <c r="X3" s="173" t="s">
        <v>173</v>
      </c>
      <c r="Y3" s="173" t="s">
        <v>178</v>
      </c>
      <c r="Z3" s="173" t="s">
        <v>179</v>
      </c>
      <c r="AA3" s="173" t="s">
        <v>180</v>
      </c>
      <c r="AB3" s="173" t="s">
        <v>181</v>
      </c>
      <c r="AC3" s="173" t="s">
        <v>182</v>
      </c>
      <c r="AD3" s="173" t="s">
        <v>144</v>
      </c>
      <c r="AE3" s="173" t="s">
        <v>183</v>
      </c>
      <c r="AF3" s="173" t="s">
        <v>145</v>
      </c>
      <c r="AG3" s="173" t="s">
        <v>184</v>
      </c>
      <c r="AH3" s="173" t="s">
        <v>147</v>
      </c>
      <c r="AI3" s="173" t="s">
        <v>184</v>
      </c>
      <c r="AJ3" s="173" t="s">
        <v>147</v>
      </c>
      <c r="AK3" s="173" t="s">
        <v>185</v>
      </c>
      <c r="AL3" s="173" t="s">
        <v>186</v>
      </c>
      <c r="AM3" s="173" t="s">
        <v>187</v>
      </c>
      <c r="AN3" s="173" t="s">
        <v>150</v>
      </c>
      <c r="AO3" s="173" t="s">
        <v>191</v>
      </c>
      <c r="AP3" s="173" t="s">
        <v>164</v>
      </c>
      <c r="AQ3" s="173" t="s">
        <v>193</v>
      </c>
      <c r="AR3" s="173" t="s">
        <v>167</v>
      </c>
      <c r="AS3" s="173" t="s">
        <v>200</v>
      </c>
      <c r="AT3" s="173" t="s">
        <v>169</v>
      </c>
      <c r="AU3" s="173" t="s">
        <v>201</v>
      </c>
      <c r="AV3" s="173" t="s">
        <v>171</v>
      </c>
      <c r="AW3" s="173" t="s">
        <v>203</v>
      </c>
      <c r="AX3" s="173" t="s">
        <v>173</v>
      </c>
      <c r="AY3" s="173" t="s">
        <v>205</v>
      </c>
      <c r="AZ3" s="173" t="s">
        <v>179</v>
      </c>
      <c r="BA3" s="173" t="s">
        <v>214</v>
      </c>
      <c r="BB3" s="173" t="s">
        <v>215</v>
      </c>
      <c r="BC3" s="173" t="s">
        <v>216</v>
      </c>
      <c r="BD3" s="173" t="s">
        <v>145</v>
      </c>
      <c r="BE3" s="173" t="s">
        <v>223</v>
      </c>
      <c r="BF3" s="173" t="s">
        <v>147</v>
      </c>
      <c r="BG3" s="173" t="s">
        <v>231</v>
      </c>
      <c r="BH3" s="173" t="s">
        <v>149</v>
      </c>
      <c r="BI3" s="173" t="s">
        <v>232</v>
      </c>
      <c r="BJ3" s="173" t="s">
        <v>150</v>
      </c>
      <c r="BK3" s="173" t="s">
        <v>245</v>
      </c>
      <c r="BL3" s="173" t="s">
        <v>164</v>
      </c>
      <c r="BM3" s="173" t="s">
        <v>246</v>
      </c>
      <c r="BN3" s="173" t="s">
        <v>167</v>
      </c>
      <c r="BO3" s="173" t="s">
        <v>247</v>
      </c>
      <c r="BP3" s="173" t="s">
        <v>169</v>
      </c>
      <c r="BQ3" s="173" t="s">
        <v>264</v>
      </c>
      <c r="BR3" s="173" t="s">
        <v>265</v>
      </c>
      <c r="BS3" s="173" t="s">
        <v>273</v>
      </c>
      <c r="BT3" s="173" t="s">
        <v>173</v>
      </c>
      <c r="BU3" s="173" t="s">
        <v>274</v>
      </c>
      <c r="BV3" s="173" t="s">
        <v>275</v>
      </c>
      <c r="BW3" s="173" t="s">
        <v>296</v>
      </c>
      <c r="BX3" s="173" t="s">
        <v>297</v>
      </c>
      <c r="BY3" s="173" t="s">
        <v>298</v>
      </c>
      <c r="BZ3" s="173" t="s">
        <v>299</v>
      </c>
      <c r="CA3" s="173" t="s">
        <v>308</v>
      </c>
      <c r="CB3" s="173" t="s">
        <v>309</v>
      </c>
      <c r="CC3" s="173" t="s">
        <v>326</v>
      </c>
      <c r="CD3" s="173" t="s">
        <v>327</v>
      </c>
      <c r="CE3" s="173" t="s">
        <v>330</v>
      </c>
      <c r="CF3" s="173" t="s">
        <v>331</v>
      </c>
      <c r="CG3" s="168" t="s">
        <v>335</v>
      </c>
      <c r="CH3" s="169" t="s">
        <v>336</v>
      </c>
      <c r="CI3" s="199" t="s">
        <v>356</v>
      </c>
      <c r="CJ3" s="170" t="s">
        <v>354</v>
      </c>
      <c r="CK3" s="168" t="s">
        <v>372</v>
      </c>
      <c r="CL3" s="169" t="s">
        <v>373</v>
      </c>
      <c r="CM3" s="199" t="s">
        <v>356</v>
      </c>
      <c r="CN3" s="170" t="s">
        <v>354</v>
      </c>
      <c r="CO3" s="168" t="s">
        <v>376</v>
      </c>
      <c r="CP3" s="169" t="s">
        <v>377</v>
      </c>
      <c r="CQ3" s="199" t="s">
        <v>356</v>
      </c>
      <c r="CR3" s="170" t="s">
        <v>354</v>
      </c>
      <c r="CS3" s="168" t="s">
        <v>381</v>
      </c>
      <c r="CT3" s="169" t="s">
        <v>388</v>
      </c>
      <c r="CU3" s="199" t="s">
        <v>356</v>
      </c>
      <c r="CV3" s="170" t="s">
        <v>354</v>
      </c>
      <c r="CW3" s="168" t="s">
        <v>403</v>
      </c>
      <c r="CX3" s="169" t="s">
        <v>398</v>
      </c>
      <c r="CY3" s="199" t="s">
        <v>356</v>
      </c>
      <c r="CZ3" s="170" t="s">
        <v>354</v>
      </c>
      <c r="DA3" s="168" t="s">
        <v>421</v>
      </c>
      <c r="DB3" s="169" t="s">
        <v>399</v>
      </c>
      <c r="DC3" s="199" t="s">
        <v>356</v>
      </c>
      <c r="DD3" s="170" t="s">
        <v>354</v>
      </c>
      <c r="DE3" s="168" t="s">
        <v>422</v>
      </c>
      <c r="DF3" s="169" t="s">
        <v>423</v>
      </c>
      <c r="DG3" s="199" t="s">
        <v>356</v>
      </c>
      <c r="DH3" s="170" t="s">
        <v>354</v>
      </c>
      <c r="DI3" s="168" t="s">
        <v>432</v>
      </c>
      <c r="DJ3" s="169" t="s">
        <v>447</v>
      </c>
      <c r="DK3" s="199" t="s">
        <v>356</v>
      </c>
      <c r="DL3" s="170" t="s">
        <v>354</v>
      </c>
      <c r="DM3" s="168" t="s">
        <v>298</v>
      </c>
      <c r="DN3" s="169" t="s">
        <v>451</v>
      </c>
      <c r="DO3" s="199" t="s">
        <v>356</v>
      </c>
      <c r="DP3" s="170" t="s">
        <v>354</v>
      </c>
      <c r="DQ3" s="168" t="s">
        <v>452</v>
      </c>
      <c r="DR3" s="169" t="s">
        <v>453</v>
      </c>
      <c r="DS3" s="199" t="s">
        <v>356</v>
      </c>
      <c r="DT3" s="170" t="s">
        <v>354</v>
      </c>
      <c r="DU3" s="168" t="s">
        <v>454</v>
      </c>
      <c r="DV3" s="169" t="s">
        <v>327</v>
      </c>
      <c r="DW3" s="199" t="s">
        <v>356</v>
      </c>
      <c r="DX3" s="170" t="s">
        <v>354</v>
      </c>
      <c r="DY3" s="168" t="s">
        <v>330</v>
      </c>
      <c r="DZ3" s="169" t="s">
        <v>331</v>
      </c>
      <c r="EA3" s="199" t="s">
        <v>356</v>
      </c>
      <c r="EB3" s="170" t="s">
        <v>354</v>
      </c>
      <c r="EC3" s="168" t="s">
        <v>502</v>
      </c>
      <c r="ED3" s="169" t="s">
        <v>336</v>
      </c>
      <c r="EE3" s="199" t="s">
        <v>356</v>
      </c>
      <c r="EF3" s="170" t="s">
        <v>354</v>
      </c>
    </row>
    <row r="4" spans="2:138" x14ac:dyDescent="0.35">
      <c r="B4" s="174" t="s">
        <v>340</v>
      </c>
      <c r="C4" s="175">
        <v>0.36</v>
      </c>
      <c r="D4" s="176">
        <f>+C4*$B$2</f>
        <v>793.66319999999996</v>
      </c>
      <c r="E4" s="175">
        <v>0.375</v>
      </c>
      <c r="F4" s="176">
        <f>+E4*$B$2</f>
        <v>826.73249999999996</v>
      </c>
      <c r="G4" s="175">
        <v>0.375</v>
      </c>
      <c r="H4" s="176">
        <f>+G4*$B$2</f>
        <v>826.73249999999996</v>
      </c>
      <c r="I4" s="175">
        <v>0.375</v>
      </c>
      <c r="J4" s="176">
        <f>+I4*$B$2</f>
        <v>826.73249999999996</v>
      </c>
      <c r="K4" s="175">
        <v>0.39</v>
      </c>
      <c r="L4" s="176">
        <f>+K4*$B$2</f>
        <v>859.80179999999996</v>
      </c>
      <c r="M4" s="175">
        <v>0.435</v>
      </c>
      <c r="N4" s="154">
        <f>M4*$B$2</f>
        <v>959.00969999999995</v>
      </c>
      <c r="O4" s="154">
        <v>0.5</v>
      </c>
      <c r="P4" s="154">
        <f>O4*$B$2</f>
        <v>1102.31</v>
      </c>
      <c r="Q4" s="154">
        <v>0.54</v>
      </c>
      <c r="R4" s="154">
        <f>Q4*$B$2</f>
        <v>1190.4947999999999</v>
      </c>
      <c r="S4" s="154">
        <v>0.54</v>
      </c>
      <c r="T4" s="154">
        <f>S4*$B$2</f>
        <v>1190.4947999999999</v>
      </c>
      <c r="U4" s="154">
        <v>0.54</v>
      </c>
      <c r="V4" s="154">
        <f>U4*$B$2</f>
        <v>1190.4947999999999</v>
      </c>
      <c r="W4" s="154">
        <v>0.5</v>
      </c>
      <c r="X4" s="154">
        <f>W4*$B$2</f>
        <v>1102.31</v>
      </c>
      <c r="Y4" s="154">
        <v>0.4</v>
      </c>
      <c r="Z4" s="154">
        <f>Y4*$B$2</f>
        <v>881.84799999999996</v>
      </c>
      <c r="AA4" s="154">
        <v>0.3</v>
      </c>
      <c r="AB4" s="154">
        <f>AA4*$B$2</f>
        <v>661.38599999999997</v>
      </c>
      <c r="AC4" s="154">
        <v>0.27</v>
      </c>
      <c r="AD4" s="154">
        <f>AC4*$B$2</f>
        <v>595.24739999999997</v>
      </c>
      <c r="AE4" s="154">
        <v>0.27</v>
      </c>
      <c r="AF4" s="154">
        <f>AE4*$B$2</f>
        <v>595.24739999999997</v>
      </c>
      <c r="AG4" s="154">
        <v>0.1731</v>
      </c>
      <c r="AH4" s="154">
        <f>AG4*$B$2</f>
        <v>381.61972199999997</v>
      </c>
      <c r="AI4" s="154">
        <v>0.18940000000000001</v>
      </c>
      <c r="AJ4" s="154">
        <f>AI4*$B$2</f>
        <v>417.55502799999999</v>
      </c>
      <c r="AK4" s="154">
        <v>0.2069</v>
      </c>
      <c r="AL4" s="154">
        <f>AK4*$B$2</f>
        <v>456.13587799999999</v>
      </c>
      <c r="AM4" s="154">
        <v>0.22059999999999999</v>
      </c>
      <c r="AN4" s="154">
        <f>AM4*$B$2</f>
        <v>486.33917199999996</v>
      </c>
      <c r="AO4" s="154">
        <v>0.2225</v>
      </c>
      <c r="AP4" s="154">
        <f>AO4*$B$2</f>
        <v>490.52794999999998</v>
      </c>
      <c r="AQ4" s="154">
        <v>0.2225</v>
      </c>
      <c r="AR4" s="154">
        <f>AQ4*$B$2</f>
        <v>490.52794999999998</v>
      </c>
      <c r="AS4" s="154">
        <v>0.2135</v>
      </c>
      <c r="AT4" s="154">
        <f>AS4*$B$2</f>
        <v>470.68636999999995</v>
      </c>
      <c r="AU4" s="154">
        <v>0.14560000000000001</v>
      </c>
      <c r="AV4" s="154">
        <v>320.99267200000003</v>
      </c>
      <c r="AW4" s="154">
        <v>0.13250000000000001</v>
      </c>
      <c r="AX4" s="154">
        <f>AW4*$B$2</f>
        <v>292.11214999999999</v>
      </c>
      <c r="AY4" s="154">
        <v>0.13400000000000001</v>
      </c>
      <c r="AZ4" s="154">
        <f>AY4*$B$2</f>
        <v>295.41908000000001</v>
      </c>
      <c r="BA4" s="154">
        <v>0.1532</v>
      </c>
      <c r="BB4" s="154">
        <f>BA4*$B$2</f>
        <v>337.74778399999997</v>
      </c>
      <c r="BC4" s="154">
        <v>0.16500000000000001</v>
      </c>
      <c r="BD4" s="154">
        <f>BC4*$B$2</f>
        <v>363.76229999999998</v>
      </c>
      <c r="BE4" s="154">
        <v>0.17879999999999999</v>
      </c>
      <c r="BF4" s="154">
        <f>BE4*$B$2</f>
        <v>394.18605599999995</v>
      </c>
      <c r="BG4" s="154">
        <v>0.18379999999999999</v>
      </c>
      <c r="BH4" s="154">
        <f>BG4*$B$2</f>
        <v>405.20915599999995</v>
      </c>
      <c r="BI4" s="154">
        <v>0.1913</v>
      </c>
      <c r="BJ4" s="154">
        <f>BI4*$B$2</f>
        <v>421.74380599999995</v>
      </c>
      <c r="BK4" s="154">
        <v>0.19750000000000001</v>
      </c>
      <c r="BL4" s="154">
        <f>BK4*$B$2</f>
        <v>435.41244999999998</v>
      </c>
      <c r="BM4" s="154">
        <v>0.2094</v>
      </c>
      <c r="BN4" s="154">
        <f>BM4*$B$2</f>
        <v>461.64742799999999</v>
      </c>
      <c r="BO4" s="154">
        <v>0.22189999999999999</v>
      </c>
      <c r="BP4" s="154">
        <f>BO4*$B$2</f>
        <v>489.20517799999993</v>
      </c>
      <c r="BQ4" s="154">
        <v>0.23</v>
      </c>
      <c r="BR4" s="154">
        <f>BQ4*$B$2</f>
        <v>507.06259999999997</v>
      </c>
      <c r="BS4" s="154">
        <v>0.24560000000000001</v>
      </c>
      <c r="BT4" s="154">
        <f>BS4*$B$2</f>
        <v>541.45467199999996</v>
      </c>
      <c r="BU4" s="154">
        <v>0.26</v>
      </c>
      <c r="BV4" s="154">
        <f>BU4*$B$2</f>
        <v>573.20119999999997</v>
      </c>
      <c r="BW4" s="154">
        <v>0.26500000000000001</v>
      </c>
      <c r="BX4" s="154">
        <f>BW4*$B$2</f>
        <v>584.22429999999997</v>
      </c>
      <c r="BY4" s="154">
        <v>0.26250000000000001</v>
      </c>
      <c r="BZ4" s="154">
        <f>BY4*$B$2</f>
        <v>578.71275000000003</v>
      </c>
      <c r="CA4" s="154">
        <v>0.25750000000000001</v>
      </c>
      <c r="CB4" s="154">
        <f>CA4*$B$2</f>
        <v>567.68965000000003</v>
      </c>
      <c r="CC4" s="177">
        <v>0.23</v>
      </c>
      <c r="CD4" s="154">
        <f>CC4*$B$2</f>
        <v>507.06259999999997</v>
      </c>
      <c r="CE4" s="177">
        <v>0.23699999999999999</v>
      </c>
      <c r="CF4" s="154">
        <f>CE4*$B$2</f>
        <v>522.49493999999993</v>
      </c>
      <c r="CG4" s="210">
        <v>0.245</v>
      </c>
      <c r="CH4" s="160">
        <f>CG4*$B$2</f>
        <v>540.13189999999997</v>
      </c>
      <c r="CI4" s="211"/>
      <c r="CJ4" s="164"/>
      <c r="CK4" s="210">
        <v>0.2475</v>
      </c>
      <c r="CL4" s="160">
        <f>CK4*$B$2</f>
        <v>545.64344999999992</v>
      </c>
      <c r="CM4" s="211"/>
      <c r="CN4" s="164"/>
      <c r="CO4" s="210">
        <v>0.24629999999999999</v>
      </c>
      <c r="CP4" s="160">
        <f>CO4*$B$2</f>
        <v>542.99790599999994</v>
      </c>
      <c r="CQ4" s="211"/>
      <c r="CR4" s="164"/>
      <c r="CS4" s="241">
        <v>0.24</v>
      </c>
      <c r="CT4" s="160">
        <f>CS4*$B$2</f>
        <v>529.10879999999997</v>
      </c>
      <c r="CU4" s="211"/>
      <c r="CV4" s="164"/>
      <c r="CW4" s="241">
        <v>0.22670000000000001</v>
      </c>
      <c r="CX4" s="160">
        <f>CW4*$B$2</f>
        <v>499.78735399999999</v>
      </c>
      <c r="CY4" s="211"/>
      <c r="CZ4" s="164"/>
      <c r="DA4" s="241">
        <v>0.18310000000000001</v>
      </c>
      <c r="DB4" s="160">
        <f>DA4*$B$2</f>
        <v>403.66592200000002</v>
      </c>
      <c r="DC4" s="211"/>
      <c r="DD4" s="164"/>
      <c r="DE4" s="272">
        <v>0.1313</v>
      </c>
      <c r="DF4" s="160">
        <f>DE4*$B$2</f>
        <v>289.46660600000001</v>
      </c>
      <c r="DG4" s="211"/>
      <c r="DH4" s="164"/>
      <c r="DI4" s="241">
        <v>0.12437387168763778</v>
      </c>
      <c r="DJ4" s="160">
        <f>DI4*$B$2</f>
        <v>274.19712499999997</v>
      </c>
      <c r="DK4" s="211"/>
      <c r="DL4" s="164"/>
      <c r="DM4" s="241">
        <v>0.12261888760874901</v>
      </c>
      <c r="DN4" s="160">
        <f>DM4*$B$2</f>
        <v>270.32805200000024</v>
      </c>
      <c r="DO4" s="211"/>
      <c r="DP4" s="164"/>
      <c r="DQ4" s="241">
        <v>0.13407378369061301</v>
      </c>
      <c r="DR4" s="160">
        <f>DQ4*$B$2</f>
        <v>295.58174499999927</v>
      </c>
      <c r="DS4" s="211"/>
      <c r="DT4" s="164"/>
      <c r="DU4" s="241">
        <v>0.13749875261949907</v>
      </c>
      <c r="DV4" s="160">
        <f>DU4*$B$2</f>
        <v>303.13249999999999</v>
      </c>
      <c r="DW4" s="211"/>
      <c r="DX4" s="164"/>
      <c r="DY4" s="287">
        <v>0.13675875933267412</v>
      </c>
      <c r="DZ4" s="160">
        <f>DY4*$B$2</f>
        <v>301.50109600000002</v>
      </c>
      <c r="EA4" s="211"/>
      <c r="EB4" s="164"/>
      <c r="EC4" s="276">
        <v>0.13090381244840399</v>
      </c>
      <c r="ED4" s="160">
        <f>EC4*$B$2</f>
        <v>288.5931630000004</v>
      </c>
      <c r="EE4" s="211"/>
      <c r="EF4" s="164"/>
    </row>
    <row r="5" spans="2:138" ht="14.5" x14ac:dyDescent="0.35">
      <c r="B5" s="178" t="s">
        <v>151</v>
      </c>
      <c r="C5" s="179">
        <v>0.77</v>
      </c>
      <c r="D5" s="179">
        <v>0.77</v>
      </c>
      <c r="E5" s="179">
        <v>0.77</v>
      </c>
      <c r="F5" s="179">
        <v>0.77</v>
      </c>
      <c r="G5" s="179">
        <v>0.77</v>
      </c>
      <c r="H5" s="179">
        <v>0.77</v>
      </c>
      <c r="I5" s="179">
        <v>0.77</v>
      </c>
      <c r="J5" s="179">
        <v>0.77</v>
      </c>
      <c r="K5" s="179">
        <v>0.77</v>
      </c>
      <c r="L5" s="179">
        <v>0.77</v>
      </c>
      <c r="M5" s="179">
        <v>0.77</v>
      </c>
      <c r="N5" s="179">
        <v>0.77</v>
      </c>
      <c r="O5" s="179">
        <v>0.77</v>
      </c>
      <c r="P5" s="179">
        <v>0.77</v>
      </c>
      <c r="Q5" s="179">
        <v>0.77</v>
      </c>
      <c r="R5" s="179">
        <v>0.77</v>
      </c>
      <c r="S5" s="179">
        <v>0.77</v>
      </c>
      <c r="T5" s="179">
        <v>0.77</v>
      </c>
      <c r="U5" s="179">
        <v>0.77</v>
      </c>
      <c r="V5" s="179">
        <v>0.77</v>
      </c>
      <c r="W5" s="179">
        <v>0.77</v>
      </c>
      <c r="X5" s="179">
        <v>0.77</v>
      </c>
      <c r="Y5" s="179">
        <v>0.77</v>
      </c>
      <c r="Z5" s="179">
        <v>0.77</v>
      </c>
      <c r="AA5" s="179">
        <v>0.77</v>
      </c>
      <c r="AB5" s="179">
        <v>0.77</v>
      </c>
      <c r="AC5" s="179">
        <v>0.77</v>
      </c>
      <c r="AD5" s="179">
        <v>0.77</v>
      </c>
      <c r="AE5" s="179">
        <v>0.77</v>
      </c>
      <c r="AF5" s="179">
        <v>0.77</v>
      </c>
      <c r="AG5" s="179">
        <v>0.65</v>
      </c>
      <c r="AH5" s="179">
        <v>0.65</v>
      </c>
      <c r="AI5" s="179">
        <v>0.65</v>
      </c>
      <c r="AJ5" s="179">
        <v>0.65</v>
      </c>
      <c r="AK5" s="179">
        <v>0.65</v>
      </c>
      <c r="AL5" s="179">
        <v>0.65</v>
      </c>
      <c r="AM5" s="179">
        <v>0.65</v>
      </c>
      <c r="AN5" s="179">
        <v>0.65</v>
      </c>
      <c r="AO5" s="179">
        <v>0.65</v>
      </c>
      <c r="AP5" s="179">
        <v>0.65</v>
      </c>
      <c r="AQ5" s="179">
        <v>0.65</v>
      </c>
      <c r="AR5" s="179">
        <v>0.65</v>
      </c>
      <c r="AS5" s="179">
        <v>0.65</v>
      </c>
      <c r="AT5" s="179">
        <v>0.65</v>
      </c>
      <c r="AU5" s="179">
        <v>0.65</v>
      </c>
      <c r="AV5" s="179">
        <v>0.65</v>
      </c>
      <c r="AW5" s="179">
        <v>0.65</v>
      </c>
      <c r="AX5" s="179">
        <v>0.65</v>
      </c>
      <c r="AY5" s="179">
        <v>0.65</v>
      </c>
      <c r="AZ5" s="179">
        <v>0.65</v>
      </c>
      <c r="BA5" s="179">
        <v>0.65</v>
      </c>
      <c r="BB5" s="179">
        <v>0.65</v>
      </c>
      <c r="BC5" s="179">
        <v>0.65</v>
      </c>
      <c r="BD5" s="179">
        <v>0.65</v>
      </c>
      <c r="BE5" s="179">
        <v>0.65</v>
      </c>
      <c r="BF5" s="179">
        <v>0.65</v>
      </c>
      <c r="BG5" s="179">
        <v>0.65</v>
      </c>
      <c r="BH5" s="179">
        <v>0.65</v>
      </c>
      <c r="BI5" s="179">
        <v>0.65</v>
      </c>
      <c r="BJ5" s="179">
        <v>0.65</v>
      </c>
      <c r="BK5" s="179">
        <v>0.65</v>
      </c>
      <c r="BL5" s="179">
        <v>0.65</v>
      </c>
      <c r="BM5" s="179">
        <v>0.65</v>
      </c>
      <c r="BN5" s="179">
        <v>0.65</v>
      </c>
      <c r="BO5" s="179">
        <v>0.65</v>
      </c>
      <c r="BP5" s="179">
        <v>0.65</v>
      </c>
      <c r="BQ5" s="179">
        <v>0.65</v>
      </c>
      <c r="BR5" s="179">
        <v>0.65</v>
      </c>
      <c r="BS5" s="179">
        <v>0.65</v>
      </c>
      <c r="BT5" s="179">
        <v>0.65</v>
      </c>
      <c r="BU5" s="179">
        <v>0.65</v>
      </c>
      <c r="BV5" s="179">
        <v>0.65</v>
      </c>
      <c r="BW5" s="179">
        <v>0.65</v>
      </c>
      <c r="BX5" s="179">
        <v>0.65</v>
      </c>
      <c r="BY5" s="179">
        <v>0.65</v>
      </c>
      <c r="BZ5" s="179">
        <v>0.65</v>
      </c>
      <c r="CA5" s="179">
        <v>0.65</v>
      </c>
      <c r="CB5" s="179">
        <v>0.65</v>
      </c>
      <c r="CC5" s="179">
        <v>0.65</v>
      </c>
      <c r="CD5" s="179">
        <v>0.65</v>
      </c>
      <c r="CE5" s="179">
        <v>0.65</v>
      </c>
      <c r="CF5" s="179">
        <v>0.65</v>
      </c>
      <c r="CG5" s="212">
        <v>0.65</v>
      </c>
      <c r="CH5" s="213">
        <v>0.65</v>
      </c>
      <c r="CI5" s="214"/>
      <c r="CJ5" s="164"/>
      <c r="CK5" s="212">
        <v>0.65</v>
      </c>
      <c r="CL5" s="213">
        <v>0.65</v>
      </c>
      <c r="CM5" s="214"/>
      <c r="CN5" s="164"/>
      <c r="CO5" s="212">
        <v>0.65</v>
      </c>
      <c r="CP5" s="213">
        <v>0.65</v>
      </c>
      <c r="CQ5" s="214"/>
      <c r="CR5" s="164"/>
      <c r="CS5" s="212">
        <v>0.65</v>
      </c>
      <c r="CT5" s="213">
        <v>0.65</v>
      </c>
      <c r="CU5" s="214"/>
      <c r="CV5" s="164"/>
      <c r="CW5" s="212">
        <v>0.65</v>
      </c>
      <c r="CX5" s="213">
        <v>0.65</v>
      </c>
      <c r="CY5" s="214"/>
      <c r="CZ5" s="164"/>
      <c r="DA5" s="212">
        <v>0.65</v>
      </c>
      <c r="DB5" s="213">
        <v>0.65</v>
      </c>
      <c r="DC5" s="214"/>
      <c r="DD5" s="164"/>
      <c r="DE5" s="212">
        <v>0.65</v>
      </c>
      <c r="DF5" s="213">
        <v>0.65</v>
      </c>
      <c r="DG5" s="214"/>
      <c r="DH5" s="164"/>
      <c r="DI5" s="212">
        <v>0.65</v>
      </c>
      <c r="DJ5" s="213">
        <v>0.65</v>
      </c>
      <c r="DK5" s="214"/>
      <c r="DL5" s="164"/>
      <c r="DM5" s="212">
        <v>0.65</v>
      </c>
      <c r="DN5" s="213">
        <v>0.65</v>
      </c>
      <c r="DO5" s="214"/>
      <c r="DP5" s="164"/>
      <c r="DQ5" s="212">
        <v>0.65</v>
      </c>
      <c r="DR5" s="213">
        <v>0.65</v>
      </c>
      <c r="DS5" s="214"/>
      <c r="DT5" s="164"/>
      <c r="DU5" s="212">
        <v>0.65</v>
      </c>
      <c r="DV5" s="213">
        <v>0.65</v>
      </c>
      <c r="DW5" s="214"/>
      <c r="DX5" s="164"/>
      <c r="DY5" s="212">
        <v>0.65</v>
      </c>
      <c r="DZ5" s="213">
        <v>0.65</v>
      </c>
      <c r="EA5" s="214"/>
      <c r="EB5" s="164"/>
      <c r="EC5" s="212">
        <v>0.65</v>
      </c>
      <c r="ED5" s="213">
        <v>0.65</v>
      </c>
      <c r="EE5" s="214"/>
      <c r="EF5" s="164"/>
      <c r="EH5" s="74"/>
    </row>
    <row r="6" spans="2:138" x14ac:dyDescent="0.35">
      <c r="B6" s="178" t="s">
        <v>152</v>
      </c>
      <c r="C6" s="180">
        <f t="shared" ref="C6:H6" si="0">+C4/C5</f>
        <v>0.46753246753246752</v>
      </c>
      <c r="D6" s="178">
        <f t="shared" si="0"/>
        <v>1030.7314285714285</v>
      </c>
      <c r="E6" s="180">
        <f t="shared" si="0"/>
        <v>0.48701298701298701</v>
      </c>
      <c r="F6" s="178">
        <f t="shared" si="0"/>
        <v>1073.6785714285713</v>
      </c>
      <c r="G6" s="180">
        <f t="shared" si="0"/>
        <v>0.48701298701298701</v>
      </c>
      <c r="H6" s="178">
        <f t="shared" si="0"/>
        <v>1073.6785714285713</v>
      </c>
      <c r="I6" s="180">
        <f>+I4/I5</f>
        <v>0.48701298701298701</v>
      </c>
      <c r="J6" s="178">
        <f t="shared" ref="J6:L6" si="1">+J4/J5</f>
        <v>1073.6785714285713</v>
      </c>
      <c r="K6" s="180">
        <f>+K4/K5</f>
        <v>0.50649350649350655</v>
      </c>
      <c r="L6" s="178">
        <f t="shared" si="1"/>
        <v>1116.6257142857141</v>
      </c>
      <c r="M6" s="178">
        <f t="shared" ref="M6:R6" si="2">M4/M5</f>
        <v>0.56493506493506496</v>
      </c>
      <c r="N6" s="154">
        <f t="shared" si="2"/>
        <v>1245.4671428571428</v>
      </c>
      <c r="O6" s="178">
        <f t="shared" si="2"/>
        <v>0.64935064935064934</v>
      </c>
      <c r="P6" s="154">
        <f t="shared" si="2"/>
        <v>1431.5714285714284</v>
      </c>
      <c r="Q6" s="180">
        <f t="shared" si="2"/>
        <v>0.70129870129870131</v>
      </c>
      <c r="R6" s="154">
        <f t="shared" si="2"/>
        <v>1546.0971428571427</v>
      </c>
      <c r="S6" s="180">
        <f t="shared" ref="S6:T6" si="3">S4/S5</f>
        <v>0.70129870129870131</v>
      </c>
      <c r="T6" s="154">
        <f t="shared" si="3"/>
        <v>1546.0971428571427</v>
      </c>
      <c r="U6" s="180">
        <f t="shared" ref="U6:V6" si="4">U4/U5</f>
        <v>0.70129870129870131</v>
      </c>
      <c r="V6" s="154">
        <f t="shared" si="4"/>
        <v>1546.0971428571427</v>
      </c>
      <c r="W6" s="180">
        <f t="shared" ref="W6:X6" si="5">W4/W5</f>
        <v>0.64935064935064934</v>
      </c>
      <c r="X6" s="154">
        <f t="shared" si="5"/>
        <v>1431.5714285714284</v>
      </c>
      <c r="Y6" s="180">
        <f t="shared" ref="Y6:Z6" si="6">Y4/Y5</f>
        <v>0.51948051948051954</v>
      </c>
      <c r="Z6" s="154">
        <f t="shared" si="6"/>
        <v>1145.2571428571428</v>
      </c>
      <c r="AA6" s="180">
        <f t="shared" ref="AA6:AB6" si="7">AA4/AA5</f>
        <v>0.38961038961038957</v>
      </c>
      <c r="AB6" s="154">
        <f t="shared" si="7"/>
        <v>858.94285714285706</v>
      </c>
      <c r="AC6" s="180">
        <f t="shared" ref="AC6:AD6" si="8">AC4/AC5</f>
        <v>0.35064935064935066</v>
      </c>
      <c r="AD6" s="154">
        <f t="shared" si="8"/>
        <v>773.04857142857134</v>
      </c>
      <c r="AE6" s="180">
        <f t="shared" ref="AE6:AF6" si="9">AE4/AE5</f>
        <v>0.35064935064935066</v>
      </c>
      <c r="AF6" s="154">
        <f t="shared" si="9"/>
        <v>773.04857142857134</v>
      </c>
      <c r="AG6" s="180">
        <f t="shared" ref="AG6:AH6" si="10">AG4/AG5</f>
        <v>0.2663076923076923</v>
      </c>
      <c r="AH6" s="154">
        <f t="shared" si="10"/>
        <v>587.10726461538457</v>
      </c>
      <c r="AI6" s="180">
        <f t="shared" ref="AI6:AJ6" si="11">AI4/AI5</f>
        <v>0.29138461538461541</v>
      </c>
      <c r="AJ6" s="154">
        <f t="shared" si="11"/>
        <v>642.39235076923069</v>
      </c>
      <c r="AK6" s="180">
        <f t="shared" ref="AK6:AL6" si="12">AK4/AK5</f>
        <v>0.31830769230769229</v>
      </c>
      <c r="AL6" s="154">
        <f t="shared" si="12"/>
        <v>701.74750461538463</v>
      </c>
      <c r="AM6" s="180">
        <f t="shared" ref="AM6:AN6" si="13">AM4/AM5</f>
        <v>0.33938461538461534</v>
      </c>
      <c r="AN6" s="154">
        <f t="shared" si="13"/>
        <v>748.21411076923073</v>
      </c>
      <c r="AO6" s="180">
        <f t="shared" ref="AO6:AP6" si="14">AO4/AO5</f>
        <v>0.34230769230769231</v>
      </c>
      <c r="AP6" s="154">
        <f t="shared" si="14"/>
        <v>754.65838461538453</v>
      </c>
      <c r="AQ6" s="180">
        <f t="shared" ref="AQ6:AR6" si="15">AQ4/AQ5</f>
        <v>0.34230769230769231</v>
      </c>
      <c r="AR6" s="154">
        <f t="shared" si="15"/>
        <v>754.65838461538453</v>
      </c>
      <c r="AS6" s="180">
        <f t="shared" ref="AS6:AT6" si="16">AS4/AS5</f>
        <v>0.32846153846153842</v>
      </c>
      <c r="AT6" s="154">
        <f t="shared" si="16"/>
        <v>724.13287692307688</v>
      </c>
      <c r="AU6" s="180">
        <v>0.224</v>
      </c>
      <c r="AV6" s="154">
        <v>493.83488</v>
      </c>
      <c r="AW6" s="180">
        <f t="shared" ref="AW6:AX6" si="17">AW4/AW5</f>
        <v>0.20384615384615384</v>
      </c>
      <c r="AX6" s="154">
        <f t="shared" si="17"/>
        <v>449.40330769230764</v>
      </c>
      <c r="AY6" s="180">
        <f t="shared" ref="AY6:AZ6" si="18">AY4/AY5</f>
        <v>0.20615384615384616</v>
      </c>
      <c r="AZ6" s="154">
        <f t="shared" si="18"/>
        <v>454.49089230769232</v>
      </c>
      <c r="BA6" s="180">
        <f t="shared" ref="BA6:BB6" si="19">BA4/BA5</f>
        <v>0.2356923076923077</v>
      </c>
      <c r="BB6" s="154">
        <f t="shared" si="19"/>
        <v>519.61197538461533</v>
      </c>
      <c r="BC6" s="180">
        <f t="shared" ref="BC6:BD6" si="20">BC4/BC5</f>
        <v>0.25384615384615383</v>
      </c>
      <c r="BD6" s="154">
        <f t="shared" si="20"/>
        <v>559.63430769230763</v>
      </c>
      <c r="BE6" s="180">
        <f t="shared" ref="BE6:BF6" si="21">BE4/BE5</f>
        <v>0.27507692307692305</v>
      </c>
      <c r="BF6" s="154">
        <f t="shared" si="21"/>
        <v>606.4400861538461</v>
      </c>
      <c r="BG6" s="180">
        <f t="shared" ref="BG6:BH6" si="22">BG4/BG5</f>
        <v>0.28276923076923077</v>
      </c>
      <c r="BH6" s="154">
        <f t="shared" si="22"/>
        <v>623.39870153846141</v>
      </c>
      <c r="BI6" s="180">
        <f t="shared" ref="BI6:BJ6" si="23">BI4/BI5</f>
        <v>0.29430769230769227</v>
      </c>
      <c r="BJ6" s="154">
        <f t="shared" si="23"/>
        <v>648.83662461538449</v>
      </c>
      <c r="BK6" s="180">
        <f t="shared" ref="BK6:BL6" si="24">BK4/BK5</f>
        <v>0.30384615384615388</v>
      </c>
      <c r="BL6" s="154">
        <f t="shared" si="24"/>
        <v>669.86530769230762</v>
      </c>
      <c r="BM6" s="180">
        <f t="shared" ref="BM6:BN6" si="25">BM4/BM5</f>
        <v>0.32215384615384612</v>
      </c>
      <c r="BN6" s="154">
        <f t="shared" si="25"/>
        <v>710.22681230769228</v>
      </c>
      <c r="BO6" s="180">
        <f t="shared" ref="BO6:BP6" si="26">BO4/BO5</f>
        <v>0.34138461538461534</v>
      </c>
      <c r="BP6" s="154">
        <f t="shared" si="26"/>
        <v>752.62335076923068</v>
      </c>
      <c r="BQ6" s="180">
        <f t="shared" ref="BQ6:BR6" si="27">BQ4/BQ5</f>
        <v>0.35384615384615387</v>
      </c>
      <c r="BR6" s="154">
        <f t="shared" si="27"/>
        <v>780.09630769230762</v>
      </c>
      <c r="BS6" s="180">
        <f t="shared" ref="BS6:BT6" si="28">BS4/BS5</f>
        <v>0.37784615384615383</v>
      </c>
      <c r="BT6" s="154">
        <f t="shared" si="28"/>
        <v>833.00718769230764</v>
      </c>
      <c r="BU6" s="180">
        <f t="shared" ref="BU6:BV6" si="29">BU4/BU5</f>
        <v>0.4</v>
      </c>
      <c r="BV6" s="154">
        <f t="shared" si="29"/>
        <v>881.84799999999996</v>
      </c>
      <c r="BW6" s="180">
        <f t="shared" ref="BW6:BX6" si="30">BW4/BW5</f>
        <v>0.40769230769230769</v>
      </c>
      <c r="BX6" s="154">
        <f t="shared" si="30"/>
        <v>898.80661538461527</v>
      </c>
      <c r="BY6" s="180">
        <f t="shared" ref="BY6:BZ6" si="31">BY4/BY5</f>
        <v>0.40384615384615385</v>
      </c>
      <c r="BZ6" s="154">
        <f t="shared" si="31"/>
        <v>890.32730769230773</v>
      </c>
      <c r="CA6" s="180">
        <f t="shared" ref="CA6:CB6" si="32">CA4/CA5</f>
        <v>0.39615384615384613</v>
      </c>
      <c r="CB6" s="154">
        <f t="shared" si="32"/>
        <v>873.3686923076923</v>
      </c>
      <c r="CC6" s="180">
        <f t="shared" ref="CC6:CD6" si="33">CC4/CC5</f>
        <v>0.35384615384615387</v>
      </c>
      <c r="CD6" s="154">
        <f t="shared" si="33"/>
        <v>780.09630769230762</v>
      </c>
      <c r="CE6" s="180">
        <f t="shared" ref="CE6:CF6" si="34">CE4/CE5</f>
        <v>0.36461538461538456</v>
      </c>
      <c r="CF6" s="154">
        <f t="shared" si="34"/>
        <v>803.8383692307691</v>
      </c>
      <c r="CG6" s="215">
        <f t="shared" ref="CG6:CH6" si="35">CG4/CG5</f>
        <v>0.37692307692307692</v>
      </c>
      <c r="CH6" s="228">
        <f t="shared" si="35"/>
        <v>830.97215384615379</v>
      </c>
      <c r="CI6" s="209"/>
      <c r="CJ6" s="164"/>
      <c r="CK6" s="215">
        <f t="shared" ref="CK6:CL6" si="36">CK4/CK5</f>
        <v>0.38076923076923075</v>
      </c>
      <c r="CL6" s="228">
        <f t="shared" si="36"/>
        <v>839.45146153846133</v>
      </c>
      <c r="CM6" s="209"/>
      <c r="CN6" s="164"/>
      <c r="CO6" s="215">
        <f t="shared" ref="CO6:CP6" si="37">CO4/CO5</f>
        <v>0.37892307692307692</v>
      </c>
      <c r="CP6" s="228">
        <f t="shared" si="37"/>
        <v>835.38139384615374</v>
      </c>
      <c r="CQ6" s="209"/>
      <c r="CR6" s="164"/>
      <c r="CS6" s="215">
        <f t="shared" ref="CS6:CT6" si="38">CS4/CS5</f>
        <v>0.3692307692307692</v>
      </c>
      <c r="CT6" s="228">
        <f t="shared" si="38"/>
        <v>814.01353846153836</v>
      </c>
      <c r="CU6" s="209"/>
      <c r="CV6" s="164"/>
      <c r="CW6" s="215">
        <f t="shared" ref="CW6:CX6" si="39">CW4/CW5</f>
        <v>0.34876923076923078</v>
      </c>
      <c r="CX6" s="228">
        <f t="shared" si="39"/>
        <v>768.90362153846149</v>
      </c>
      <c r="CY6" s="209"/>
      <c r="CZ6" s="164"/>
      <c r="DA6" s="215">
        <f t="shared" ref="DA6:DB6" si="40">DA4/DA5</f>
        <v>0.28169230769230769</v>
      </c>
      <c r="DB6" s="228">
        <f t="shared" si="40"/>
        <v>621.02449538461542</v>
      </c>
      <c r="DC6" s="209"/>
      <c r="DD6" s="164"/>
      <c r="DE6" s="215">
        <f t="shared" ref="DE6:DF6" si="41">DE4/DE5</f>
        <v>0.20199999999999999</v>
      </c>
      <c r="DF6" s="228">
        <f t="shared" si="41"/>
        <v>445.33323999999999</v>
      </c>
      <c r="DG6" s="209"/>
      <c r="DH6" s="164"/>
      <c r="DI6" s="215">
        <f t="shared" ref="DI6:DJ6" si="42">DI4/DI5</f>
        <v>0.1913444179809812</v>
      </c>
      <c r="DJ6" s="228">
        <f t="shared" si="42"/>
        <v>421.84173076923071</v>
      </c>
      <c r="DK6" s="209"/>
      <c r="DL6" s="164"/>
      <c r="DM6" s="215">
        <f t="shared" ref="DM6:DN6" si="43">DM4/DM5</f>
        <v>0.18864444247499845</v>
      </c>
      <c r="DN6" s="228">
        <f t="shared" si="43"/>
        <v>415.88931076923114</v>
      </c>
      <c r="DO6" s="209"/>
      <c r="DP6" s="164"/>
      <c r="DQ6" s="215">
        <f t="shared" ref="DQ6:DR6" si="44">DQ4/DQ5</f>
        <v>0.20626735952402001</v>
      </c>
      <c r="DR6" s="228">
        <f t="shared" si="44"/>
        <v>454.74114615384502</v>
      </c>
      <c r="DS6" s="209"/>
      <c r="DT6" s="164"/>
      <c r="DU6" s="215">
        <f t="shared" ref="DU6:DV6" si="45">DU4/DU5</f>
        <v>0.21153654249153703</v>
      </c>
      <c r="DV6" s="228">
        <f t="shared" si="45"/>
        <v>466.35769230769228</v>
      </c>
      <c r="DW6" s="209"/>
      <c r="DX6" s="164"/>
      <c r="DY6" s="215">
        <f t="shared" ref="DY6:DZ6" si="46">DY4/DY5</f>
        <v>0.21039809128103709</v>
      </c>
      <c r="DZ6" s="228">
        <f t="shared" si="46"/>
        <v>463.84784000000002</v>
      </c>
      <c r="EA6" s="209"/>
      <c r="EB6" s="164"/>
      <c r="EC6" s="215">
        <f t="shared" ref="EC6:ED6" si="47">EC4/EC5</f>
        <v>0.2013904806898523</v>
      </c>
      <c r="ED6" s="228">
        <f t="shared" si="47"/>
        <v>443.98948153846214</v>
      </c>
      <c r="EE6" s="209"/>
      <c r="EF6" s="164"/>
    </row>
    <row r="7" spans="2:138" x14ac:dyDescent="0.35">
      <c r="B7" s="178" t="s">
        <v>153</v>
      </c>
      <c r="C7" s="178">
        <v>0.2</v>
      </c>
      <c r="D7" s="178">
        <f>+C7*$B$2</f>
        <v>440.92399999999998</v>
      </c>
      <c r="E7" s="178">
        <v>0.2</v>
      </c>
      <c r="F7" s="178">
        <f>+E7*$B$2</f>
        <v>440.92399999999998</v>
      </c>
      <c r="G7" s="178">
        <v>0.2</v>
      </c>
      <c r="H7" s="178">
        <f>+G7*$B$2</f>
        <v>440.92399999999998</v>
      </c>
      <c r="I7" s="178">
        <v>0.2</v>
      </c>
      <c r="J7" s="178">
        <f>+I7*$B$2</f>
        <v>440.92399999999998</v>
      </c>
      <c r="K7" s="178">
        <v>0.2</v>
      </c>
      <c r="L7" s="178">
        <f>+K7*$B$2</f>
        <v>440.92399999999998</v>
      </c>
      <c r="M7" s="178">
        <f>K7</f>
        <v>0.2</v>
      </c>
      <c r="N7" s="154">
        <f>M7*$B$2</f>
        <v>440.92399999999998</v>
      </c>
      <c r="O7" s="178">
        <f>M7</f>
        <v>0.2</v>
      </c>
      <c r="P7" s="154">
        <f>O7*$B$2</f>
        <v>440.92399999999998</v>
      </c>
      <c r="Q7" s="178">
        <f>O7</f>
        <v>0.2</v>
      </c>
      <c r="R7" s="154">
        <f>Q7*$B$2</f>
        <v>440.92399999999998</v>
      </c>
      <c r="S7" s="178">
        <f>Q7</f>
        <v>0.2</v>
      </c>
      <c r="T7" s="154">
        <f>S7*$B$2</f>
        <v>440.92399999999998</v>
      </c>
      <c r="U7" s="178">
        <f>S7</f>
        <v>0.2</v>
      </c>
      <c r="V7" s="154">
        <f>U7*$B$2</f>
        <v>440.92399999999998</v>
      </c>
      <c r="W7" s="180">
        <v>0.2</v>
      </c>
      <c r="X7" s="154">
        <f>W7*$B$2</f>
        <v>440.92399999999998</v>
      </c>
      <c r="Y7" s="180">
        <v>0.2</v>
      </c>
      <c r="Z7" s="154">
        <f>Y7*$B$2</f>
        <v>440.92399999999998</v>
      </c>
      <c r="AA7" s="180">
        <v>0.2</v>
      </c>
      <c r="AB7" s="154">
        <f>AA7*$B$2</f>
        <v>440.92399999999998</v>
      </c>
      <c r="AC7" s="180">
        <v>0.2</v>
      </c>
      <c r="AD7" s="154">
        <f>AC7*$B$2</f>
        <v>440.92399999999998</v>
      </c>
      <c r="AE7" s="180">
        <v>0.2</v>
      </c>
      <c r="AF7" s="154">
        <f>AE7*$B$2</f>
        <v>440.92399999999998</v>
      </c>
      <c r="AG7" s="180">
        <v>0.2</v>
      </c>
      <c r="AH7" s="154">
        <f>AG7*$B$2</f>
        <v>440.92399999999998</v>
      </c>
      <c r="AI7" s="180">
        <v>0.2</v>
      </c>
      <c r="AJ7" s="154">
        <f>AI7*$B$2</f>
        <v>440.92399999999998</v>
      </c>
      <c r="AK7" s="180">
        <v>0.2</v>
      </c>
      <c r="AL7" s="154">
        <f>AK7*$B$2</f>
        <v>440.92399999999998</v>
      </c>
      <c r="AM7" s="180">
        <v>0.2</v>
      </c>
      <c r="AN7" s="154">
        <f>AM7*$B$2</f>
        <v>440.92399999999998</v>
      </c>
      <c r="AO7" s="180">
        <v>0.2</v>
      </c>
      <c r="AP7" s="154">
        <f>AO7*$B$2</f>
        <v>440.92399999999998</v>
      </c>
      <c r="AQ7" s="180">
        <v>0.2</v>
      </c>
      <c r="AR7" s="154">
        <f>AQ7*$B$2</f>
        <v>440.92399999999998</v>
      </c>
      <c r="AS7" s="180">
        <v>0.189</v>
      </c>
      <c r="AT7" s="154">
        <f>AS7*$B$2</f>
        <v>416.67318</v>
      </c>
      <c r="AU7" s="180">
        <v>0.189</v>
      </c>
      <c r="AV7" s="154">
        <v>416.67318</v>
      </c>
      <c r="AW7" s="180">
        <v>0.189</v>
      </c>
      <c r="AX7" s="154">
        <f>AW7*$B$2</f>
        <v>416.67318</v>
      </c>
      <c r="AY7" s="180">
        <v>0.189</v>
      </c>
      <c r="AZ7" s="154">
        <f>AY7*$B$2</f>
        <v>416.67318</v>
      </c>
      <c r="BA7" s="180">
        <v>0.189</v>
      </c>
      <c r="BB7" s="154">
        <f>BA7*$B$2</f>
        <v>416.67318</v>
      </c>
      <c r="BC7" s="180">
        <v>0.189</v>
      </c>
      <c r="BD7" s="154">
        <f>BC7*$B$2</f>
        <v>416.67318</v>
      </c>
      <c r="BE7" s="180">
        <v>0.189</v>
      </c>
      <c r="BF7" s="154">
        <f>BE7*$B$2</f>
        <v>416.67318</v>
      </c>
      <c r="BG7" s="180">
        <v>0.189</v>
      </c>
      <c r="BH7" s="154">
        <f>BG7*$B$2</f>
        <v>416.67318</v>
      </c>
      <c r="BI7" s="180">
        <v>0.189</v>
      </c>
      <c r="BJ7" s="154">
        <f>BI7*$B$2</f>
        <v>416.67318</v>
      </c>
      <c r="BK7" s="180">
        <v>0.189</v>
      </c>
      <c r="BL7" s="154">
        <f>BK7*$B$2</f>
        <v>416.67318</v>
      </c>
      <c r="BM7" s="180">
        <v>0.189</v>
      </c>
      <c r="BN7" s="154">
        <f>BM7*$B$2</f>
        <v>416.67318</v>
      </c>
      <c r="BO7" s="180">
        <v>0.189</v>
      </c>
      <c r="BP7" s="154">
        <f>BO7*$B$2</f>
        <v>416.67318</v>
      </c>
      <c r="BQ7" s="180">
        <v>0.189</v>
      </c>
      <c r="BR7" s="154">
        <f>BQ7*$B$2</f>
        <v>416.67318</v>
      </c>
      <c r="BS7" s="180">
        <v>0.189</v>
      </c>
      <c r="BT7" s="154">
        <f>BS7*$B$2</f>
        <v>416.67318</v>
      </c>
      <c r="BU7" s="180">
        <v>0.189</v>
      </c>
      <c r="BV7" s="154">
        <f>BU7*$B$2</f>
        <v>416.67318</v>
      </c>
      <c r="BW7" s="180">
        <v>0.189</v>
      </c>
      <c r="BX7" s="154">
        <f>BW7*$B$2</f>
        <v>416.67318</v>
      </c>
      <c r="BY7" s="180">
        <v>0.189</v>
      </c>
      <c r="BZ7" s="154">
        <f>BY7*$B$2</f>
        <v>416.67318</v>
      </c>
      <c r="CA7" s="180">
        <v>0.189</v>
      </c>
      <c r="CB7" s="154">
        <f>CA7*$B$2</f>
        <v>416.67318</v>
      </c>
      <c r="CC7" s="180">
        <v>0.189</v>
      </c>
      <c r="CD7" s="154">
        <f>CC7*$B$2</f>
        <v>416.67318</v>
      </c>
      <c r="CE7" s="180">
        <v>0.189</v>
      </c>
      <c r="CF7" s="154">
        <f>CE7*$B$2</f>
        <v>416.67318</v>
      </c>
      <c r="CG7" s="215">
        <v>0.189</v>
      </c>
      <c r="CH7" s="228">
        <f>CG7*$B$2</f>
        <v>416.67318</v>
      </c>
      <c r="CI7" s="209"/>
      <c r="CJ7" s="164"/>
      <c r="CK7" s="215">
        <v>0.189</v>
      </c>
      <c r="CL7" s="228">
        <f>CK7*$B$2</f>
        <v>416.67318</v>
      </c>
      <c r="CM7" s="209"/>
      <c r="CN7" s="164"/>
      <c r="CO7" s="215">
        <v>0.189</v>
      </c>
      <c r="CP7" s="228">
        <f>CO7*$B$2</f>
        <v>416.67318</v>
      </c>
      <c r="CQ7" s="209"/>
      <c r="CR7" s="164"/>
      <c r="CS7" s="215">
        <v>0.189</v>
      </c>
      <c r="CT7" s="228">
        <f>CS7*$B$2</f>
        <v>416.67318</v>
      </c>
      <c r="CU7" s="209"/>
      <c r="CV7" s="164"/>
      <c r="CW7" s="215">
        <v>0.189</v>
      </c>
      <c r="CX7" s="228">
        <f>CW7*$B$2</f>
        <v>416.67318</v>
      </c>
      <c r="CY7" s="209"/>
      <c r="CZ7" s="164"/>
      <c r="DA7" s="215">
        <v>0.189</v>
      </c>
      <c r="DB7" s="228">
        <f>DA7*$B$2</f>
        <v>416.67318</v>
      </c>
      <c r="DC7" s="209"/>
      <c r="DD7" s="164"/>
      <c r="DE7" s="215">
        <v>0.189</v>
      </c>
      <c r="DF7" s="228">
        <f>DE7*$B$2</f>
        <v>416.67318</v>
      </c>
      <c r="DG7" s="209"/>
      <c r="DH7" s="164"/>
      <c r="DI7" s="215">
        <v>0.189</v>
      </c>
      <c r="DJ7" s="228">
        <f>DI7*$B$2</f>
        <v>416.67318</v>
      </c>
      <c r="DK7" s="209"/>
      <c r="DL7" s="164"/>
      <c r="DM7" s="215">
        <v>0.189</v>
      </c>
      <c r="DN7" s="228">
        <f>DM7*$B$2</f>
        <v>416.67318</v>
      </c>
      <c r="DO7" s="209"/>
      <c r="DP7" s="164"/>
      <c r="DQ7" s="215">
        <v>0.189</v>
      </c>
      <c r="DR7" s="228">
        <f>DQ7*$B$2</f>
        <v>416.67318</v>
      </c>
      <c r="DS7" s="209"/>
      <c r="DT7" s="164"/>
      <c r="DU7" s="215">
        <v>0.189</v>
      </c>
      <c r="DV7" s="228">
        <f>DU7*$B$2</f>
        <v>416.67318</v>
      </c>
      <c r="DW7" s="209"/>
      <c r="DX7" s="164"/>
      <c r="DY7" s="215">
        <v>0.189</v>
      </c>
      <c r="DZ7" s="228">
        <f>DY7*$B$2</f>
        <v>416.67318</v>
      </c>
      <c r="EA7" s="209"/>
      <c r="EB7" s="164"/>
      <c r="EC7" s="215">
        <v>0.189</v>
      </c>
      <c r="ED7" s="228">
        <f>EC7*$B$2</f>
        <v>416.67318</v>
      </c>
      <c r="EE7" s="209"/>
      <c r="EF7" s="164"/>
    </row>
    <row r="8" spans="2:138" x14ac:dyDescent="0.35">
      <c r="B8" s="178" t="s">
        <v>154</v>
      </c>
      <c r="C8" s="179">
        <v>0.96</v>
      </c>
      <c r="D8" s="179">
        <v>0.96</v>
      </c>
      <c r="E8" s="179">
        <v>0.96</v>
      </c>
      <c r="F8" s="179">
        <v>0.96</v>
      </c>
      <c r="G8" s="179">
        <v>0.96</v>
      </c>
      <c r="H8" s="179">
        <v>0.96</v>
      </c>
      <c r="I8" s="179">
        <v>0.96</v>
      </c>
      <c r="J8" s="179">
        <v>0.96</v>
      </c>
      <c r="K8" s="179">
        <v>0.96</v>
      </c>
      <c r="L8" s="179">
        <v>0.96</v>
      </c>
      <c r="M8" s="179">
        <v>0.96</v>
      </c>
      <c r="N8" s="179">
        <v>0.96</v>
      </c>
      <c r="O8" s="179">
        <v>0.96</v>
      </c>
      <c r="P8" s="179">
        <v>0.96</v>
      </c>
      <c r="Q8" s="179">
        <v>0.96</v>
      </c>
      <c r="R8" s="179">
        <v>0.96</v>
      </c>
      <c r="S8" s="179">
        <v>0.96</v>
      </c>
      <c r="T8" s="179">
        <v>0.96</v>
      </c>
      <c r="U8" s="179">
        <v>0.96</v>
      </c>
      <c r="V8" s="179">
        <v>0.96</v>
      </c>
      <c r="W8" s="179">
        <v>0.96</v>
      </c>
      <c r="X8" s="179">
        <v>0.96</v>
      </c>
      <c r="Y8" s="179">
        <v>0.96</v>
      </c>
      <c r="Z8" s="179">
        <v>0.96</v>
      </c>
      <c r="AA8" s="179">
        <v>0.96</v>
      </c>
      <c r="AB8" s="179">
        <v>0.96</v>
      </c>
      <c r="AC8" s="179">
        <v>0.96</v>
      </c>
      <c r="AD8" s="179">
        <v>0.96</v>
      </c>
      <c r="AE8" s="179">
        <v>0.96</v>
      </c>
      <c r="AF8" s="179">
        <v>0.96</v>
      </c>
      <c r="AG8" s="179">
        <v>0.96</v>
      </c>
      <c r="AH8" s="179">
        <v>0.96</v>
      </c>
      <c r="AI8" s="179">
        <v>0.96</v>
      </c>
      <c r="AJ8" s="179">
        <v>0.96</v>
      </c>
      <c r="AK8" s="179">
        <v>0.96</v>
      </c>
      <c r="AL8" s="179">
        <v>0.96</v>
      </c>
      <c r="AM8" s="179">
        <v>0.96</v>
      </c>
      <c r="AN8" s="179">
        <v>0.96</v>
      </c>
      <c r="AO8" s="179">
        <v>0.96</v>
      </c>
      <c r="AP8" s="179">
        <v>0.96</v>
      </c>
      <c r="AQ8" s="179">
        <v>0.96</v>
      </c>
      <c r="AR8" s="179">
        <v>0.96</v>
      </c>
      <c r="AS8" s="179">
        <v>0.96</v>
      </c>
      <c r="AT8" s="179">
        <v>0.96</v>
      </c>
      <c r="AU8" s="179">
        <v>0.96</v>
      </c>
      <c r="AV8" s="179">
        <v>0.96</v>
      </c>
      <c r="AW8" s="179">
        <v>0.96</v>
      </c>
      <c r="AX8" s="179">
        <v>0.96</v>
      </c>
      <c r="AY8" s="179">
        <v>0.96</v>
      </c>
      <c r="AZ8" s="179">
        <v>0.96</v>
      </c>
      <c r="BA8" s="179">
        <v>0.96</v>
      </c>
      <c r="BB8" s="179">
        <v>0.96</v>
      </c>
      <c r="BC8" s="179">
        <v>0.96</v>
      </c>
      <c r="BD8" s="179">
        <v>0.96</v>
      </c>
      <c r="BE8" s="179">
        <v>0.96</v>
      </c>
      <c r="BF8" s="179">
        <v>0.96</v>
      </c>
      <c r="BG8" s="179">
        <v>0.96</v>
      </c>
      <c r="BH8" s="179">
        <v>0.96</v>
      </c>
      <c r="BI8" s="179">
        <v>0.96</v>
      </c>
      <c r="BJ8" s="179">
        <v>0.96</v>
      </c>
      <c r="BK8" s="179">
        <v>0.96</v>
      </c>
      <c r="BL8" s="179">
        <v>0.96</v>
      </c>
      <c r="BM8" s="179">
        <v>0.96</v>
      </c>
      <c r="BN8" s="179">
        <v>0.96</v>
      </c>
      <c r="BO8" s="179">
        <v>0.96</v>
      </c>
      <c r="BP8" s="179">
        <v>0.96</v>
      </c>
      <c r="BQ8" s="179">
        <v>0.96</v>
      </c>
      <c r="BR8" s="179">
        <v>0.96</v>
      </c>
      <c r="BS8" s="179">
        <v>0.96</v>
      </c>
      <c r="BT8" s="179">
        <v>0.96</v>
      </c>
      <c r="BU8" s="179">
        <v>0.96</v>
      </c>
      <c r="BV8" s="179">
        <v>0.96</v>
      </c>
      <c r="BW8" s="179">
        <v>0.96</v>
      </c>
      <c r="BX8" s="179">
        <v>0.96</v>
      </c>
      <c r="BY8" s="179">
        <v>0.96</v>
      </c>
      <c r="BZ8" s="179">
        <v>0.96</v>
      </c>
      <c r="CA8" s="179">
        <v>0.96</v>
      </c>
      <c r="CB8" s="179">
        <v>0.96</v>
      </c>
      <c r="CC8" s="179">
        <v>0.96</v>
      </c>
      <c r="CD8" s="179">
        <v>0.96</v>
      </c>
      <c r="CE8" s="179">
        <v>0.96</v>
      </c>
      <c r="CF8" s="179">
        <v>0.96</v>
      </c>
      <c r="CG8" s="212">
        <v>0.96</v>
      </c>
      <c r="CH8" s="229">
        <v>0.96</v>
      </c>
      <c r="CI8" s="216"/>
      <c r="CJ8" s="217"/>
      <c r="CK8" s="212">
        <v>0.96</v>
      </c>
      <c r="CL8" s="229">
        <v>0.96</v>
      </c>
      <c r="CM8" s="216"/>
      <c r="CN8" s="217"/>
      <c r="CO8" s="212">
        <v>0.96</v>
      </c>
      <c r="CP8" s="229">
        <v>0.96</v>
      </c>
      <c r="CQ8" s="216"/>
      <c r="CR8" s="217"/>
      <c r="CS8" s="212">
        <v>0.96</v>
      </c>
      <c r="CT8" s="229">
        <v>0.96</v>
      </c>
      <c r="CU8" s="216"/>
      <c r="CV8" s="217"/>
      <c r="CW8" s="212">
        <v>0.96</v>
      </c>
      <c r="CX8" s="229">
        <v>0.96</v>
      </c>
      <c r="CY8" s="216"/>
      <c r="CZ8" s="217"/>
      <c r="DA8" s="212">
        <v>0.96</v>
      </c>
      <c r="DB8" s="229">
        <v>0.96</v>
      </c>
      <c r="DC8" s="216"/>
      <c r="DD8" s="217"/>
      <c r="DE8" s="212">
        <v>0.96</v>
      </c>
      <c r="DF8" s="229">
        <v>0.96</v>
      </c>
      <c r="DG8" s="216"/>
      <c r="DH8" s="217"/>
      <c r="DI8" s="212">
        <v>0.96</v>
      </c>
      <c r="DJ8" s="229">
        <v>0.96</v>
      </c>
      <c r="DK8" s="216"/>
      <c r="DL8" s="217"/>
      <c r="DM8" s="212">
        <v>0.96</v>
      </c>
      <c r="DN8" s="229">
        <v>0.96</v>
      </c>
      <c r="DO8" s="216"/>
      <c r="DP8" s="217"/>
      <c r="DQ8" s="212">
        <v>0.96</v>
      </c>
      <c r="DR8" s="229">
        <v>0.96</v>
      </c>
      <c r="DS8" s="216"/>
      <c r="DT8" s="217"/>
      <c r="DU8" s="212">
        <v>0.96</v>
      </c>
      <c r="DV8" s="229">
        <v>0.96</v>
      </c>
      <c r="DW8" s="216"/>
      <c r="DX8" s="217"/>
      <c r="DY8" s="212">
        <v>0.96</v>
      </c>
      <c r="DZ8" s="229">
        <v>0.96</v>
      </c>
      <c r="EA8" s="216"/>
      <c r="EB8" s="217"/>
      <c r="EC8" s="212">
        <v>0.96</v>
      </c>
      <c r="ED8" s="229">
        <v>0.96</v>
      </c>
      <c r="EE8" s="216"/>
      <c r="EF8" s="217"/>
    </row>
    <row r="9" spans="2:138" x14ac:dyDescent="0.35">
      <c r="B9" s="178" t="s">
        <v>155</v>
      </c>
      <c r="C9" s="178">
        <v>0.19</v>
      </c>
      <c r="D9" s="178">
        <f>+C9*$B$2</f>
        <v>418.87779999999998</v>
      </c>
      <c r="E9" s="178">
        <v>0.19</v>
      </c>
      <c r="F9" s="178">
        <f>+E9*$B$2</f>
        <v>418.87779999999998</v>
      </c>
      <c r="G9" s="178">
        <v>0.19</v>
      </c>
      <c r="H9" s="178">
        <f>+G9*$B$2</f>
        <v>418.87779999999998</v>
      </c>
      <c r="I9" s="178">
        <v>0.19</v>
      </c>
      <c r="J9" s="178">
        <f>+I9*$B$2</f>
        <v>418.87779999999998</v>
      </c>
      <c r="K9" s="178">
        <v>0.19</v>
      </c>
      <c r="L9" s="178">
        <f>+K9*$B$2</f>
        <v>418.87779999999998</v>
      </c>
      <c r="M9" s="178">
        <f>K9</f>
        <v>0.19</v>
      </c>
      <c r="N9" s="154">
        <f>M9*$B$2</f>
        <v>418.87779999999998</v>
      </c>
      <c r="O9" s="178">
        <f>M9</f>
        <v>0.19</v>
      </c>
      <c r="P9" s="154">
        <f>O9*$B$2</f>
        <v>418.87779999999998</v>
      </c>
      <c r="Q9" s="178">
        <f>O9</f>
        <v>0.19</v>
      </c>
      <c r="R9" s="154">
        <f>Q9*$B$2</f>
        <v>418.87779999999998</v>
      </c>
      <c r="S9" s="178">
        <f>Q9</f>
        <v>0.19</v>
      </c>
      <c r="T9" s="154">
        <f>S9*$B$2</f>
        <v>418.87779999999998</v>
      </c>
      <c r="U9" s="178">
        <f>S9</f>
        <v>0.19</v>
      </c>
      <c r="V9" s="154">
        <f>U9*$B$2</f>
        <v>418.87779999999998</v>
      </c>
      <c r="W9" s="180">
        <v>0.19</v>
      </c>
      <c r="X9" s="154">
        <f>W9*$B$2</f>
        <v>418.87779999999998</v>
      </c>
      <c r="Y9" s="180">
        <v>0.19</v>
      </c>
      <c r="Z9" s="154">
        <f>Y9*$B$2</f>
        <v>418.87779999999998</v>
      </c>
      <c r="AA9" s="180">
        <v>0.19</v>
      </c>
      <c r="AB9" s="154">
        <f>AA9*$B$2</f>
        <v>418.87779999999998</v>
      </c>
      <c r="AC9" s="180">
        <v>0.19</v>
      </c>
      <c r="AD9" s="154">
        <f>AC9*$B$2</f>
        <v>418.87779999999998</v>
      </c>
      <c r="AE9" s="180">
        <v>0.19</v>
      </c>
      <c r="AF9" s="154">
        <f>AE9*$B$2</f>
        <v>418.87779999999998</v>
      </c>
      <c r="AG9" s="180">
        <v>0.19</v>
      </c>
      <c r="AH9" s="154">
        <f>AG9*$B$2</f>
        <v>418.87779999999998</v>
      </c>
      <c r="AI9" s="180">
        <v>0.19</v>
      </c>
      <c r="AJ9" s="154">
        <f>AI9*$B$2</f>
        <v>418.87779999999998</v>
      </c>
      <c r="AK9" s="180">
        <v>0.19</v>
      </c>
      <c r="AL9" s="154">
        <f>AK9*$B$2</f>
        <v>418.87779999999998</v>
      </c>
      <c r="AM9" s="180">
        <v>0.19</v>
      </c>
      <c r="AN9" s="154">
        <f>AM9*$B$2</f>
        <v>418.87779999999998</v>
      </c>
      <c r="AO9" s="180">
        <v>0.19</v>
      </c>
      <c r="AP9" s="154">
        <f>AO9*$B$2</f>
        <v>418.87779999999998</v>
      </c>
      <c r="AQ9" s="180">
        <v>0.19</v>
      </c>
      <c r="AR9" s="154">
        <f>AQ9*$B$2</f>
        <v>418.87779999999998</v>
      </c>
      <c r="AS9" s="180">
        <v>0.17899999999999999</v>
      </c>
      <c r="AT9" s="154">
        <f>AS9*$B$2</f>
        <v>394.62697999999995</v>
      </c>
      <c r="AU9" s="180">
        <v>0.17899999999999999</v>
      </c>
      <c r="AV9" s="154">
        <v>394.62697999999995</v>
      </c>
      <c r="AW9" s="180">
        <v>0.17899999999999999</v>
      </c>
      <c r="AX9" s="154">
        <f>AW9*$B$2</f>
        <v>394.62697999999995</v>
      </c>
      <c r="AY9" s="180">
        <v>0.17899999999999999</v>
      </c>
      <c r="AZ9" s="154">
        <f>AY9*$B$2</f>
        <v>394.62697999999995</v>
      </c>
      <c r="BA9" s="180">
        <v>0.17899999999999999</v>
      </c>
      <c r="BB9" s="154">
        <f>BA9*$B$2</f>
        <v>394.62697999999995</v>
      </c>
      <c r="BC9" s="180">
        <v>0.17899999999999999</v>
      </c>
      <c r="BD9" s="154">
        <f>BC9*$B$2</f>
        <v>394.62697999999995</v>
      </c>
      <c r="BE9" s="180">
        <v>0.17899999999999999</v>
      </c>
      <c r="BF9" s="154">
        <f>BE9*$B$2</f>
        <v>394.62697999999995</v>
      </c>
      <c r="BG9" s="180">
        <v>0.17899999999999999</v>
      </c>
      <c r="BH9" s="154">
        <f>BG9*$B$2</f>
        <v>394.62697999999995</v>
      </c>
      <c r="BI9" s="180">
        <v>0.17899999999999999</v>
      </c>
      <c r="BJ9" s="154">
        <f>BI9*$B$2</f>
        <v>394.62697999999995</v>
      </c>
      <c r="BK9" s="180">
        <v>0.17899999999999999</v>
      </c>
      <c r="BL9" s="154">
        <f>BK9*$B$2</f>
        <v>394.62697999999995</v>
      </c>
      <c r="BM9" s="180">
        <v>0.17899999999999999</v>
      </c>
      <c r="BN9" s="154">
        <f>BM9*$B$2</f>
        <v>394.62697999999995</v>
      </c>
      <c r="BO9" s="180">
        <v>0.17899999999999999</v>
      </c>
      <c r="BP9" s="154">
        <f>BO9*$B$2</f>
        <v>394.62697999999995</v>
      </c>
      <c r="BQ9" s="180">
        <v>0.17899999999999999</v>
      </c>
      <c r="BR9" s="154">
        <f>BQ9*$B$2</f>
        <v>394.62697999999995</v>
      </c>
      <c r="BS9" s="180">
        <v>0.17899999999999999</v>
      </c>
      <c r="BT9" s="154">
        <f>BS9*$B$2</f>
        <v>394.62697999999995</v>
      </c>
      <c r="BU9" s="180">
        <v>0.17899999999999999</v>
      </c>
      <c r="BV9" s="154">
        <f>BU9*$B$2</f>
        <v>394.62697999999995</v>
      </c>
      <c r="BW9" s="180">
        <v>0.17899999999999999</v>
      </c>
      <c r="BX9" s="154">
        <f>BW9*$B$2</f>
        <v>394.62697999999995</v>
      </c>
      <c r="BY9" s="180">
        <v>0.17899999999999999</v>
      </c>
      <c r="BZ9" s="154">
        <f>BY9*$B$2</f>
        <v>394.62697999999995</v>
      </c>
      <c r="CA9" s="180">
        <v>0.17899999999999999</v>
      </c>
      <c r="CB9" s="154">
        <f>CA9*$B$2</f>
        <v>394.62697999999995</v>
      </c>
      <c r="CC9" s="180">
        <v>0.17899999999999999</v>
      </c>
      <c r="CD9" s="154">
        <f>CC9*$B$2</f>
        <v>394.62697999999995</v>
      </c>
      <c r="CE9" s="180">
        <v>0.17899999999999999</v>
      </c>
      <c r="CF9" s="154">
        <f>CE9*$B$2</f>
        <v>394.62697999999995</v>
      </c>
      <c r="CG9" s="215">
        <v>0.17899999999999999</v>
      </c>
      <c r="CH9" s="228">
        <f>CG9*$B$2</f>
        <v>394.62697999999995</v>
      </c>
      <c r="CI9" s="209"/>
      <c r="CJ9" s="164"/>
      <c r="CK9" s="215">
        <v>0.17899999999999999</v>
      </c>
      <c r="CL9" s="228">
        <f>CK9*$B$2</f>
        <v>394.62697999999995</v>
      </c>
      <c r="CM9" s="209"/>
      <c r="CN9" s="164"/>
      <c r="CO9" s="215">
        <v>0.17899999999999999</v>
      </c>
      <c r="CP9" s="228">
        <f>CO9*$B$2</f>
        <v>394.62697999999995</v>
      </c>
      <c r="CQ9" s="209"/>
      <c r="CR9" s="164"/>
      <c r="CS9" s="215">
        <v>0.17899999999999999</v>
      </c>
      <c r="CT9" s="228">
        <f>CS9*$B$2</f>
        <v>394.62697999999995</v>
      </c>
      <c r="CU9" s="209"/>
      <c r="CV9" s="164"/>
      <c r="CW9" s="215">
        <v>0.17899999999999999</v>
      </c>
      <c r="CX9" s="228">
        <f>CW9*$B$2</f>
        <v>394.62697999999995</v>
      </c>
      <c r="CY9" s="209"/>
      <c r="CZ9" s="164"/>
      <c r="DA9" s="215">
        <v>0.17899999999999999</v>
      </c>
      <c r="DB9" s="228">
        <f>DA9*$B$2</f>
        <v>394.62697999999995</v>
      </c>
      <c r="DC9" s="209"/>
      <c r="DD9" s="164"/>
      <c r="DE9" s="215">
        <v>0.17899999999999999</v>
      </c>
      <c r="DF9" s="228">
        <f>DE9*$B$2</f>
        <v>394.62697999999995</v>
      </c>
      <c r="DG9" s="209"/>
      <c r="DH9" s="164"/>
      <c r="DI9" s="215">
        <v>0.17899999999999999</v>
      </c>
      <c r="DJ9" s="228">
        <f>DI9*$B$2</f>
        <v>394.62697999999995</v>
      </c>
      <c r="DK9" s="209"/>
      <c r="DL9" s="164"/>
      <c r="DM9" s="215">
        <v>0.17899999999999999</v>
      </c>
      <c r="DN9" s="228">
        <f>DM9*$B$2</f>
        <v>394.62697999999995</v>
      </c>
      <c r="DO9" s="209"/>
      <c r="DP9" s="164"/>
      <c r="DQ9" s="215">
        <v>0.17899999999999999</v>
      </c>
      <c r="DR9" s="228">
        <f>DQ9*$B$2</f>
        <v>394.62697999999995</v>
      </c>
      <c r="DS9" s="209"/>
      <c r="DT9" s="164"/>
      <c r="DU9" s="215">
        <v>0.17899999999999999</v>
      </c>
      <c r="DV9" s="228">
        <f>DU9*$B$2</f>
        <v>394.62697999999995</v>
      </c>
      <c r="DW9" s="209"/>
      <c r="DX9" s="164"/>
      <c r="DY9" s="215">
        <v>0.17899999999999999</v>
      </c>
      <c r="DZ9" s="228">
        <f>DY9*$B$2</f>
        <v>394.62697999999995</v>
      </c>
      <c r="EA9" s="209"/>
      <c r="EB9" s="164"/>
      <c r="EC9" s="215">
        <v>0.17899999999999999</v>
      </c>
      <c r="ED9" s="228">
        <f>EC9*$B$2</f>
        <v>394.62697999999995</v>
      </c>
      <c r="EE9" s="209"/>
      <c r="EF9" s="164"/>
    </row>
    <row r="10" spans="2:138" x14ac:dyDescent="0.35">
      <c r="B10" s="181" t="s">
        <v>156</v>
      </c>
      <c r="C10" s="182">
        <f t="shared" ref="C10:H10" si="48">+((C6+C7)/C8)+C9</f>
        <v>0.88534632034632033</v>
      </c>
      <c r="D10" s="181">
        <f t="shared" si="48"/>
        <v>1951.8522047619047</v>
      </c>
      <c r="E10" s="182">
        <f t="shared" si="48"/>
        <v>0.90563852813852819</v>
      </c>
      <c r="F10" s="181">
        <f t="shared" si="48"/>
        <v>1996.5888119047618</v>
      </c>
      <c r="G10" s="182">
        <f t="shared" si="48"/>
        <v>0.90563852813852819</v>
      </c>
      <c r="H10" s="181">
        <f t="shared" si="48"/>
        <v>1996.5888119047618</v>
      </c>
      <c r="I10" s="182">
        <f t="shared" ref="I10:N10" si="49">+((I6+I7)/I8)+I9</f>
        <v>0.90563852813852819</v>
      </c>
      <c r="J10" s="181">
        <f t="shared" si="49"/>
        <v>1996.5888119047618</v>
      </c>
      <c r="K10" s="182">
        <f t="shared" si="49"/>
        <v>0.92593073593073605</v>
      </c>
      <c r="L10" s="181">
        <f t="shared" si="49"/>
        <v>2041.3254190476189</v>
      </c>
      <c r="M10" s="182">
        <f t="shared" si="49"/>
        <v>0.98680735930735941</v>
      </c>
      <c r="N10" s="181">
        <f t="shared" si="49"/>
        <v>2175.5352404761907</v>
      </c>
      <c r="O10" s="182">
        <f t="shared" ref="O10:Q10" si="50">+((O6+O7)/O8)+O9</f>
        <v>1.0747402597402598</v>
      </c>
      <c r="P10" s="181">
        <f t="shared" ref="P10:S10" si="51">+((P6+P7)/P8)+P9</f>
        <v>2369.3938714285714</v>
      </c>
      <c r="Q10" s="182">
        <f t="shared" si="50"/>
        <v>1.1288528138528138</v>
      </c>
      <c r="R10" s="181">
        <f t="shared" si="51"/>
        <v>2488.6914904761907</v>
      </c>
      <c r="S10" s="182">
        <f t="shared" si="51"/>
        <v>1.1288528138528138</v>
      </c>
      <c r="T10" s="181">
        <f t="shared" ref="T10:U10" si="52">+((T6+T7)/T8)+T9</f>
        <v>2488.6914904761907</v>
      </c>
      <c r="U10" s="182">
        <f t="shared" si="52"/>
        <v>1.1288528138528138</v>
      </c>
      <c r="V10" s="181">
        <f t="shared" ref="V10:W10" si="53">+((V6+V7)/V8)+V9</f>
        <v>2488.6914904761907</v>
      </c>
      <c r="W10" s="182">
        <f t="shared" si="53"/>
        <v>1.0747402597402598</v>
      </c>
      <c r="X10" s="181">
        <f t="shared" ref="X10:Y10" si="54">+((X6+X7)/X8)+X9</f>
        <v>2369.3938714285714</v>
      </c>
      <c r="Y10" s="182">
        <f t="shared" si="54"/>
        <v>0.93945887445887455</v>
      </c>
      <c r="Z10" s="181">
        <f t="shared" ref="Z10:AA10" si="55">+((Z6+Z7)/Z8)+Z9</f>
        <v>2071.1498238095237</v>
      </c>
      <c r="AA10" s="182">
        <f t="shared" si="55"/>
        <v>0.8041774891774891</v>
      </c>
      <c r="AB10" s="181">
        <f t="shared" ref="AB10:AC10" si="56">+((AB6+AB7)/AB8)+AB9</f>
        <v>1772.9057761904762</v>
      </c>
      <c r="AC10" s="182">
        <f t="shared" si="56"/>
        <v>0.7635930735930736</v>
      </c>
      <c r="AD10" s="181">
        <f t="shared" ref="AD10:AE10" si="57">+((AD6+AD7)/AD8)+AD9</f>
        <v>1683.432561904762</v>
      </c>
      <c r="AE10" s="182">
        <f t="shared" si="57"/>
        <v>0.7635930735930736</v>
      </c>
      <c r="AF10" s="181">
        <f t="shared" ref="AF10:AG10" si="58">+((AF6+AF7)/AF8)+AF9</f>
        <v>1683.432561904762</v>
      </c>
      <c r="AG10" s="182">
        <f t="shared" si="58"/>
        <v>0.67573717948717948</v>
      </c>
      <c r="AH10" s="181">
        <f t="shared" ref="AH10:AI10" si="59">+((AH6+AH7)/AH8)+AH9</f>
        <v>1489.7437006410255</v>
      </c>
      <c r="AI10" s="182">
        <f t="shared" si="59"/>
        <v>0.70185897435897449</v>
      </c>
      <c r="AJ10" s="181">
        <f t="shared" ref="AJ10:AK10" si="60">+((AJ6+AJ7)/AJ8)+AJ9</f>
        <v>1547.332332051282</v>
      </c>
      <c r="AK10" s="182">
        <f t="shared" si="60"/>
        <v>0.72990384615384629</v>
      </c>
      <c r="AL10" s="181">
        <f t="shared" ref="AL10:AM10" si="61">+((AL6+AL7)/AL8)+AL9</f>
        <v>1609.1606173076923</v>
      </c>
      <c r="AM10" s="182">
        <f t="shared" si="61"/>
        <v>0.75185897435897431</v>
      </c>
      <c r="AN10" s="181">
        <f t="shared" ref="AN10:AO10" si="62">+((AN6+AN7)/AN8)+AN9</f>
        <v>1657.563332051282</v>
      </c>
      <c r="AO10" s="182">
        <f t="shared" si="62"/>
        <v>0.7549038461538462</v>
      </c>
      <c r="AP10" s="181">
        <f t="shared" ref="AP10:AQ10" si="63">+((AP6+AP7)/AP8)+AP9</f>
        <v>1664.2761173076922</v>
      </c>
      <c r="AQ10" s="182">
        <f t="shared" si="63"/>
        <v>0.7549038461538462</v>
      </c>
      <c r="AR10" s="181">
        <f t="shared" ref="AR10:AS10" si="64">+((AR6+AR7)/AR8)+AR9</f>
        <v>1664.2761173076922</v>
      </c>
      <c r="AS10" s="182">
        <f t="shared" si="64"/>
        <v>0.71802243589743586</v>
      </c>
      <c r="AT10" s="181">
        <f t="shared" ref="AT10" si="65">+((AT6+AT7)/AT8)+AT9</f>
        <v>1582.9666226282052</v>
      </c>
      <c r="AU10" s="182">
        <v>0.60920833333333335</v>
      </c>
      <c r="AV10" s="181">
        <v>1343.0728758333332</v>
      </c>
      <c r="AW10" s="182">
        <f t="shared" ref="AW10:AX10" si="66">+((AW6+AW7)/AW8)+AW9</f>
        <v>0.58821474358974357</v>
      </c>
      <c r="AX10" s="181">
        <f t="shared" si="66"/>
        <v>1296.7899880128205</v>
      </c>
      <c r="AY10" s="182">
        <f t="shared" ref="AY10:AZ10" si="67">+((AY6+AY7)/AY8)+AY9</f>
        <v>0.59061858974358983</v>
      </c>
      <c r="AZ10" s="181">
        <f t="shared" si="67"/>
        <v>1302.0895553205128</v>
      </c>
      <c r="BA10" s="182">
        <f t="shared" ref="BA10:BB10" si="68">+((BA6+BA7)/BA8)+BA9</f>
        <v>0.62138782051282049</v>
      </c>
      <c r="BB10" s="181">
        <f t="shared" si="68"/>
        <v>1369.9240168589743</v>
      </c>
      <c r="BC10" s="182">
        <f t="shared" ref="BC10:BD10" si="69">+((BC6+BC7)/BC8)+BC9</f>
        <v>0.64029807692307694</v>
      </c>
      <c r="BD10" s="181">
        <f t="shared" si="69"/>
        <v>1411.6139463461539</v>
      </c>
      <c r="BE10" s="182">
        <f t="shared" ref="BE10:BF10" si="70">+((BE6+BE7)/BE8)+BE9</f>
        <v>0.66241346153846159</v>
      </c>
      <c r="BF10" s="181">
        <f t="shared" si="70"/>
        <v>1460.3699655769231</v>
      </c>
      <c r="BG10" s="182">
        <f t="shared" ref="BG10:BH10" si="71">+((BG6+BG7)/BG8)+BG9</f>
        <v>0.67042628205128207</v>
      </c>
      <c r="BH10" s="181">
        <f t="shared" si="71"/>
        <v>1478.0351899358973</v>
      </c>
      <c r="BI10" s="182">
        <f t="shared" ref="BI10:BJ10" si="72">+((BI6+BI7)/BI8)+BI9</f>
        <v>0.68244551282051269</v>
      </c>
      <c r="BJ10" s="181">
        <f t="shared" si="72"/>
        <v>1504.5330264743588</v>
      </c>
      <c r="BK10" s="182">
        <f t="shared" ref="BK10:BL10" si="73">+((BK6+BK7)/BK8)+BK9</f>
        <v>0.69238141025641031</v>
      </c>
      <c r="BL10" s="181">
        <f t="shared" si="73"/>
        <v>1526.4379046794872</v>
      </c>
      <c r="BM10" s="182">
        <f t="shared" ref="BM10:BN10" si="74">+((BM6+BM7)/BM8)+BM9</f>
        <v>0.71145192307692295</v>
      </c>
      <c r="BN10" s="181">
        <f t="shared" si="74"/>
        <v>1568.4811386538461</v>
      </c>
      <c r="BO10" s="182">
        <f t="shared" ref="BO10:BP10" si="75">+((BO6+BO7)/BO8)+BO9</f>
        <v>0.73148397435897428</v>
      </c>
      <c r="BP10" s="181">
        <f t="shared" si="75"/>
        <v>1612.6441995512821</v>
      </c>
      <c r="BQ10" s="182">
        <f t="shared" ref="BQ10:BR10" si="76">+((BQ6+BQ7)/BQ8)+BQ9</f>
        <v>0.74446474358974357</v>
      </c>
      <c r="BR10" s="181">
        <f t="shared" si="76"/>
        <v>1641.2618630128204</v>
      </c>
      <c r="BS10" s="182">
        <f t="shared" ref="BS10:BT10" si="77">+((BS6+BS7)/BS8)+BS9</f>
        <v>0.76946474358974348</v>
      </c>
      <c r="BT10" s="181">
        <f t="shared" si="77"/>
        <v>1696.3773630128205</v>
      </c>
      <c r="BU10" s="182">
        <f t="shared" ref="BU10:BV10" si="78">+((BU6+BU7)/BU8)+BU9</f>
        <v>0.7925416666666667</v>
      </c>
      <c r="BV10" s="181">
        <f t="shared" si="78"/>
        <v>1747.2532091666667</v>
      </c>
      <c r="BW10" s="182">
        <f t="shared" ref="BW10:BX10" si="79">+((BW6+BW7)/BW8)+BW9</f>
        <v>0.80055448717948718</v>
      </c>
      <c r="BX10" s="181">
        <f t="shared" si="79"/>
        <v>1764.9184335256409</v>
      </c>
      <c r="BY10" s="182">
        <f t="shared" ref="BY10:BZ10" si="80">+((BY6+BY7)/BY8)+BY9</f>
        <v>0.79654807692307683</v>
      </c>
      <c r="BZ10" s="181">
        <f t="shared" si="80"/>
        <v>1756.0858213461538</v>
      </c>
      <c r="CA10" s="182">
        <f t="shared" ref="CA10:CB10" si="81">+((CA6+CA7)/CA8)+CA9</f>
        <v>0.78853525641025635</v>
      </c>
      <c r="CB10" s="181">
        <f t="shared" si="81"/>
        <v>1738.4205969871796</v>
      </c>
      <c r="CC10" s="182">
        <f t="shared" ref="CC10:CD10" si="82">+((CC6+CC7)/CC8)+CC9</f>
        <v>0.74446474358974357</v>
      </c>
      <c r="CD10" s="181">
        <f t="shared" si="82"/>
        <v>1641.2618630128204</v>
      </c>
      <c r="CE10" s="182">
        <f t="shared" ref="CE10:CF10" si="83">+((CE6+CE7)/CE8)+CE9</f>
        <v>0.75568269230769225</v>
      </c>
      <c r="CF10" s="181">
        <f t="shared" si="83"/>
        <v>1665.9931771153845</v>
      </c>
      <c r="CG10" s="218">
        <f t="shared" ref="CG10" si="84">+((CG6+CG7)/CG8)+CG9</f>
        <v>0.76850320512820525</v>
      </c>
      <c r="CH10" s="228">
        <f>+((CH6+CH7)/CH8)+CH9</f>
        <v>1694.2575360897436</v>
      </c>
      <c r="CI10" s="209">
        <f>CH10/$CH$15</f>
        <v>0.92681247278768997</v>
      </c>
      <c r="CJ10" s="219">
        <f>CI10*$CI$50</f>
        <v>1196.6117978524358</v>
      </c>
      <c r="CK10" s="218">
        <f t="shared" ref="CK10" si="85">+((CK6+CK7)/CK8)+CK9</f>
        <v>0.77250961538461538</v>
      </c>
      <c r="CL10" s="228">
        <f>+((CL6+CL7)/CL8)+CL9</f>
        <v>1703.0901482692304</v>
      </c>
      <c r="CM10" s="209">
        <f>CL10/CL15</f>
        <v>0.92713315592482914</v>
      </c>
      <c r="CN10" s="219">
        <f>CM10*CM50</f>
        <v>1326.9055773663886</v>
      </c>
      <c r="CO10" s="218">
        <f t="shared" ref="CO10" si="86">+((CO6+CO7)/CO8)+CO9</f>
        <v>0.77058653846153846</v>
      </c>
      <c r="CP10" s="228">
        <f>+((CP6+CP7)/CP8)+CP9</f>
        <v>1698.850494423077</v>
      </c>
      <c r="CQ10" s="209">
        <f>CP10/CP15</f>
        <v>0.92751333351917198</v>
      </c>
      <c r="CR10" s="219">
        <f>CQ10*CQ50</f>
        <v>1212.9792530180769</v>
      </c>
      <c r="CS10" s="218">
        <f t="shared" ref="CS10" si="87">+((CS6+CS7)/CS8)+CS9</f>
        <v>0.76049038461538454</v>
      </c>
      <c r="CT10" s="228">
        <f>+((CT6+CT7)/CT8)+CT9</f>
        <v>1676.5923117307693</v>
      </c>
      <c r="CU10" s="209">
        <f>CT10/CT15</f>
        <v>0.92633316975775826</v>
      </c>
      <c r="CV10" s="219">
        <f>CU10*CU50</f>
        <v>1676.5923117307693</v>
      </c>
      <c r="CW10" s="218">
        <f t="shared" ref="CW10" si="88">+((CW6+CW7)/CW8)+CW9</f>
        <v>0.73917628205128216</v>
      </c>
      <c r="CX10" s="228">
        <f>+((CX6+CX7)/CX8)+CX9</f>
        <v>1629.6028149358974</v>
      </c>
      <c r="CY10" s="209">
        <f>CX10/CX15</f>
        <v>0.92596120404335214</v>
      </c>
      <c r="CZ10" s="219">
        <f>CY10*CY50</f>
        <v>667.82058003385987</v>
      </c>
      <c r="DA10" s="218">
        <f t="shared" ref="DA10" si="89">+((DA6+DA7)/DA8)+DA9</f>
        <v>0.66930448717948721</v>
      </c>
      <c r="DB10" s="228">
        <f>+((DB6+DB7)/DB8)+DB9</f>
        <v>1475.5620585256411</v>
      </c>
      <c r="DC10" s="209">
        <f>DB10/DB15</f>
        <v>0.9211599412802024</v>
      </c>
      <c r="DD10" s="219">
        <f>DC10*DC50</f>
        <v>1207.056142168618</v>
      </c>
      <c r="DE10" s="218">
        <f t="shared" ref="DE10" si="90">+((DE6+DE7)/DE8)+DE9</f>
        <v>0.58629166666666666</v>
      </c>
      <c r="DF10" s="228">
        <f>+((DF6+DF7)/DF8)+DF9</f>
        <v>1292.5503341666665</v>
      </c>
      <c r="DG10" s="209">
        <f>DF10/DF15</f>
        <v>0.91638937148336042</v>
      </c>
      <c r="DH10" s="219">
        <f>DG10*DG50</f>
        <v>892.39403018542941</v>
      </c>
      <c r="DI10" s="218">
        <f t="shared" ref="DI10" si="91">+((DI6+DI7)/DI8)+DI9</f>
        <v>0.575192102063522</v>
      </c>
      <c r="DJ10" s="228">
        <f>+((DJ6+DJ7)/DJ8)+DJ9</f>
        <v>1268.080012051282</v>
      </c>
      <c r="DK10" s="209">
        <f>DJ10/DJ15</f>
        <v>0.91636916998289963</v>
      </c>
      <c r="DL10" s="219">
        <f>DK10*DK50</f>
        <v>1268.080012051282</v>
      </c>
      <c r="DM10" s="218">
        <f t="shared" ref="DM10" si="92">+((DM6+DM7)/DM8)+DM9</f>
        <v>0.57237962757812344</v>
      </c>
      <c r="DN10" s="228">
        <f>+((DN6+DN7)/DN8)+DN9</f>
        <v>1261.8795745512823</v>
      </c>
      <c r="DO10" s="209">
        <f>DN10/DN15</f>
        <v>0.91695020567359398</v>
      </c>
      <c r="DP10" s="219">
        <f>DO10*DO50</f>
        <v>1261.8795745512823</v>
      </c>
      <c r="DQ10" s="218">
        <f t="shared" ref="DQ10" si="93">+((DQ6+DQ7)/DQ8)+DQ9</f>
        <v>0.59073683283752088</v>
      </c>
      <c r="DR10" s="228">
        <f>+((DR6+DR7)/DR8)+DR9</f>
        <v>1302.3502364102551</v>
      </c>
      <c r="DS10" s="209">
        <f>DR10/DR15</f>
        <v>0.91814005245366703</v>
      </c>
      <c r="DT10" s="219">
        <f>DS10*DS50</f>
        <v>1302.3502364102551</v>
      </c>
      <c r="DU10" s="218">
        <f t="shared" ref="DU10" si="94">+((DU6+DU7)/DU8)+DU9</f>
        <v>0.59622556509535107</v>
      </c>
      <c r="DV10" s="228">
        <f>+((DV6+DV7)/DV8)+DV9</f>
        <v>1314.4508053205129</v>
      </c>
      <c r="DW10" s="209">
        <f>DV10/DV15</f>
        <v>0.91905199265768067</v>
      </c>
      <c r="DX10" s="219">
        <f>DW10*DW50</f>
        <v>1314.4508053205129</v>
      </c>
      <c r="DY10" s="218">
        <f t="shared" ref="DY10" si="95">+((DY6+DY7)/DY8)+DY9</f>
        <v>0.59503967841774696</v>
      </c>
      <c r="DZ10" s="228">
        <f>+((DZ6+DZ7)/DZ8)+DZ9</f>
        <v>1311.8363758333332</v>
      </c>
      <c r="EA10" s="209">
        <f>DZ10/DZ15</f>
        <v>0.91890128516937519</v>
      </c>
      <c r="EB10" s="219">
        <f>EA10*EA50</f>
        <v>1311.8363758333332</v>
      </c>
      <c r="EC10" s="218">
        <f t="shared" ref="EC10" si="96">+((EC6+EC7)/EC8)+EC9</f>
        <v>0.58565675071859613</v>
      </c>
      <c r="ED10" s="228">
        <f>+((ED6+ED7)/ED8)+ED9</f>
        <v>1291.1505857692314</v>
      </c>
      <c r="EE10" s="209">
        <f>ED10/ED15</f>
        <v>0.91827954323311012</v>
      </c>
      <c r="EF10" s="219">
        <f>EE10*EE50</f>
        <v>1291.1505857692314</v>
      </c>
    </row>
    <row r="11" spans="2:138" s="178" customFormat="1" x14ac:dyDescent="0.35">
      <c r="B11" s="178" t="s">
        <v>157</v>
      </c>
      <c r="C11" s="180">
        <v>2.9000000000000001E-2</v>
      </c>
      <c r="D11" s="178">
        <f>+C11*$B$2</f>
        <v>63.933979999999998</v>
      </c>
      <c r="E11" s="178">
        <v>2.9000000000000001E-2</v>
      </c>
      <c r="F11" s="178">
        <f>+E11*$B$2</f>
        <v>63.933979999999998</v>
      </c>
      <c r="G11" s="178">
        <v>2.9000000000000001E-2</v>
      </c>
      <c r="H11" s="178">
        <f>+G11*$B$2</f>
        <v>63.933979999999998</v>
      </c>
      <c r="I11" s="178">
        <v>2.9000000000000001E-2</v>
      </c>
      <c r="J11" s="178">
        <f>+I11*$B$2</f>
        <v>63.933979999999998</v>
      </c>
      <c r="K11" s="178">
        <v>2.9000000000000001E-2</v>
      </c>
      <c r="L11" s="178">
        <f>+K11*$B$2</f>
        <v>63.933979999999998</v>
      </c>
      <c r="M11" s="178">
        <f>K11</f>
        <v>2.9000000000000001E-2</v>
      </c>
      <c r="N11" s="178">
        <f>M11*$B$2</f>
        <v>63.933979999999998</v>
      </c>
      <c r="O11" s="178">
        <f>M11</f>
        <v>2.9000000000000001E-2</v>
      </c>
      <c r="P11" s="178">
        <f>O11*$B$2</f>
        <v>63.933979999999998</v>
      </c>
      <c r="Q11" s="178">
        <f>O11</f>
        <v>2.9000000000000001E-2</v>
      </c>
      <c r="R11" s="178">
        <f>Q11*$B$2</f>
        <v>63.933979999999998</v>
      </c>
      <c r="S11" s="178">
        <f>Q11</f>
        <v>2.9000000000000001E-2</v>
      </c>
      <c r="T11" s="178">
        <f>S11*$B$2</f>
        <v>63.933979999999998</v>
      </c>
      <c r="U11" s="178">
        <f>S11</f>
        <v>2.9000000000000001E-2</v>
      </c>
      <c r="V11" s="178">
        <f>U11*$B$2</f>
        <v>63.933979999999998</v>
      </c>
      <c r="W11" s="178">
        <f>U11</f>
        <v>2.9000000000000001E-2</v>
      </c>
      <c r="X11" s="178">
        <f>W11*$B$2</f>
        <v>63.933979999999998</v>
      </c>
      <c r="Y11" s="178">
        <f>W11</f>
        <v>2.9000000000000001E-2</v>
      </c>
      <c r="Z11" s="178">
        <f>Y11*$B$2</f>
        <v>63.933979999999998</v>
      </c>
      <c r="AA11" s="178">
        <f>Y11</f>
        <v>2.9000000000000001E-2</v>
      </c>
      <c r="AB11" s="178">
        <f>AA11*$B$2</f>
        <v>63.933979999999998</v>
      </c>
      <c r="AC11" s="178">
        <f>AA11</f>
        <v>2.9000000000000001E-2</v>
      </c>
      <c r="AD11" s="178">
        <f>AC11*$B$2</f>
        <v>63.933979999999998</v>
      </c>
      <c r="AE11" s="178">
        <f>AC11</f>
        <v>2.9000000000000001E-2</v>
      </c>
      <c r="AF11" s="178">
        <f>AE11*$B$2</f>
        <v>63.933979999999998</v>
      </c>
      <c r="AG11" s="178">
        <f>AE11</f>
        <v>2.9000000000000001E-2</v>
      </c>
      <c r="AH11" s="178">
        <f>AG11*$B$2</f>
        <v>63.933979999999998</v>
      </c>
      <c r="AI11" s="178">
        <f>AG11</f>
        <v>2.9000000000000001E-2</v>
      </c>
      <c r="AJ11" s="178">
        <f>AI11*$B$2</f>
        <v>63.933979999999998</v>
      </c>
      <c r="AK11" s="178">
        <f>AI11</f>
        <v>2.9000000000000001E-2</v>
      </c>
      <c r="AL11" s="178">
        <f>AK11*$B$2</f>
        <v>63.933979999999998</v>
      </c>
      <c r="AM11" s="178">
        <f>AK11</f>
        <v>2.9000000000000001E-2</v>
      </c>
      <c r="AN11" s="178">
        <f>AM11*$B$2</f>
        <v>63.933979999999998</v>
      </c>
      <c r="AO11" s="178">
        <f>AM11</f>
        <v>2.9000000000000001E-2</v>
      </c>
      <c r="AP11" s="178">
        <f>AO11*$B$2</f>
        <v>63.933979999999998</v>
      </c>
      <c r="AQ11" s="178">
        <f>AO11</f>
        <v>2.9000000000000001E-2</v>
      </c>
      <c r="AR11" s="178">
        <f>AQ11*$B$2</f>
        <v>63.933979999999998</v>
      </c>
      <c r="AS11" s="178">
        <f>AQ11</f>
        <v>2.9000000000000001E-2</v>
      </c>
      <c r="AT11" s="178">
        <f>AS11*$B$2</f>
        <v>63.933979999999998</v>
      </c>
      <c r="AU11" s="178">
        <v>2.9000000000000001E-2</v>
      </c>
      <c r="AV11" s="178">
        <v>63.933979999999998</v>
      </c>
      <c r="AW11" s="178">
        <f>AU11</f>
        <v>2.9000000000000001E-2</v>
      </c>
      <c r="AX11" s="178">
        <f>AW11*$B$2</f>
        <v>63.933979999999998</v>
      </c>
      <c r="AY11" s="178">
        <f>AW11</f>
        <v>2.9000000000000001E-2</v>
      </c>
      <c r="AZ11" s="178">
        <f>AY11*$B$2</f>
        <v>63.933979999999998</v>
      </c>
      <c r="BA11" s="178">
        <f>AY11</f>
        <v>2.9000000000000001E-2</v>
      </c>
      <c r="BB11" s="178">
        <f>BA11*$B$2</f>
        <v>63.933979999999998</v>
      </c>
      <c r="BC11" s="178">
        <f>BA11</f>
        <v>2.9000000000000001E-2</v>
      </c>
      <c r="BD11" s="178">
        <f>BC11*$B$2</f>
        <v>63.933979999999998</v>
      </c>
      <c r="BE11" s="178">
        <f>BC11</f>
        <v>2.9000000000000001E-2</v>
      </c>
      <c r="BF11" s="178">
        <f>BE11*$B$2</f>
        <v>63.933979999999998</v>
      </c>
      <c r="BG11" s="178">
        <f>BE11</f>
        <v>2.9000000000000001E-2</v>
      </c>
      <c r="BH11" s="178">
        <f>BG11*$B$2</f>
        <v>63.933979999999998</v>
      </c>
      <c r="BI11" s="178">
        <f>BG11</f>
        <v>2.9000000000000001E-2</v>
      </c>
      <c r="BJ11" s="178">
        <f>BI11*$B$2</f>
        <v>63.933979999999998</v>
      </c>
      <c r="BK11" s="178">
        <f>BI11</f>
        <v>2.9000000000000001E-2</v>
      </c>
      <c r="BL11" s="178">
        <f>BK11*$B$2</f>
        <v>63.933979999999998</v>
      </c>
      <c r="BM11" s="178">
        <f>BK11</f>
        <v>2.9000000000000001E-2</v>
      </c>
      <c r="BN11" s="178">
        <f>BM11*$B$2</f>
        <v>63.933979999999998</v>
      </c>
      <c r="BO11" s="178">
        <f>BM11</f>
        <v>2.9000000000000001E-2</v>
      </c>
      <c r="BP11" s="178">
        <f>BO11*$B$2</f>
        <v>63.933979999999998</v>
      </c>
      <c r="BQ11" s="178">
        <f>BO11</f>
        <v>2.9000000000000001E-2</v>
      </c>
      <c r="BR11" s="178">
        <f>BQ11*$B$2</f>
        <v>63.933979999999998</v>
      </c>
      <c r="BS11" s="178">
        <f>BQ11</f>
        <v>2.9000000000000001E-2</v>
      </c>
      <c r="BT11" s="178">
        <f>BS11*$B$2</f>
        <v>63.933979999999998</v>
      </c>
      <c r="BU11" s="178">
        <f>BS11</f>
        <v>2.9000000000000001E-2</v>
      </c>
      <c r="BV11" s="178">
        <f>BU11*$B$2</f>
        <v>63.933979999999998</v>
      </c>
      <c r="BW11" s="178">
        <f>BU11</f>
        <v>2.9000000000000001E-2</v>
      </c>
      <c r="BX11" s="178">
        <f>BW11*$B$2</f>
        <v>63.933979999999998</v>
      </c>
      <c r="BY11" s="178">
        <f>BW11</f>
        <v>2.9000000000000001E-2</v>
      </c>
      <c r="BZ11" s="178">
        <f>BY11*$B$2</f>
        <v>63.933979999999998</v>
      </c>
      <c r="CA11" s="178">
        <f>BY11</f>
        <v>2.9000000000000001E-2</v>
      </c>
      <c r="CB11" s="178">
        <f>CA11*$B$2</f>
        <v>63.933979999999998</v>
      </c>
      <c r="CC11" s="178">
        <f>CA11</f>
        <v>2.9000000000000001E-2</v>
      </c>
      <c r="CD11" s="178">
        <f>CC11*$B$2</f>
        <v>63.933979999999998</v>
      </c>
      <c r="CE11" s="178">
        <f>CC11</f>
        <v>2.9000000000000001E-2</v>
      </c>
      <c r="CF11" s="178">
        <f>CE11*$B$2</f>
        <v>63.933979999999998</v>
      </c>
      <c r="CG11" s="220">
        <f>CE11</f>
        <v>2.9000000000000001E-2</v>
      </c>
      <c r="CH11" s="228">
        <f>CG11*$B$2</f>
        <v>63.933979999999998</v>
      </c>
      <c r="CI11" s="209">
        <f>CH11/$CH$15</f>
        <v>3.4973909713700124E-2</v>
      </c>
      <c r="CJ11" s="219">
        <f>CI11*$CI$50</f>
        <v>45.154973858477973</v>
      </c>
      <c r="CK11" s="220">
        <f>CG11</f>
        <v>2.9000000000000001E-2</v>
      </c>
      <c r="CL11" s="228">
        <f>CK11*$B$2</f>
        <v>63.933979999999998</v>
      </c>
      <c r="CM11" s="209">
        <f>CL11/CL$15</f>
        <v>3.4804565517846248E-2</v>
      </c>
      <c r="CN11" s="219">
        <f>CM11*CM50</f>
        <v>49.812016546184744</v>
      </c>
      <c r="CO11" s="220">
        <f>CK11</f>
        <v>2.9000000000000001E-2</v>
      </c>
      <c r="CP11" s="228">
        <f>CO11*$B$2</f>
        <v>63.933979999999998</v>
      </c>
      <c r="CQ11" s="209">
        <f>CP11/CP$15</f>
        <v>3.4905731322217373E-2</v>
      </c>
      <c r="CR11" s="219">
        <f>CQ11*CQ50</f>
        <v>45.648861719999999</v>
      </c>
      <c r="CS11" s="220">
        <f>CO11</f>
        <v>2.9000000000000001E-2</v>
      </c>
      <c r="CT11" s="228">
        <f>CS11*$B$2</f>
        <v>63.933979999999998</v>
      </c>
      <c r="CU11" s="209">
        <f>CT11/CT$15</f>
        <v>3.532413093764649E-2</v>
      </c>
      <c r="CV11" s="219">
        <f>CU11*CU50</f>
        <v>63.933979999999991</v>
      </c>
      <c r="CW11" s="220">
        <f>CS11</f>
        <v>2.9000000000000001E-2</v>
      </c>
      <c r="CX11" s="228">
        <f>CW11*$B$2</f>
        <v>63.933979999999998</v>
      </c>
      <c r="CY11" s="209">
        <f>CX11/CX$15</f>
        <v>3.632810679847305E-2</v>
      </c>
      <c r="CZ11" s="219">
        <f>CY11*CY50</f>
        <v>26.200511692876965</v>
      </c>
      <c r="DA11" s="220">
        <f>CW11</f>
        <v>2.9000000000000001E-2</v>
      </c>
      <c r="DB11" s="228">
        <f>DA11*$B$2</f>
        <v>63.933979999999998</v>
      </c>
      <c r="DC11" s="209">
        <f>DB11/DB$15</f>
        <v>3.9912534293173027E-2</v>
      </c>
      <c r="DD11" s="219">
        <f>DC11*DC50</f>
        <v>52.300005144747722</v>
      </c>
      <c r="DE11" s="220">
        <f>DA11</f>
        <v>2.9000000000000001E-2</v>
      </c>
      <c r="DF11" s="228">
        <f>DE11*$B$2</f>
        <v>63.933979999999998</v>
      </c>
      <c r="DG11" s="209">
        <f>DF11/DF$15</f>
        <v>4.5327766509304167E-2</v>
      </c>
      <c r="DH11" s="219">
        <f>DG11*DG50</f>
        <v>44.140874494283203</v>
      </c>
      <c r="DI11" s="220">
        <f>DE11</f>
        <v>2.9000000000000001E-2</v>
      </c>
      <c r="DJ11" s="228">
        <f>DI11*$B$2</f>
        <v>63.933979999999998</v>
      </c>
      <c r="DK11" s="209">
        <f>DJ11/DJ$15</f>
        <v>4.6201444411643325E-2</v>
      </c>
      <c r="DL11" s="219">
        <f>DK11*DK50</f>
        <v>63.933979999999998</v>
      </c>
      <c r="DM11" s="220">
        <f>DI11</f>
        <v>2.9000000000000001E-2</v>
      </c>
      <c r="DN11" s="228">
        <f>DM11*$B$2</f>
        <v>63.933979999999998</v>
      </c>
      <c r="DO11" s="209">
        <f>DN11/DN$15</f>
        <v>4.6457900811476341E-2</v>
      </c>
      <c r="DP11" s="219">
        <f>DO11*DO50</f>
        <v>63.933979999999998</v>
      </c>
      <c r="DQ11" s="220">
        <f>DM11</f>
        <v>2.9000000000000001E-2</v>
      </c>
      <c r="DR11" s="228">
        <f>DQ11*$B$2</f>
        <v>63.933979999999998</v>
      </c>
      <c r="DS11" s="209">
        <f>DR11/DR$15</f>
        <v>4.5072628014850243E-2</v>
      </c>
      <c r="DT11" s="219">
        <f>DS11*DS50</f>
        <v>63.933979999999998</v>
      </c>
      <c r="DU11" s="220">
        <f>DQ11</f>
        <v>2.9000000000000001E-2</v>
      </c>
      <c r="DV11" s="228">
        <f>DU11*$B$2</f>
        <v>63.933979999999998</v>
      </c>
      <c r="DW11" s="209">
        <f>DV11/DV$15</f>
        <v>4.4702054637342413E-2</v>
      </c>
      <c r="DX11" s="219">
        <f>DW11*DW50</f>
        <v>63.933979999999998</v>
      </c>
      <c r="DY11" s="220">
        <f>DU11</f>
        <v>2.9000000000000001E-2</v>
      </c>
      <c r="DZ11" s="228">
        <f>DY11*$B$2</f>
        <v>63.933979999999998</v>
      </c>
      <c r="EA11" s="209">
        <f>DZ11/DZ$15</f>
        <v>4.4783798856525302E-2</v>
      </c>
      <c r="EB11" s="219">
        <f>EA11*EA50</f>
        <v>63.933979999999998</v>
      </c>
      <c r="EC11" s="220">
        <f>DY11</f>
        <v>2.9000000000000001E-2</v>
      </c>
      <c r="ED11" s="228">
        <f>EC11*$B$2</f>
        <v>63.933979999999998</v>
      </c>
      <c r="EE11" s="209">
        <f>ED11/ED$15</f>
        <v>4.5470502510361686E-2</v>
      </c>
      <c r="EF11" s="219">
        <f>EE11*EE50</f>
        <v>63.933979999999998</v>
      </c>
    </row>
    <row r="12" spans="2:138" s="178" customFormat="1" x14ac:dyDescent="0.35">
      <c r="B12" s="178" t="s">
        <v>199</v>
      </c>
      <c r="C12" s="180"/>
      <c r="AT12" s="183">
        <v>5.39064E-2</v>
      </c>
      <c r="AV12" s="183">
        <v>5.4528300000000002E-2</v>
      </c>
      <c r="AX12" s="183">
        <v>5.4673100000000002E-2</v>
      </c>
      <c r="AZ12" s="183">
        <f>'ICIS Price History'!N181</f>
        <v>5.4672699999999998E-2</v>
      </c>
      <c r="BB12" s="183">
        <f>'ICIS Price History'!N185</f>
        <v>5.4427299999999998E-2</v>
      </c>
      <c r="BD12" s="183">
        <f>'ICIS Price History'!N186</f>
        <v>5.3943999999999999E-2</v>
      </c>
      <c r="BF12" s="183">
        <f>'ICIS Price History'!N187</f>
        <v>5.2380900000000001E-2</v>
      </c>
      <c r="BH12" s="183">
        <f>'ICIS Price History'!N188</f>
        <v>5.1574000000000002E-2</v>
      </c>
      <c r="BJ12" s="183">
        <f>'ICIS Price History'!N189</f>
        <v>5.2924899999999997E-2</v>
      </c>
      <c r="BL12" s="183">
        <f>'ICIS Price History'!N190</f>
        <v>5.2715999999999999E-2</v>
      </c>
      <c r="BN12" s="183">
        <f>'ICIS Price History'!N191</f>
        <v>5.2896499999999999E-2</v>
      </c>
      <c r="BP12" s="183">
        <f>'ICIS Price History'!N192</f>
        <v>5.3256499999999998E-2</v>
      </c>
      <c r="BR12" s="183">
        <f>'ICIS Price History'!N193</f>
        <v>5.0370900000000003E-2</v>
      </c>
      <c r="BT12" s="183">
        <f>'ICIS Price History'!N194</f>
        <v>5.0755799999999997E-2</v>
      </c>
      <c r="BV12" s="183">
        <f>'ICIS Price History'!N197</f>
        <v>4.6982200000000002E-2</v>
      </c>
      <c r="BX12" s="183">
        <f>'ICIS Price History'!N198</f>
        <v>4.3336899999999998E-2</v>
      </c>
      <c r="BZ12" s="183">
        <f>'ICIS Price History'!N199</f>
        <v>4.4307199999999998E-2</v>
      </c>
      <c r="CB12" s="183">
        <f>'ICIS Price History'!N200</f>
        <v>4.4328699999999999E-2</v>
      </c>
      <c r="CD12" s="184">
        <f>'ICIS Price History'!N201</f>
        <v>4.1750000000000002E-2</v>
      </c>
      <c r="CF12" s="184">
        <f>'ICIS Price History'!N202</f>
        <v>4.2368200000000002E-2</v>
      </c>
      <c r="CG12" s="220"/>
      <c r="CH12" s="230">
        <f>'ICIS Price History'!N203</f>
        <v>4.2567500000000001E-2</v>
      </c>
      <c r="CI12" s="209"/>
      <c r="CJ12" s="221"/>
      <c r="CK12" s="220"/>
      <c r="CL12" s="230">
        <f>'ICIS Price History'!N204</f>
        <v>4.2235799999999997E-2</v>
      </c>
      <c r="CM12" s="209"/>
      <c r="CN12" s="221"/>
      <c r="CO12" s="220"/>
      <c r="CP12" s="230">
        <f>'ICIS Price History'!N205</f>
        <v>4.1181500000000003E-2</v>
      </c>
      <c r="CQ12" s="209"/>
      <c r="CR12" s="221"/>
      <c r="CS12" s="220"/>
      <c r="CT12" s="230">
        <f>'ICIS Price History'!N206</f>
        <v>4.28505E-2</v>
      </c>
      <c r="CU12" s="209"/>
      <c r="CV12" s="221"/>
      <c r="CW12" s="220"/>
      <c r="CX12" s="230">
        <f>'ICIS Price History'!N207</f>
        <v>4.1465599999999998E-2</v>
      </c>
      <c r="CY12" s="209"/>
      <c r="CZ12" s="221"/>
      <c r="DA12" s="220"/>
      <c r="DB12" s="230">
        <f>'ICIS Price History'!N208</f>
        <v>4.1913800000000001E-2</v>
      </c>
      <c r="DC12" s="209"/>
      <c r="DD12" s="221"/>
      <c r="DE12" s="220"/>
      <c r="DF12" s="230">
        <f>'ICIS Price History'!N209</f>
        <v>4.0537700000000003E-2</v>
      </c>
      <c r="DG12" s="209"/>
      <c r="DH12" s="221"/>
      <c r="DI12" s="220"/>
      <c r="DJ12" s="230">
        <f>'ICIS Price History'!N210</f>
        <v>3.8718700000000002E-2</v>
      </c>
      <c r="DK12" s="209"/>
      <c r="DL12" s="221"/>
      <c r="DM12" s="220"/>
      <c r="DN12" s="230">
        <f>'ICIS Price History'!N213</f>
        <v>3.6936900000000002E-2</v>
      </c>
      <c r="DO12" s="209"/>
      <c r="DP12" s="221"/>
      <c r="DQ12" s="220"/>
      <c r="DR12" s="230">
        <f>'ICIS Price History'!N214</f>
        <v>3.7352400000000001E-2</v>
      </c>
      <c r="DS12" s="209"/>
      <c r="DT12" s="221"/>
      <c r="DU12" s="220"/>
      <c r="DV12" s="230">
        <f>+'ICIS Price History'!N215</f>
        <v>3.6201799999999999E-2</v>
      </c>
      <c r="DW12" s="209"/>
      <c r="DX12" s="221"/>
      <c r="DY12" s="220"/>
      <c r="DZ12" s="230">
        <f>+'ICIS Price History'!N216</f>
        <v>3.63483E-2</v>
      </c>
      <c r="EA12" s="209"/>
      <c r="EB12" s="221"/>
      <c r="EC12" s="220"/>
      <c r="ED12" s="286">
        <f>+'ICIS Price History'!N217</f>
        <v>3.6210300000000001E-2</v>
      </c>
      <c r="EE12" s="209"/>
      <c r="EF12" s="221"/>
    </row>
    <row r="13" spans="2:138" s="178" customFormat="1" x14ac:dyDescent="0.35">
      <c r="B13" s="178" t="s">
        <v>338</v>
      </c>
      <c r="C13" s="180"/>
      <c r="AT13" s="178">
        <f>SUM(AT10:AT11)*(3.8%+AT12)/365*180</f>
        <v>74.643635611424642</v>
      </c>
      <c r="AV13" s="178">
        <v>64.202277924790735</v>
      </c>
      <c r="AX13" s="178">
        <f>SUM(AX10:AX11)*(3.8%+AX12)/365*180</f>
        <v>62.187538369339194</v>
      </c>
      <c r="AZ13" s="178">
        <f>SUM(AZ10:AZ11)*(3.8%+AZ12)/365*180</f>
        <v>62.429468686864411</v>
      </c>
      <c r="BB13" s="178">
        <f>SUM(BB10:BB11)*(3.8%+BB12)/365*180</f>
        <v>65.356088169739792</v>
      </c>
      <c r="BD13" s="178">
        <f>SUM(BD10:BD11)*(3.8%+BD12)/365*180</f>
        <v>66.904657910122566</v>
      </c>
      <c r="BF13" s="178">
        <f>SUM(BF10:BF11)*(3.8%+BF12)/365*180</f>
        <v>67.940365056062461</v>
      </c>
      <c r="BH13" s="178">
        <f>SUM(BH10:BH11)*(3.8%+BH12)/365*180</f>
        <v>68.114143443865345</v>
      </c>
      <c r="BJ13" s="178">
        <f>SUM(BJ10:BJ11)*(3.8%+BJ12)/365*180</f>
        <v>70.329553504264325</v>
      </c>
      <c r="BL13" s="178">
        <f>SUM(BL10:BL11)*(3.8%+BL12)/365*180</f>
        <v>71.147922357000496</v>
      </c>
      <c r="BN13" s="178">
        <f>SUM(BN10:BN11)*(3.8%+BN12)/365*180</f>
        <v>73.174103424354726</v>
      </c>
      <c r="BP13" s="178">
        <f>SUM(BP10:BP11)*(3.8%+BP12)/365*180</f>
        <v>75.451392316712003</v>
      </c>
      <c r="BR13" s="178">
        <f>SUM(BR10:BR11)*(3.8%+BR12)/365*180</f>
        <v>74.312724488203557</v>
      </c>
      <c r="BT13" s="178">
        <f>SUM(BT10:BT11)*(3.8%+BT12)/365*180</f>
        <v>77.048798547046346</v>
      </c>
      <c r="BV13" s="178">
        <f>SUM(BV10:BV11)*(3.8%+BV12)/365*180</f>
        <v>75.90509849450936</v>
      </c>
      <c r="BX13" s="178">
        <f>SUM(BX10:BX11)*(3.8%+BX12)/365*180</f>
        <v>73.357735499355798</v>
      </c>
      <c r="BZ13" s="178">
        <f>SUM(BZ10:BZ11)*(3.8%+BZ12)/365*180</f>
        <v>73.874334473436903</v>
      </c>
      <c r="CB13" s="178">
        <f>SUM(CB10:CB11)*(3.8%+CB12)/365*180</f>
        <v>73.176415526665195</v>
      </c>
      <c r="CD13" s="178">
        <f>SUM(CD10:CD11)*(3.8%+CD12)/365*180</f>
        <v>67.063250209449421</v>
      </c>
      <c r="CF13" s="178">
        <f>SUM(CF10:CF11)*(3.8%+CF12)/365*180</f>
        <v>68.563297848565796</v>
      </c>
      <c r="CG13" s="220"/>
      <c r="CH13" s="228">
        <f>SUM(CH10:CH11)*(3.8%+CH12)/365*180</f>
        <v>69.856320808385959</v>
      </c>
      <c r="CI13" s="209">
        <f>CH13/$CH$15</f>
        <v>3.8213617498609687E-2</v>
      </c>
      <c r="CJ13" s="219">
        <f>CI13*$CI$50</f>
        <v>49.337775310595696</v>
      </c>
      <c r="CK13" s="220"/>
      <c r="CL13" s="228">
        <f>SUM(CL10:CL11)*(3.8%+CL12)/365*180</f>
        <v>69.918211011444328</v>
      </c>
      <c r="CM13" s="209">
        <f>CL13/CL$15</f>
        <v>3.806227855732449E-2</v>
      </c>
      <c r="CN13" s="219">
        <f>CM13*CM50</f>
        <v>54.474429462731727</v>
      </c>
      <c r="CO13" s="220"/>
      <c r="CP13" s="228">
        <f>SUM(CP10:CP11)*(3.8%+CP12)/365*180</f>
        <v>68.833932589248093</v>
      </c>
      <c r="CQ13" s="209">
        <f>CP13/CP$15</f>
        <v>3.7580935158610745E-2</v>
      </c>
      <c r="CR13" s="219">
        <f>CQ13*CQ50</f>
        <v>49.147427868723135</v>
      </c>
      <c r="CS13" s="220"/>
      <c r="CT13" s="228">
        <f>SUM(CT10:CT11)*(3.8%+CT12)/365*180</f>
        <v>69.397358276504491</v>
      </c>
      <c r="CU13" s="262">
        <f>CT13/CT$15</f>
        <v>3.8342699304595308E-2</v>
      </c>
      <c r="CV13" s="219">
        <f>CU13*CU50</f>
        <v>69.397358276504491</v>
      </c>
      <c r="CW13" s="220"/>
      <c r="CX13" s="228">
        <f>SUM(CX10:CX11)*(3.8%+CX12)/365*180</f>
        <v>66.367192207393018</v>
      </c>
      <c r="CY13" s="262">
        <f>CX13/CX$15</f>
        <v>3.7710689158174757E-2</v>
      </c>
      <c r="CZ13" s="219">
        <f>CY13*CY50</f>
        <v>27.197656010985295</v>
      </c>
      <c r="DA13" s="220"/>
      <c r="DB13" s="228">
        <f>SUM(DB10:DB11)*(3.8%+DB12)/365*185</f>
        <v>62.356139799597592</v>
      </c>
      <c r="DC13" s="262">
        <f>DB13/DB$15</f>
        <v>3.892752442662463E-2</v>
      </c>
      <c r="DD13" s="219">
        <f>DC13*DC50</f>
        <v>51.009282267826322</v>
      </c>
      <c r="DE13" s="220"/>
      <c r="DF13" s="228">
        <f>SUM(DF10:DF11)*(3.8%+DF12)/365*185</f>
        <v>53.997271924204298</v>
      </c>
      <c r="DG13" s="262">
        <f>DF13/DF$15</f>
        <v>3.8282862007335342E-2</v>
      </c>
      <c r="DH13" s="219">
        <f>DG13*DG50</f>
        <v>37.280438399736475</v>
      </c>
      <c r="DI13" s="220"/>
      <c r="DJ13" s="228">
        <f>SUM(DJ10:DJ11)*(3.8%+DJ12)/365*185</f>
        <v>51.795125048266215</v>
      </c>
      <c r="DK13" s="262">
        <f>DJ13/DJ$15</f>
        <v>3.7429385605457166E-2</v>
      </c>
      <c r="DL13" s="219">
        <f>DK13*DK50</f>
        <v>51.795125048266215</v>
      </c>
      <c r="DM13" s="220"/>
      <c r="DN13" s="228">
        <f>SUM(DN10:DN11)*(3.8%+DN12)/365*185</f>
        <v>50.356674479095865</v>
      </c>
      <c r="DO13" s="262">
        <f>DN13/DN$15</f>
        <v>3.6591893514929585E-2</v>
      </c>
      <c r="DP13" s="219">
        <f>DO13*DO50</f>
        <v>50.356674479095865</v>
      </c>
      <c r="DQ13" s="220"/>
      <c r="DR13" s="228">
        <f>SUM(DR10:DR11)*(3.8%+DR12)/365*185</f>
        <v>52.181553523005313</v>
      </c>
      <c r="DS13" s="262">
        <f>DR13/DR$15</f>
        <v>3.6787319531482579E-2</v>
      </c>
      <c r="DT13" s="219">
        <f>DS13*DS50</f>
        <v>52.181553523005313</v>
      </c>
      <c r="DU13" s="220"/>
      <c r="DV13" s="228">
        <f>SUM(DV10:DV11)*(3.8%+DV12)/365*185</f>
        <v>51.839854658159439</v>
      </c>
      <c r="DW13" s="262">
        <f>DV13/DV$15</f>
        <v>3.6245952704976804E-2</v>
      </c>
      <c r="DX13" s="219">
        <f>DW13*DW50</f>
        <v>51.839854658159439</v>
      </c>
      <c r="DY13" s="220"/>
      <c r="DZ13" s="228">
        <f>SUM(DZ10:DZ11)*(3.8%+DZ12)/365*185</f>
        <v>51.843683896223652</v>
      </c>
      <c r="EA13" s="262">
        <f>DZ13/DZ$15</f>
        <v>3.6314915974099533E-2</v>
      </c>
      <c r="EB13" s="219">
        <f>EA13*EA50</f>
        <v>51.843683896223652</v>
      </c>
      <c r="EC13" s="220"/>
      <c r="ED13" s="228">
        <f>SUM(ED10:ED11)*(3.8%+ED12)/365*185</f>
        <v>50.969391638230995</v>
      </c>
      <c r="EE13" s="262">
        <f>ED13/ED$15</f>
        <v>3.6249954256528223E-2</v>
      </c>
      <c r="EF13" s="219">
        <f>EE13*EE50</f>
        <v>50.969391638230995</v>
      </c>
    </row>
    <row r="14" spans="2:138" s="178" customFormat="1" x14ac:dyDescent="0.35">
      <c r="B14" s="178" t="s">
        <v>337</v>
      </c>
      <c r="C14" s="180"/>
      <c r="CG14" s="220"/>
      <c r="CH14" s="222">
        <v>0</v>
      </c>
      <c r="CI14" s="223"/>
      <c r="CJ14" s="164"/>
      <c r="CK14" s="220"/>
      <c r="CL14" s="222">
        <v>0</v>
      </c>
      <c r="CM14" s="223"/>
      <c r="CN14" s="164"/>
      <c r="CO14" s="220"/>
      <c r="CP14" s="222">
        <v>0</v>
      </c>
      <c r="CQ14" s="223"/>
      <c r="CR14" s="164"/>
      <c r="CS14" s="220"/>
      <c r="CT14" s="222">
        <v>0</v>
      </c>
      <c r="CU14" s="223"/>
      <c r="CV14" s="164"/>
      <c r="CW14" s="220"/>
      <c r="CX14" s="222">
        <v>0</v>
      </c>
      <c r="CY14" s="223"/>
      <c r="CZ14" s="164"/>
      <c r="DA14" s="220"/>
      <c r="DB14" s="222">
        <v>0</v>
      </c>
      <c r="DC14" s="223"/>
      <c r="DD14" s="164"/>
      <c r="DE14" s="220"/>
      <c r="DF14" s="222">
        <v>0</v>
      </c>
      <c r="DG14" s="223"/>
      <c r="DH14" s="164"/>
      <c r="DI14" s="220"/>
      <c r="DJ14" s="222">
        <v>0</v>
      </c>
      <c r="DK14" s="223"/>
      <c r="DL14" s="164"/>
      <c r="DM14" s="220"/>
      <c r="DN14" s="222">
        <v>0</v>
      </c>
      <c r="DO14" s="223"/>
      <c r="DP14" s="164"/>
      <c r="DQ14" s="220"/>
      <c r="DR14" s="222">
        <v>0</v>
      </c>
      <c r="DS14" s="223"/>
      <c r="DT14" s="164"/>
      <c r="DU14" s="220"/>
      <c r="DV14" s="222">
        <v>0</v>
      </c>
      <c r="DW14" s="223"/>
      <c r="DX14" s="164"/>
      <c r="DY14" s="220"/>
      <c r="DZ14" s="222">
        <v>0</v>
      </c>
      <c r="EA14" s="223"/>
      <c r="EB14" s="164"/>
      <c r="EC14" s="220"/>
      <c r="ED14" s="222">
        <v>0</v>
      </c>
      <c r="EE14" s="223"/>
      <c r="EF14" s="164"/>
    </row>
    <row r="15" spans="2:138" s="166" customFormat="1" ht="12.5" thickBot="1" x14ac:dyDescent="0.4">
      <c r="B15" s="173"/>
      <c r="C15" s="185">
        <f>SUM(C10:C11)</f>
        <v>0.91434632034632035</v>
      </c>
      <c r="D15" s="173">
        <f>+C15*$B$2</f>
        <v>2015.7861847619047</v>
      </c>
      <c r="E15" s="185">
        <f>SUM(E10:E11)</f>
        <v>0.93463852813852821</v>
      </c>
      <c r="F15" s="173">
        <f>+E15*$B$2</f>
        <v>2060.522791904762</v>
      </c>
      <c r="G15" s="185">
        <f>SUM(G10:G11)</f>
        <v>0.93463852813852821</v>
      </c>
      <c r="H15" s="173">
        <f>+G15*$B$2</f>
        <v>2060.522791904762</v>
      </c>
      <c r="I15" s="185">
        <f>SUM(I10:I11)</f>
        <v>0.93463852813852821</v>
      </c>
      <c r="J15" s="173">
        <f>+I15*$B$2</f>
        <v>2060.522791904762</v>
      </c>
      <c r="K15" s="185">
        <f>SUM(K10:K11)</f>
        <v>0.95493073593073607</v>
      </c>
      <c r="L15" s="173">
        <f>+K15*$B$2</f>
        <v>2105.2593990476194</v>
      </c>
      <c r="M15" s="185">
        <f>SUM(M10:M11)</f>
        <v>1.0158073593073593</v>
      </c>
      <c r="N15" s="173">
        <f>+M15*$B$2</f>
        <v>2239.4692204761905</v>
      </c>
      <c r="O15" s="185">
        <f>SUM(O10:O11)</f>
        <v>1.1037402597402597</v>
      </c>
      <c r="P15" s="173">
        <f>+O15*$B$2</f>
        <v>2433.3278514285712</v>
      </c>
      <c r="Q15" s="185">
        <f>SUM(Q10:Q11)</f>
        <v>1.1578528138528137</v>
      </c>
      <c r="R15" s="173">
        <f>+Q15*$B$2</f>
        <v>2552.62547047619</v>
      </c>
      <c r="S15" s="185">
        <f>SUM(S10:S11)</f>
        <v>1.1578528138528137</v>
      </c>
      <c r="T15" s="173">
        <f>+S15*$B$2</f>
        <v>2552.62547047619</v>
      </c>
      <c r="U15" s="185">
        <f>SUM(U10:U11)</f>
        <v>1.1578528138528137</v>
      </c>
      <c r="V15" s="173">
        <f>+U15*$B$2</f>
        <v>2552.62547047619</v>
      </c>
      <c r="W15" s="185">
        <f>SUM(W10:W11)</f>
        <v>1.1037402597402597</v>
      </c>
      <c r="X15" s="173">
        <f>+W15*$B$2</f>
        <v>2433.3278514285712</v>
      </c>
      <c r="Y15" s="185">
        <f>SUM(Y10:Y11)</f>
        <v>0.96845887445887457</v>
      </c>
      <c r="Z15" s="173">
        <f>+Y15*$B$2</f>
        <v>2135.0838038095239</v>
      </c>
      <c r="AA15" s="185">
        <f>SUM(AA10:AA11)</f>
        <v>0.83317748917748913</v>
      </c>
      <c r="AB15" s="173">
        <f>+AA15*$B$2</f>
        <v>1836.839756190476</v>
      </c>
      <c r="AC15" s="185">
        <f>SUM(AC10:AC11)</f>
        <v>0.79259307359307363</v>
      </c>
      <c r="AD15" s="173">
        <f>+AC15*$B$2</f>
        <v>1747.3665419047618</v>
      </c>
      <c r="AE15" s="185">
        <f>SUM(AE10:AE11)</f>
        <v>0.79259307359307363</v>
      </c>
      <c r="AF15" s="173">
        <f>+AE15*$B$2</f>
        <v>1747.3665419047618</v>
      </c>
      <c r="AG15" s="185">
        <f>SUM(AG10:AG11)</f>
        <v>0.70473717948717951</v>
      </c>
      <c r="AH15" s="173">
        <f>+AG15*$B$2</f>
        <v>1553.6776806410255</v>
      </c>
      <c r="AI15" s="185">
        <f>SUM(AI10:AI11)</f>
        <v>0.73085897435897451</v>
      </c>
      <c r="AJ15" s="173">
        <f>+AI15*$B$2</f>
        <v>1611.2663120512823</v>
      </c>
      <c r="AK15" s="185">
        <f>SUM(AK10:AK11)</f>
        <v>0.75890384615384632</v>
      </c>
      <c r="AL15" s="173">
        <f>+AK15*$B$2</f>
        <v>1673.0945973076925</v>
      </c>
      <c r="AM15" s="185">
        <f>SUM(AM10:AM11)</f>
        <v>0.78085897435897433</v>
      </c>
      <c r="AN15" s="173">
        <f>+AM15*$B$2</f>
        <v>1721.4973120512818</v>
      </c>
      <c r="AO15" s="185">
        <f>SUM(AO10:AO11)</f>
        <v>0.78390384615384623</v>
      </c>
      <c r="AP15" s="173">
        <f>+AO15*$B$2</f>
        <v>1728.2100973076924</v>
      </c>
      <c r="AQ15" s="185">
        <f>SUM(AQ10:AQ11)</f>
        <v>0.78390384615384623</v>
      </c>
      <c r="AR15" s="173">
        <f>+AQ15*$B$2</f>
        <v>1728.2100973076924</v>
      </c>
      <c r="AS15" s="185">
        <f>SUM(AS10:AS11)</f>
        <v>0.74702243589743589</v>
      </c>
      <c r="AT15" s="173">
        <f>+(AS15*$B$2)+AT13</f>
        <v>1721.5442382396295</v>
      </c>
      <c r="AU15" s="185"/>
      <c r="AV15" s="173">
        <v>1471.2091337581239</v>
      </c>
      <c r="AW15" s="185">
        <f>SUM(AW10:AW11)</f>
        <v>0.6172147435897436</v>
      </c>
      <c r="AX15" s="173">
        <f>+(AW15*$B$2)+AX13</f>
        <v>1422.9115063821596</v>
      </c>
      <c r="AY15" s="185">
        <f>SUM(AY10:AY11)</f>
        <v>0.61961858974358985</v>
      </c>
      <c r="AZ15" s="173">
        <f>+(AY15*$B$2)+AZ13</f>
        <v>1428.4530040073773</v>
      </c>
      <c r="BA15" s="185">
        <f>SUM(BA10:BA11)</f>
        <v>0.65038782051282051</v>
      </c>
      <c r="BB15" s="173">
        <f>+(BA15*$B$2)+BB13</f>
        <v>1499.2140850287142</v>
      </c>
      <c r="BC15" s="185">
        <f>SUM(BC10:BC11)</f>
        <v>0.66929807692307697</v>
      </c>
      <c r="BD15" s="173">
        <f>+(BC15*$B$2)+BD13</f>
        <v>1542.4525842562764</v>
      </c>
      <c r="BE15" s="185">
        <f>SUM(BE10:BE11)</f>
        <v>0.69141346153846162</v>
      </c>
      <c r="BF15" s="173">
        <f>+(BE15*$B$2)+BF13</f>
        <v>1592.2443106329856</v>
      </c>
      <c r="BG15" s="185">
        <f>SUM(BG10:BG11)</f>
        <v>0.6994262820512821</v>
      </c>
      <c r="BH15" s="173">
        <f>+(BG15*$B$2)+BH13</f>
        <v>1610.0833133797628</v>
      </c>
      <c r="BI15" s="185">
        <f>SUM(BI10:BI11)</f>
        <v>0.71144551282051272</v>
      </c>
      <c r="BJ15" s="173">
        <f>+(BI15*$B$2)+BJ13</f>
        <v>1638.796559978623</v>
      </c>
      <c r="BK15" s="185">
        <f>SUM(BK10:BK11)</f>
        <v>0.72138141025641034</v>
      </c>
      <c r="BL15" s="173">
        <f>+(BK15*$B$2)+BL13</f>
        <v>1661.5198070364877</v>
      </c>
      <c r="BM15" s="185">
        <f>SUM(BM10:BM11)</f>
        <v>0.74045192307692298</v>
      </c>
      <c r="BN15" s="173">
        <f>+(BM15*$B$2)+BN13</f>
        <v>1705.5892220782007</v>
      </c>
      <c r="BO15" s="185">
        <f>SUM(BO10:BO11)</f>
        <v>0.7604839743589743</v>
      </c>
      <c r="BP15" s="173">
        <f>+(BO15*$B$2)+BP13</f>
        <v>1752.0295718679938</v>
      </c>
      <c r="BQ15" s="185">
        <f>SUM(BQ10:BQ11)</f>
        <v>0.7734647435897436</v>
      </c>
      <c r="BR15" s="173">
        <f>+(BQ15*$B$2)+BR13</f>
        <v>1779.5085675010239</v>
      </c>
      <c r="BS15" s="185">
        <f>SUM(BS10:BS11)</f>
        <v>0.79846474358974351</v>
      </c>
      <c r="BT15" s="173">
        <f>+(BS15*$B$2)+BT13</f>
        <v>1837.3601415598666</v>
      </c>
      <c r="BU15" s="185">
        <f>SUM(BU10:BU11)</f>
        <v>0.82154166666666673</v>
      </c>
      <c r="BV15" s="173">
        <f>+(BU15*$B$2)+BV13</f>
        <v>1887.092287661176</v>
      </c>
      <c r="BW15" s="185">
        <f>SUM(BW10:BW11)</f>
        <v>0.82955448717948721</v>
      </c>
      <c r="BX15" s="173">
        <f>+(BW15*$B$2)+BX13</f>
        <v>1902.2101490249968</v>
      </c>
      <c r="BY15" s="185">
        <f>SUM(BY10:BY11)</f>
        <v>0.82554807692307686</v>
      </c>
      <c r="BZ15" s="173">
        <f>+(BY15*$B$2)+BZ13</f>
        <v>1893.8941358195905</v>
      </c>
      <c r="CA15" s="185">
        <f>SUM(CA10:CA11)</f>
        <v>0.81753525641025637</v>
      </c>
      <c r="CB15" s="173">
        <f>+(CA15*$B$2)+CB13</f>
        <v>1875.5309925138445</v>
      </c>
      <c r="CC15" s="185">
        <f>SUM(CC10:CC11)</f>
        <v>0.7734647435897436</v>
      </c>
      <c r="CD15" s="173">
        <f>+(CC15*$B$2)+CD13</f>
        <v>1772.2590932222699</v>
      </c>
      <c r="CE15" s="185">
        <f>SUM(CE10:CE11)</f>
        <v>0.78468269230769228</v>
      </c>
      <c r="CF15" s="173">
        <f>+(CE15*$B$2)+CF13</f>
        <v>1798.4904549639502</v>
      </c>
      <c r="CG15" s="224">
        <f>SUM(CG10:CG11)</f>
        <v>0.79750320512820527</v>
      </c>
      <c r="CH15" s="225">
        <f>+(CG15*$B$2)+CH13+CH14</f>
        <v>1828.0478368981298</v>
      </c>
      <c r="CI15" s="226">
        <f>SUM(CI4:CI14)</f>
        <v>0.99999999999999978</v>
      </c>
      <c r="CJ15" s="227">
        <f>SUM(CJ5:CJ13)</f>
        <v>1291.1045470215092</v>
      </c>
      <c r="CK15" s="224">
        <f>SUM(CK10:CK11)</f>
        <v>0.8015096153846154</v>
      </c>
      <c r="CL15" s="225">
        <f>+(CK15*$B$2)+CL13+CL14</f>
        <v>1836.942339280675</v>
      </c>
      <c r="CM15" s="226">
        <f>SUM(CM4:CM14)</f>
        <v>0.99999999999999989</v>
      </c>
      <c r="CN15" s="227">
        <f>SUM(CN5:CN13)</f>
        <v>1431.1920233753051</v>
      </c>
      <c r="CO15" s="224">
        <f>SUM(CO10:CO11)</f>
        <v>0.79958653846153849</v>
      </c>
      <c r="CP15" s="225">
        <f>+(CO15*$B$2)+CP13+CP14</f>
        <v>1831.618407012325</v>
      </c>
      <c r="CQ15" s="226">
        <f>SUM(CQ4:CQ14)</f>
        <v>1.0000000000000002</v>
      </c>
      <c r="CR15" s="227">
        <f>SUM(CR5:CR13)</f>
        <v>1307.7755426067999</v>
      </c>
      <c r="CS15" s="224">
        <f>SUM(CS10:CS11)</f>
        <v>0.78949038461538457</v>
      </c>
      <c r="CT15" s="225">
        <f>+(CS15*$B$2)+CT13+CT14</f>
        <v>1809.9236500072736</v>
      </c>
      <c r="CU15" s="226">
        <f>SUM(CU4:CU14)</f>
        <v>1</v>
      </c>
      <c r="CV15" s="227">
        <f>SUM(CV5:CV13)</f>
        <v>1809.9236500072739</v>
      </c>
      <c r="CW15" s="224">
        <f>SUM(CW10:CW11)</f>
        <v>0.76817628205128219</v>
      </c>
      <c r="CX15" s="225">
        <f>+(CW15*$B$2)+CX13+CX14</f>
        <v>1759.9039871432906</v>
      </c>
      <c r="CY15" s="226">
        <f>SUM(CY4:CY14)</f>
        <v>1</v>
      </c>
      <c r="CZ15" s="227">
        <f>SUM(CZ5:CZ13)</f>
        <v>721.21874773772208</v>
      </c>
      <c r="DA15" s="224">
        <f>SUM(DA10:DA11)</f>
        <v>0.69830448717948723</v>
      </c>
      <c r="DB15" s="225">
        <f>+(DA15*$B$2)+DB13+DB14</f>
        <v>1601.8521783252386</v>
      </c>
      <c r="DC15" s="226">
        <f>SUM(DC4:DC14)</f>
        <v>1</v>
      </c>
      <c r="DD15" s="227">
        <f>SUM(DD5:DD13)</f>
        <v>1310.3654295811921</v>
      </c>
      <c r="DE15" s="224">
        <f>SUM(DE10:DE11)</f>
        <v>0.61529166666666668</v>
      </c>
      <c r="DF15" s="225">
        <f>+(DE15*$B$2)+DF13+DF14</f>
        <v>1410.4815860908709</v>
      </c>
      <c r="DG15" s="226">
        <f>SUM(DG4:DG14)</f>
        <v>0.99999999999999989</v>
      </c>
      <c r="DH15" s="227">
        <f>SUM(DH5:DH13)</f>
        <v>973.81534307944912</v>
      </c>
      <c r="DI15" s="224">
        <f>SUM(DI10:DI11)</f>
        <v>0.60419210206352203</v>
      </c>
      <c r="DJ15" s="225">
        <f>+(DI15*$B$2)+DJ13+DJ14</f>
        <v>1383.8091170995481</v>
      </c>
      <c r="DK15" s="226">
        <f>SUM(DK4:DK14)</f>
        <v>1</v>
      </c>
      <c r="DL15" s="227">
        <f>SUM(DL5:DL13)</f>
        <v>1383.8091170995483</v>
      </c>
      <c r="DM15" s="224">
        <f>SUM(DM10:DM11)</f>
        <v>0.60137962757812347</v>
      </c>
      <c r="DN15" s="225">
        <f>+(DM15*$B$2)+DN13+DN14</f>
        <v>1376.1702290303783</v>
      </c>
      <c r="DO15" s="226">
        <f>SUM(DO4:DO14)</f>
        <v>1</v>
      </c>
      <c r="DP15" s="227">
        <f>SUM(DP5:DP13)</f>
        <v>1376.1702290303781</v>
      </c>
      <c r="DQ15" s="224">
        <f>SUM(DQ10:DQ11)</f>
        <v>0.6197368328375209</v>
      </c>
      <c r="DR15" s="225">
        <f>+(DQ15*$B$2)+DR13+DR14</f>
        <v>1418.4657699332606</v>
      </c>
      <c r="DS15" s="226">
        <f>SUM(DS4:DS14)</f>
        <v>0.99999999999999989</v>
      </c>
      <c r="DT15" s="227">
        <f>SUM(DT5:DT13)</f>
        <v>1418.4657699332604</v>
      </c>
      <c r="DU15" s="224">
        <f>SUM(DU10:DU11)</f>
        <v>0.6252255650953511</v>
      </c>
      <c r="DV15" s="225">
        <f>+(DU15*$B$2)+DV13+DV14</f>
        <v>1430.2246399786725</v>
      </c>
      <c r="DW15" s="226">
        <f>SUM(DW4:DW14)</f>
        <v>0.99999999999999989</v>
      </c>
      <c r="DX15" s="227">
        <f>SUM(DX5:DX13)</f>
        <v>1430.2246399786725</v>
      </c>
      <c r="DY15" s="224">
        <f>SUM(DY10:DY11)</f>
        <v>0.62403967841774699</v>
      </c>
      <c r="DZ15" s="225">
        <f>+(DY15*$B$2)+DZ13+DZ14</f>
        <v>1427.6140397295569</v>
      </c>
      <c r="EA15" s="226">
        <f>SUM(EA4:EA14)</f>
        <v>1</v>
      </c>
      <c r="EB15" s="227">
        <f>SUM(EB5:EB13)</f>
        <v>1427.6140397295569</v>
      </c>
      <c r="EC15" s="224">
        <f>SUM(EC10:EC11)</f>
        <v>0.61465675071859616</v>
      </c>
      <c r="ED15" s="225">
        <f>+(EC15*$B$2)+ED13+ED14</f>
        <v>1406.0539574074623</v>
      </c>
      <c r="EE15" s="226">
        <f>SUM(EE4:EE14)</f>
        <v>1</v>
      </c>
      <c r="EF15" s="227">
        <f>SUM(EF5:EF13)</f>
        <v>1406.0539574074623</v>
      </c>
    </row>
    <row r="16" spans="2:138" x14ac:dyDescent="0.35">
      <c r="CJ16" s="161">
        <f>CJ15+CJ42</f>
        <v>1847.4225598636222</v>
      </c>
      <c r="CN16" s="161">
        <f>CN15+CN42</f>
        <v>1855.3319460250927</v>
      </c>
      <c r="CR16" s="161">
        <f>CR15+CR42</f>
        <v>1855.4656110369126</v>
      </c>
      <c r="CV16" s="161">
        <f>CV15+CV42</f>
        <v>1809.9236500072739</v>
      </c>
      <c r="CZ16" s="161">
        <f>CZ15+CZ42</f>
        <v>1810.8221437076563</v>
      </c>
      <c r="DD16" s="161">
        <f>DD15+DD42</f>
        <v>1653.7460655195669</v>
      </c>
      <c r="DH16" s="161">
        <f>DH15+DH42</f>
        <v>1515.167470334296</v>
      </c>
      <c r="DL16" s="161">
        <f>DL15+DL42</f>
        <v>1383.8091170995483</v>
      </c>
      <c r="DP16" s="161">
        <f>DP15+DP42</f>
        <v>1376.1702290303781</v>
      </c>
      <c r="DT16" s="161">
        <f>DT15+DT42</f>
        <v>1418.4657699332604</v>
      </c>
      <c r="DX16" s="161">
        <f>DX15+DX42</f>
        <v>1430.2246399786725</v>
      </c>
      <c r="EB16" s="161">
        <f>EB15+EB42</f>
        <v>1427.6140397295569</v>
      </c>
      <c r="EF16" s="161">
        <f>EF15+EF42</f>
        <v>1406.0539574074623</v>
      </c>
    </row>
    <row r="17" spans="1:136" x14ac:dyDescent="0.35">
      <c r="BR17" s="154">
        <f>BR15*1.05</f>
        <v>1868.4839958760751</v>
      </c>
    </row>
    <row r="18" spans="1:136" hidden="1" outlineLevel="1" x14ac:dyDescent="0.35">
      <c r="BV18" s="352" t="s">
        <v>302</v>
      </c>
      <c r="BW18" s="352"/>
      <c r="BX18" s="352" t="s">
        <v>303</v>
      </c>
      <c r="BY18" s="352"/>
      <c r="BZ18" s="186"/>
      <c r="CA18" s="352" t="s">
        <v>306</v>
      </c>
      <c r="CB18" s="352"/>
      <c r="CC18" s="352" t="s">
        <v>333</v>
      </c>
      <c r="CD18" s="352"/>
      <c r="CE18" s="352" t="s">
        <v>329</v>
      </c>
      <c r="CF18" s="352"/>
      <c r="CG18" s="352"/>
      <c r="CH18" s="352"/>
      <c r="CI18" s="162"/>
    </row>
    <row r="19" spans="1:136" ht="14.5" hidden="1" customHeight="1" outlineLevel="1" x14ac:dyDescent="0.35">
      <c r="B19" s="161" t="s">
        <v>286</v>
      </c>
      <c r="BR19" s="154">
        <f>BR17*1.05</f>
        <v>1961.908195669879</v>
      </c>
      <c r="BV19" s="353" t="s">
        <v>300</v>
      </c>
      <c r="BW19" s="353"/>
      <c r="BX19" s="353" t="s">
        <v>301</v>
      </c>
      <c r="BY19" s="353"/>
      <c r="CA19" s="353" t="s">
        <v>328</v>
      </c>
      <c r="CB19" s="353"/>
      <c r="CC19" s="353" t="s">
        <v>307</v>
      </c>
      <c r="CD19" s="353"/>
      <c r="CE19" s="353" t="s">
        <v>332</v>
      </c>
      <c r="CF19" s="353"/>
      <c r="CG19" s="353"/>
      <c r="CH19" s="353"/>
    </row>
    <row r="20" spans="1:136" hidden="1" outlineLevel="1" x14ac:dyDescent="0.35">
      <c r="B20" s="154" t="s">
        <v>287</v>
      </c>
      <c r="BR20" s="154">
        <v>18</v>
      </c>
      <c r="BV20" s="187">
        <v>2046</v>
      </c>
      <c r="BW20" s="154">
        <v>2046</v>
      </c>
      <c r="BX20" s="187">
        <v>2046</v>
      </c>
      <c r="BY20" s="154">
        <v>2046</v>
      </c>
      <c r="CA20" s="187">
        <v>2046</v>
      </c>
      <c r="CB20" s="154">
        <v>2046</v>
      </c>
      <c r="CC20" s="187">
        <v>2046</v>
      </c>
      <c r="CD20" s="154">
        <v>2046</v>
      </c>
      <c r="CE20" s="187">
        <v>2046</v>
      </c>
      <c r="CF20" s="154">
        <v>2046</v>
      </c>
      <c r="CG20" s="187"/>
    </row>
    <row r="21" spans="1:136" hidden="1" outlineLevel="1" x14ac:dyDescent="0.35">
      <c r="B21" s="154" t="s">
        <v>288</v>
      </c>
      <c r="BV21" s="187">
        <v>130</v>
      </c>
      <c r="BW21" s="154">
        <v>130</v>
      </c>
      <c r="BX21" s="187">
        <v>130</v>
      </c>
      <c r="BY21" s="154">
        <v>130</v>
      </c>
      <c r="CA21" s="187">
        <v>130</v>
      </c>
      <c r="CB21" s="154">
        <v>130</v>
      </c>
      <c r="CC21" s="187">
        <v>130</v>
      </c>
      <c r="CD21" s="154">
        <v>130</v>
      </c>
      <c r="CE21" s="187">
        <v>130</v>
      </c>
      <c r="CF21" s="154">
        <v>130</v>
      </c>
      <c r="CG21" s="187"/>
    </row>
    <row r="22" spans="1:136" hidden="1" outlineLevel="1" x14ac:dyDescent="0.35">
      <c r="B22" s="154" t="s">
        <v>289</v>
      </c>
      <c r="BV22" s="187">
        <f>SUM(BV20:BV21)</f>
        <v>2176</v>
      </c>
      <c r="BW22" s="154">
        <f>SUM(BW20:BW21)</f>
        <v>2176</v>
      </c>
      <c r="BX22" s="187">
        <f>SUM(BX20:BX21)</f>
        <v>2176</v>
      </c>
      <c r="BY22" s="154">
        <f>SUM(BY20:BY21)</f>
        <v>2176</v>
      </c>
      <c r="CA22" s="187">
        <f t="shared" ref="CA22:CF22" si="97">SUM(CA20:CA21)</f>
        <v>2176</v>
      </c>
      <c r="CB22" s="154">
        <f t="shared" si="97"/>
        <v>2176</v>
      </c>
      <c r="CC22" s="187">
        <f t="shared" si="97"/>
        <v>2176</v>
      </c>
      <c r="CD22" s="154">
        <f t="shared" si="97"/>
        <v>2176</v>
      </c>
      <c r="CE22" s="187">
        <f t="shared" si="97"/>
        <v>2176</v>
      </c>
      <c r="CF22" s="154">
        <f t="shared" si="97"/>
        <v>2176</v>
      </c>
      <c r="CG22" s="187"/>
    </row>
    <row r="23" spans="1:136" hidden="1" outlineLevel="1" x14ac:dyDescent="0.35">
      <c r="BV23" s="187"/>
      <c r="BX23" s="187"/>
      <c r="CA23" s="187"/>
      <c r="CC23" s="187"/>
      <c r="CE23" s="187"/>
      <c r="CG23" s="187"/>
    </row>
    <row r="24" spans="1:136" hidden="1" outlineLevel="1" x14ac:dyDescent="0.35">
      <c r="B24" s="154" t="s">
        <v>290</v>
      </c>
      <c r="BV24" s="187">
        <v>-190</v>
      </c>
      <c r="BX24" s="187">
        <v>-190</v>
      </c>
      <c r="CA24" s="187">
        <v>-190</v>
      </c>
      <c r="CC24" s="187">
        <v>-190</v>
      </c>
      <c r="CE24" s="187">
        <v>-190</v>
      </c>
      <c r="CG24" s="187"/>
    </row>
    <row r="25" spans="1:136" hidden="1" outlineLevel="1" x14ac:dyDescent="0.35">
      <c r="B25" s="154" t="s">
        <v>291</v>
      </c>
      <c r="C25" s="154" t="s">
        <v>292</v>
      </c>
      <c r="BV25" s="187">
        <f>-BV21*0.5</f>
        <v>-65</v>
      </c>
      <c r="BX25" s="187">
        <f>-BX21*0.5</f>
        <v>-65</v>
      </c>
      <c r="CA25" s="187">
        <f>-CA21*0.5</f>
        <v>-65</v>
      </c>
      <c r="CC25" s="187">
        <f>-CC21*0.5</f>
        <v>-65</v>
      </c>
      <c r="CE25" s="187">
        <f>-CE21*0.5</f>
        <v>-65</v>
      </c>
      <c r="CG25" s="187"/>
    </row>
    <row r="26" spans="1:136" hidden="1" outlineLevel="1" x14ac:dyDescent="0.35">
      <c r="B26" s="154" t="s">
        <v>293</v>
      </c>
      <c r="BV26" s="187">
        <f>BV22+BV24+BV25</f>
        <v>1921</v>
      </c>
      <c r="BW26" s="188">
        <v>1000000</v>
      </c>
      <c r="BX26" s="187">
        <f>BX22+BX24+BX25</f>
        <v>1921</v>
      </c>
      <c r="BY26" s="189">
        <f>451000+264000+417000+2000</f>
        <v>1134000</v>
      </c>
      <c r="CA26" s="187">
        <f>CA22+CA24+CA25</f>
        <v>1921</v>
      </c>
      <c r="CB26" s="189">
        <v>418000</v>
      </c>
      <c r="CC26" s="187">
        <f>CC22+CC24+CC25</f>
        <v>1921</v>
      </c>
      <c r="CD26" s="190">
        <v>132000</v>
      </c>
      <c r="CE26" s="187">
        <f>CE22+CE24+CE25</f>
        <v>1921</v>
      </c>
      <c r="CF26" s="190">
        <v>330000</v>
      </c>
      <c r="CG26" s="187"/>
      <c r="CH26" s="190"/>
      <c r="CI26" s="190"/>
    </row>
    <row r="27" spans="1:136" hidden="1" outlineLevel="1" x14ac:dyDescent="0.35">
      <c r="B27" s="154" t="s">
        <v>294</v>
      </c>
      <c r="BV27" s="187">
        <f>BX15</f>
        <v>1902.2101490249968</v>
      </c>
      <c r="BW27" s="154">
        <v>640000</v>
      </c>
      <c r="BX27" s="187">
        <f>BZ15</f>
        <v>1893.8941358195905</v>
      </c>
      <c r="BY27" s="191">
        <v>642000</v>
      </c>
      <c r="CA27" s="187">
        <f>CB15</f>
        <v>1875.5309925138445</v>
      </c>
      <c r="CB27" s="191">
        <v>470430</v>
      </c>
      <c r="CC27" s="187">
        <f>CD15</f>
        <v>1772.2590932222699</v>
      </c>
      <c r="CD27" s="192">
        <v>657000</v>
      </c>
      <c r="CE27" s="187">
        <f>CF15</f>
        <v>1798.4904549639502</v>
      </c>
      <c r="CF27" s="192">
        <v>660000</v>
      </c>
      <c r="CG27" s="187"/>
      <c r="CH27" s="192"/>
      <c r="CI27" s="190"/>
    </row>
    <row r="28" spans="1:136" hidden="1" outlineLevel="1" x14ac:dyDescent="0.35">
      <c r="B28" s="154" t="s">
        <v>295</v>
      </c>
      <c r="BV28" s="187">
        <f>+SUMPRODUCT(BV26:BV27,BW26:BW27)/(BW26+BW27)</f>
        <v>1913.667375229267</v>
      </c>
      <c r="BW28" s="154">
        <f>SUM(BW26:BW27)</f>
        <v>1640000</v>
      </c>
      <c r="BX28" s="187">
        <f>+SUMPRODUCT(BX26:BX27,BY26:BY27)/(BY26+BY27)</f>
        <v>1911.2015963942438</v>
      </c>
      <c r="BY28" s="154">
        <f>SUM(BY26:BY27)</f>
        <v>1776000</v>
      </c>
      <c r="CA28" s="187">
        <f>+SUMPRODUCT(CA26:CA27,CB26:CB27)/(CB26+CB27)+12.11</f>
        <v>1909.0338373403506</v>
      </c>
      <c r="CB28" s="154">
        <f>SUM(CB26:CB27)</f>
        <v>888430</v>
      </c>
      <c r="CC28" s="187">
        <f>+SUMPRODUCT(CC26:CC27,CD26:CD27)/(CD26+CD27)</f>
        <v>1797.1435034816623</v>
      </c>
      <c r="CD28" s="154">
        <f>SUM(CD26:CD27)</f>
        <v>789000</v>
      </c>
      <c r="CE28" s="187">
        <f>+SUMPRODUCT(CE26:CE27,CF26:CF27)/(CF26+CF27)</f>
        <v>1839.3269699759669</v>
      </c>
      <c r="CF28" s="154">
        <f>SUM(CF26:CF27)</f>
        <v>990000</v>
      </c>
      <c r="CG28" s="187"/>
    </row>
    <row r="29" spans="1:136" ht="12.5" collapsed="1" thickBot="1" x14ac:dyDescent="0.4"/>
    <row r="30" spans="1:136" s="166" customFormat="1" ht="12.5" thickBot="1" x14ac:dyDescent="0.35">
      <c r="A30" s="166">
        <v>2204.62</v>
      </c>
      <c r="B30" s="331" t="s">
        <v>339</v>
      </c>
      <c r="C30" s="332"/>
      <c r="D30" s="332"/>
      <c r="E30" s="332"/>
      <c r="F30" s="332"/>
      <c r="G30" s="33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3"/>
      <c r="AJ30" s="193"/>
      <c r="AK30" s="193"/>
      <c r="AL30" s="193"/>
      <c r="AM30" s="193"/>
      <c r="AN30" s="193"/>
      <c r="AO30" s="193"/>
      <c r="AP30" s="193"/>
      <c r="AQ30" s="193"/>
      <c r="AR30" s="193"/>
      <c r="AS30" s="193"/>
      <c r="AT30" s="193"/>
      <c r="AU30" s="193"/>
      <c r="AV30" s="193"/>
      <c r="AW30" s="193"/>
      <c r="AX30" s="193"/>
      <c r="AY30" s="193"/>
      <c r="AZ30" s="193"/>
      <c r="BA30" s="193"/>
      <c r="BB30" s="193"/>
      <c r="BC30" s="193"/>
      <c r="BD30" s="193"/>
      <c r="BE30" s="193"/>
      <c r="BF30" s="193"/>
      <c r="BG30" s="193"/>
      <c r="BH30" s="193"/>
      <c r="BI30" s="193"/>
      <c r="BJ30" s="193"/>
      <c r="BK30" s="193"/>
      <c r="BL30" s="193"/>
      <c r="BM30" s="193"/>
      <c r="BN30" s="193"/>
      <c r="BO30" s="193"/>
      <c r="BP30" s="193"/>
      <c r="BQ30" s="193"/>
      <c r="BR30" s="193"/>
      <c r="BS30" s="193"/>
      <c r="BT30" s="193"/>
      <c r="BU30" s="193"/>
      <c r="BV30" s="193"/>
      <c r="BW30" s="193"/>
      <c r="BX30" s="193"/>
      <c r="BY30" s="193"/>
      <c r="BZ30" s="193"/>
      <c r="CA30" s="193"/>
      <c r="CB30" s="193"/>
      <c r="CC30" s="194"/>
      <c r="CG30" s="309">
        <v>45717</v>
      </c>
      <c r="CH30" s="310"/>
      <c r="CI30" s="167" t="s">
        <v>356</v>
      </c>
      <c r="CJ30" s="165" t="s">
        <v>355</v>
      </c>
      <c r="CK30" s="309">
        <v>45748</v>
      </c>
      <c r="CL30" s="310"/>
      <c r="CM30" s="167" t="s">
        <v>356</v>
      </c>
      <c r="CN30" s="165" t="s">
        <v>355</v>
      </c>
      <c r="CO30" s="309">
        <v>45778</v>
      </c>
      <c r="CP30" s="310"/>
      <c r="CQ30" s="167" t="s">
        <v>356</v>
      </c>
      <c r="CR30" s="165" t="s">
        <v>355</v>
      </c>
      <c r="CS30" s="309">
        <v>45809</v>
      </c>
      <c r="CT30" s="310"/>
      <c r="CU30" s="167" t="s">
        <v>356</v>
      </c>
      <c r="CV30" s="165" t="s">
        <v>355</v>
      </c>
      <c r="CW30" s="309">
        <v>45839</v>
      </c>
      <c r="CX30" s="310"/>
      <c r="CY30" s="167" t="s">
        <v>356</v>
      </c>
      <c r="CZ30" s="165" t="s">
        <v>355</v>
      </c>
      <c r="DA30" s="309">
        <v>45870</v>
      </c>
      <c r="DB30" s="310"/>
      <c r="DC30" s="167" t="s">
        <v>356</v>
      </c>
      <c r="DD30" s="165" t="s">
        <v>355</v>
      </c>
      <c r="DE30" s="309">
        <v>45901</v>
      </c>
      <c r="DF30" s="310"/>
      <c r="DG30" s="167" t="s">
        <v>356</v>
      </c>
      <c r="DH30" s="165" t="s">
        <v>355</v>
      </c>
      <c r="DI30" s="309">
        <v>45931</v>
      </c>
      <c r="DJ30" s="310"/>
      <c r="DK30" s="167" t="s">
        <v>356</v>
      </c>
      <c r="DL30" s="165" t="s">
        <v>355</v>
      </c>
      <c r="DM30" s="309">
        <v>45962</v>
      </c>
      <c r="DN30" s="310"/>
      <c r="DO30" s="167" t="s">
        <v>356</v>
      </c>
      <c r="DP30" s="165" t="s">
        <v>355</v>
      </c>
      <c r="DQ30" s="309">
        <v>45992</v>
      </c>
      <c r="DR30" s="310"/>
      <c r="DS30" s="167" t="s">
        <v>356</v>
      </c>
      <c r="DT30" s="165" t="s">
        <v>355</v>
      </c>
      <c r="DU30" s="309">
        <v>46023</v>
      </c>
      <c r="DV30" s="310"/>
      <c r="DW30" s="167" t="s">
        <v>356</v>
      </c>
      <c r="DX30" s="165" t="s">
        <v>355</v>
      </c>
      <c r="DY30" s="309">
        <v>46054</v>
      </c>
      <c r="DZ30" s="310"/>
      <c r="EA30" s="167" t="s">
        <v>356</v>
      </c>
      <c r="EB30" s="165" t="s">
        <v>355</v>
      </c>
      <c r="EC30" s="309">
        <v>46082</v>
      </c>
      <c r="ED30" s="310"/>
      <c r="EE30" s="167" t="s">
        <v>356</v>
      </c>
      <c r="EF30" s="165" t="s">
        <v>355</v>
      </c>
    </row>
    <row r="31" spans="1:136" x14ac:dyDescent="0.3">
      <c r="B31" s="334" t="s">
        <v>340</v>
      </c>
      <c r="C31" s="335"/>
      <c r="D31" s="335"/>
      <c r="E31" s="335"/>
      <c r="F31" s="335"/>
      <c r="G31" s="336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  <c r="AX31" s="160"/>
      <c r="AY31" s="160"/>
      <c r="AZ31" s="160"/>
      <c r="BA31" s="160"/>
      <c r="BB31" s="160"/>
      <c r="BC31" s="160"/>
      <c r="BD31" s="160"/>
      <c r="BE31" s="160"/>
      <c r="BF31" s="160"/>
      <c r="BG31" s="160"/>
      <c r="BH31" s="160"/>
      <c r="BI31" s="160"/>
      <c r="BJ31" s="160"/>
      <c r="BK31" s="160"/>
      <c r="BL31" s="160"/>
      <c r="BM31" s="160"/>
      <c r="BN31" s="160"/>
      <c r="BO31" s="160"/>
      <c r="BP31" s="160"/>
      <c r="BQ31" s="160"/>
      <c r="BR31" s="160"/>
      <c r="BS31" s="160"/>
      <c r="BT31" s="160"/>
      <c r="BU31" s="160"/>
      <c r="BV31" s="160"/>
      <c r="BW31" s="160"/>
      <c r="BX31" s="160"/>
      <c r="BY31" s="160"/>
      <c r="BZ31" s="160"/>
      <c r="CA31" s="160"/>
      <c r="CB31" s="160"/>
      <c r="CC31" s="164"/>
      <c r="CG31" s="327">
        <v>0.245</v>
      </c>
      <c r="CH31" s="328"/>
      <c r="CI31" s="202"/>
      <c r="CJ31" s="208"/>
      <c r="CK31" s="327">
        <v>0.2475</v>
      </c>
      <c r="CL31" s="328"/>
      <c r="CM31" s="202"/>
      <c r="CN31" s="208"/>
      <c r="CO31" s="327">
        <v>0.24629999999999999</v>
      </c>
      <c r="CP31" s="328"/>
      <c r="CQ31" s="202"/>
      <c r="CR31" s="208"/>
      <c r="CS31" s="311">
        <v>0.24</v>
      </c>
      <c r="CT31" s="312"/>
      <c r="CU31" s="202"/>
      <c r="CV31" s="208"/>
      <c r="CW31" s="311">
        <v>0.22670000000000001</v>
      </c>
      <c r="CX31" s="312"/>
      <c r="CY31" s="202"/>
      <c r="CZ31" s="208"/>
      <c r="DA31" s="311">
        <v>0.22670000000000001</v>
      </c>
      <c r="DB31" s="312"/>
      <c r="DC31" s="202"/>
      <c r="DD31" s="208"/>
      <c r="DE31" s="311">
        <v>0.18310000000000001</v>
      </c>
      <c r="DF31" s="312"/>
      <c r="DG31" s="202"/>
      <c r="DH31" s="208"/>
      <c r="DI31" s="311">
        <v>0</v>
      </c>
      <c r="DJ31" s="312"/>
      <c r="DK31" s="202"/>
      <c r="DL31" s="208"/>
      <c r="DM31" s="311">
        <v>0</v>
      </c>
      <c r="DN31" s="312"/>
      <c r="DO31" s="202"/>
      <c r="DP31" s="208"/>
      <c r="DQ31" s="311">
        <v>0</v>
      </c>
      <c r="DR31" s="312"/>
      <c r="DS31" s="202"/>
      <c r="DT31" s="208"/>
      <c r="DU31" s="311">
        <v>0</v>
      </c>
      <c r="DV31" s="312"/>
      <c r="DW31" s="202"/>
      <c r="DX31" s="208"/>
      <c r="DY31" s="311">
        <v>0</v>
      </c>
      <c r="DZ31" s="312"/>
      <c r="EA31" s="202"/>
      <c r="EB31" s="208"/>
      <c r="EC31" s="311">
        <v>0</v>
      </c>
      <c r="ED31" s="312"/>
      <c r="EE31" s="202"/>
      <c r="EF31" s="208"/>
    </row>
    <row r="32" spans="1:136" x14ac:dyDescent="0.3">
      <c r="B32" s="337" t="s">
        <v>341</v>
      </c>
      <c r="C32" s="338"/>
      <c r="D32" s="338"/>
      <c r="E32" s="338"/>
      <c r="F32" s="338"/>
      <c r="G32" s="339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0"/>
      <c r="AM32" s="160"/>
      <c r="AN32" s="160"/>
      <c r="AO32" s="160"/>
      <c r="AP32" s="160"/>
      <c r="AQ32" s="160"/>
      <c r="AR32" s="160"/>
      <c r="AS32" s="160"/>
      <c r="AT32" s="160"/>
      <c r="AU32" s="160"/>
      <c r="AV32" s="160"/>
      <c r="AW32" s="160"/>
      <c r="AX32" s="160"/>
      <c r="AY32" s="160"/>
      <c r="AZ32" s="160"/>
      <c r="BA32" s="160"/>
      <c r="BB32" s="160"/>
      <c r="BC32" s="160"/>
      <c r="BD32" s="160"/>
      <c r="BE32" s="160"/>
      <c r="BF32" s="160"/>
      <c r="BG32" s="160"/>
      <c r="BH32" s="160"/>
      <c r="BI32" s="160"/>
      <c r="BJ32" s="160"/>
      <c r="BK32" s="160"/>
      <c r="BL32" s="160"/>
      <c r="BM32" s="160"/>
      <c r="BN32" s="160"/>
      <c r="BO32" s="160"/>
      <c r="BP32" s="160"/>
      <c r="BQ32" s="160"/>
      <c r="BR32" s="160"/>
      <c r="BS32" s="160"/>
      <c r="BT32" s="160"/>
      <c r="BU32" s="160"/>
      <c r="BV32" s="160"/>
      <c r="BW32" s="160"/>
      <c r="BX32" s="160"/>
      <c r="BY32" s="160"/>
      <c r="BZ32" s="160"/>
      <c r="CA32" s="160"/>
      <c r="CB32" s="160"/>
      <c r="CC32" s="164"/>
      <c r="CG32" s="323">
        <f>+CG31*$A$30</f>
        <v>540.13189999999997</v>
      </c>
      <c r="CH32" s="324"/>
      <c r="CI32" s="203"/>
      <c r="CJ32" s="208"/>
      <c r="CK32" s="323">
        <f>+CK31*$A$30</f>
        <v>545.64344999999992</v>
      </c>
      <c r="CL32" s="324"/>
      <c r="CM32" s="203"/>
      <c r="CN32" s="208"/>
      <c r="CO32" s="323">
        <f>+CO31*$A$30</f>
        <v>542.99790599999994</v>
      </c>
      <c r="CP32" s="324"/>
      <c r="CQ32" s="203"/>
      <c r="CR32" s="208"/>
      <c r="CS32" s="323">
        <f>+CS31*$A$30</f>
        <v>529.10879999999997</v>
      </c>
      <c r="CT32" s="324"/>
      <c r="CU32" s="203"/>
      <c r="CV32" s="208"/>
      <c r="CW32" s="323">
        <f>+CW31*$A$30</f>
        <v>499.78735399999999</v>
      </c>
      <c r="CX32" s="324"/>
      <c r="CY32" s="203"/>
      <c r="CZ32" s="208"/>
      <c r="DA32" s="313">
        <f>+DA31*$A$30</f>
        <v>499.78735399999999</v>
      </c>
      <c r="DB32" s="314"/>
      <c r="DC32" s="203"/>
      <c r="DD32" s="208"/>
      <c r="DE32" s="313">
        <f>+DE31*$A$30</f>
        <v>403.66592200000002</v>
      </c>
      <c r="DF32" s="314"/>
      <c r="DG32" s="203"/>
      <c r="DH32" s="208"/>
      <c r="DI32" s="313">
        <f>+DI31*$A$30</f>
        <v>0</v>
      </c>
      <c r="DJ32" s="314"/>
      <c r="DK32" s="203"/>
      <c r="DL32" s="208"/>
      <c r="DM32" s="313">
        <f>+DM31*$A$30</f>
        <v>0</v>
      </c>
      <c r="DN32" s="314"/>
      <c r="DO32" s="203"/>
      <c r="DP32" s="208"/>
      <c r="DQ32" s="313">
        <f>+DQ31*$A$30</f>
        <v>0</v>
      </c>
      <c r="DR32" s="314"/>
      <c r="DS32" s="203"/>
      <c r="DT32" s="208"/>
      <c r="DU32" s="313">
        <f>+DU31*$A$30</f>
        <v>0</v>
      </c>
      <c r="DV32" s="314"/>
      <c r="DW32" s="203"/>
      <c r="DX32" s="208"/>
      <c r="DY32" s="313">
        <f>+DY31*$A$30</f>
        <v>0</v>
      </c>
      <c r="DZ32" s="314"/>
      <c r="EA32" s="203"/>
      <c r="EB32" s="208"/>
      <c r="EC32" s="313">
        <f>+EC31*$A$30</f>
        <v>0</v>
      </c>
      <c r="ED32" s="314"/>
      <c r="EE32" s="203"/>
      <c r="EF32" s="208"/>
    </row>
    <row r="33" spans="1:136" x14ac:dyDescent="0.3">
      <c r="A33" s="159">
        <v>0.65</v>
      </c>
      <c r="B33" s="340" t="s">
        <v>342</v>
      </c>
      <c r="C33" s="341"/>
      <c r="D33" s="341"/>
      <c r="E33" s="341"/>
      <c r="F33" s="341"/>
      <c r="G33" s="342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195"/>
      <c r="AY33" s="195"/>
      <c r="AZ33" s="195"/>
      <c r="BA33" s="195"/>
      <c r="BB33" s="195"/>
      <c r="BC33" s="195"/>
      <c r="BD33" s="195"/>
      <c r="BE33" s="195"/>
      <c r="BF33" s="195"/>
      <c r="BG33" s="195"/>
      <c r="BH33" s="195"/>
      <c r="BI33" s="195"/>
      <c r="BJ33" s="195"/>
      <c r="BK33" s="195"/>
      <c r="BL33" s="195"/>
      <c r="BM33" s="195"/>
      <c r="BN33" s="195"/>
      <c r="BO33" s="195"/>
      <c r="BP33" s="195"/>
      <c r="BQ33" s="195"/>
      <c r="BR33" s="195"/>
      <c r="BS33" s="195"/>
      <c r="BT33" s="195"/>
      <c r="BU33" s="195"/>
      <c r="BV33" s="195"/>
      <c r="BW33" s="195"/>
      <c r="BX33" s="195"/>
      <c r="BY33" s="195"/>
      <c r="BZ33" s="195"/>
      <c r="CA33" s="195"/>
      <c r="CB33" s="195"/>
      <c r="CC33" s="196"/>
      <c r="CG33" s="315">
        <f>+CG32/$A$33</f>
        <v>830.97215384615379</v>
      </c>
      <c r="CH33" s="316"/>
      <c r="CI33" s="204"/>
      <c r="CJ33" s="208">
        <f>CI33*$CI$49</f>
        <v>0</v>
      </c>
      <c r="CK33" s="315">
        <f>+CK32/$A$33</f>
        <v>839.45146153846133</v>
      </c>
      <c r="CL33" s="316"/>
      <c r="CM33" s="204"/>
      <c r="CN33" s="208">
        <f>CM33*$CI$49</f>
        <v>0</v>
      </c>
      <c r="CO33" s="315">
        <f>+CO32/$A$33</f>
        <v>835.38139384615374</v>
      </c>
      <c r="CP33" s="316"/>
      <c r="CQ33" s="204"/>
      <c r="CR33" s="208">
        <f>CQ33*$CI$49</f>
        <v>0</v>
      </c>
      <c r="CS33" s="315">
        <f>+CS32/$A$33</f>
        <v>814.01353846153836</v>
      </c>
      <c r="CT33" s="316"/>
      <c r="CU33" s="204"/>
      <c r="CV33" s="208">
        <f>CU33*$CI$49</f>
        <v>0</v>
      </c>
      <c r="CW33" s="315">
        <f>+CW32/$A$33</f>
        <v>768.90362153846149</v>
      </c>
      <c r="CX33" s="316"/>
      <c r="CY33" s="204"/>
      <c r="CZ33" s="208">
        <f>CY33*$CI$49</f>
        <v>0</v>
      </c>
      <c r="DA33" s="315">
        <f>+DA32/$A$33</f>
        <v>768.90362153846149</v>
      </c>
      <c r="DB33" s="316"/>
      <c r="DC33" s="204"/>
      <c r="DD33" s="208">
        <f>DC33*$CI$49</f>
        <v>0</v>
      </c>
      <c r="DE33" s="315">
        <f>+DE32/$A$33</f>
        <v>621.02449538461542</v>
      </c>
      <c r="DF33" s="316"/>
      <c r="DG33" s="204"/>
      <c r="DH33" s="208">
        <f>DG33*$CI$49</f>
        <v>0</v>
      </c>
      <c r="DI33" s="315">
        <f>+DI32/$A$33</f>
        <v>0</v>
      </c>
      <c r="DJ33" s="316"/>
      <c r="DK33" s="204"/>
      <c r="DL33" s="208">
        <f>DK33*$CI$49</f>
        <v>0</v>
      </c>
      <c r="DM33" s="315">
        <f>+DM32/$A$33</f>
        <v>0</v>
      </c>
      <c r="DN33" s="316"/>
      <c r="DO33" s="204"/>
      <c r="DP33" s="208">
        <f>DO33*$CI$49</f>
        <v>0</v>
      </c>
      <c r="DQ33" s="315">
        <f>+DQ32/$A$33</f>
        <v>0</v>
      </c>
      <c r="DR33" s="316"/>
      <c r="DS33" s="204"/>
      <c r="DT33" s="208">
        <f>DS33*$CI$49</f>
        <v>0</v>
      </c>
      <c r="DU33" s="315">
        <f>+DU32/$A$33</f>
        <v>0</v>
      </c>
      <c r="DV33" s="316"/>
      <c r="DW33" s="204"/>
      <c r="DX33" s="208">
        <f>DW33*$CI$49</f>
        <v>0</v>
      </c>
      <c r="DY33" s="315">
        <f>+DY32/$A$33</f>
        <v>0</v>
      </c>
      <c r="DZ33" s="316"/>
      <c r="EA33" s="204"/>
      <c r="EB33" s="208">
        <f>EA33*$CI$49</f>
        <v>0</v>
      </c>
      <c r="EC33" s="315">
        <f>+EC32/$A$33</f>
        <v>0</v>
      </c>
      <c r="ED33" s="316"/>
      <c r="EE33" s="204"/>
      <c r="EF33" s="208">
        <f>EE33*$CI$49</f>
        <v>0</v>
      </c>
    </row>
    <row r="34" spans="1:136" x14ac:dyDescent="0.3">
      <c r="B34" s="343" t="s">
        <v>343</v>
      </c>
      <c r="C34" s="344"/>
      <c r="D34" s="344"/>
      <c r="E34" s="344"/>
      <c r="F34" s="344"/>
      <c r="G34" s="345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0"/>
      <c r="AI34" s="160"/>
      <c r="AJ34" s="160"/>
      <c r="AK34" s="160"/>
      <c r="AL34" s="160"/>
      <c r="AM34" s="160"/>
      <c r="AN34" s="160"/>
      <c r="AO34" s="160"/>
      <c r="AP34" s="160"/>
      <c r="AQ34" s="160"/>
      <c r="AR34" s="160"/>
      <c r="AS34" s="160"/>
      <c r="AT34" s="160"/>
      <c r="AU34" s="160"/>
      <c r="AV34" s="160"/>
      <c r="AW34" s="160"/>
      <c r="AX34" s="160"/>
      <c r="AY34" s="160"/>
      <c r="AZ34" s="160"/>
      <c r="BA34" s="160"/>
      <c r="BB34" s="160"/>
      <c r="BC34" s="160"/>
      <c r="BD34" s="160"/>
      <c r="BE34" s="160"/>
      <c r="BF34" s="160"/>
      <c r="BG34" s="160"/>
      <c r="BH34" s="160"/>
      <c r="BI34" s="160"/>
      <c r="BJ34" s="160"/>
      <c r="BK34" s="160"/>
      <c r="BL34" s="160"/>
      <c r="BM34" s="160"/>
      <c r="BN34" s="160"/>
      <c r="BO34" s="160"/>
      <c r="BP34" s="160"/>
      <c r="BQ34" s="160"/>
      <c r="BR34" s="160"/>
      <c r="BS34" s="160"/>
      <c r="BT34" s="160"/>
      <c r="BU34" s="160"/>
      <c r="BV34" s="160"/>
      <c r="BW34" s="160"/>
      <c r="BX34" s="160"/>
      <c r="BY34" s="160"/>
      <c r="BZ34" s="160"/>
      <c r="CA34" s="160"/>
      <c r="CB34" s="160"/>
      <c r="CC34" s="164"/>
      <c r="CG34" s="317">
        <v>517.07500000000005</v>
      </c>
      <c r="CH34" s="318"/>
      <c r="CI34" s="205"/>
      <c r="CJ34" s="208"/>
      <c r="CK34" s="317">
        <v>517.07500000000005</v>
      </c>
      <c r="CL34" s="318"/>
      <c r="CM34" s="205"/>
      <c r="CN34" s="208"/>
      <c r="CO34" s="317">
        <v>517.07500000000005</v>
      </c>
      <c r="CP34" s="318"/>
      <c r="CQ34" s="205"/>
      <c r="CR34" s="208"/>
      <c r="CS34" s="317">
        <v>517.07500000000005</v>
      </c>
      <c r="CT34" s="318"/>
      <c r="CU34" s="205"/>
      <c r="CV34" s="208"/>
      <c r="CW34" s="317">
        <v>517.07500000000005</v>
      </c>
      <c r="CX34" s="318"/>
      <c r="CY34" s="205"/>
      <c r="CZ34" s="208"/>
      <c r="DA34" s="317">
        <v>517.07500000000005</v>
      </c>
      <c r="DB34" s="318"/>
      <c r="DC34" s="205"/>
      <c r="DD34" s="208"/>
      <c r="DE34" s="317">
        <v>517.07500000000005</v>
      </c>
      <c r="DF34" s="318"/>
      <c r="DG34" s="205"/>
      <c r="DH34" s="208"/>
      <c r="DI34" s="317">
        <v>517.07500000000005</v>
      </c>
      <c r="DJ34" s="318"/>
      <c r="DK34" s="205"/>
      <c r="DL34" s="208"/>
      <c r="DM34" s="317">
        <v>517.07500000000005</v>
      </c>
      <c r="DN34" s="318"/>
      <c r="DO34" s="205"/>
      <c r="DP34" s="208"/>
      <c r="DQ34" s="317">
        <v>517.07500000000005</v>
      </c>
      <c r="DR34" s="318"/>
      <c r="DS34" s="205"/>
      <c r="DT34" s="208"/>
      <c r="DU34" s="317">
        <v>517.07500000000005</v>
      </c>
      <c r="DV34" s="318"/>
      <c r="DW34" s="205"/>
      <c r="DX34" s="208"/>
      <c r="DY34" s="317">
        <v>517.07500000000005</v>
      </c>
      <c r="DZ34" s="318"/>
      <c r="EA34" s="205"/>
      <c r="EB34" s="208"/>
      <c r="EC34" s="317">
        <v>517.07500000000005</v>
      </c>
      <c r="ED34" s="318"/>
      <c r="EE34" s="205"/>
      <c r="EF34" s="208"/>
    </row>
    <row r="35" spans="1:136" x14ac:dyDescent="0.3">
      <c r="B35" s="343" t="s">
        <v>344</v>
      </c>
      <c r="C35" s="344"/>
      <c r="D35" s="344"/>
      <c r="E35" s="344"/>
      <c r="F35" s="344"/>
      <c r="G35" s="345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  <c r="AX35" s="160"/>
      <c r="AY35" s="160"/>
      <c r="AZ35" s="160"/>
      <c r="BA35" s="160"/>
      <c r="BB35" s="160"/>
      <c r="BC35" s="160"/>
      <c r="BD35" s="160"/>
      <c r="BE35" s="160"/>
      <c r="BF35" s="160"/>
      <c r="BG35" s="160"/>
      <c r="BH35" s="160"/>
      <c r="BI35" s="160"/>
      <c r="BJ35" s="160"/>
      <c r="BK35" s="160"/>
      <c r="BL35" s="160"/>
      <c r="BM35" s="160"/>
      <c r="BN35" s="160"/>
      <c r="BO35" s="160"/>
      <c r="BP35" s="160"/>
      <c r="BQ35" s="160"/>
      <c r="BR35" s="160"/>
      <c r="BS35" s="160"/>
      <c r="BT35" s="160"/>
      <c r="BU35" s="160"/>
      <c r="BV35" s="160"/>
      <c r="BW35" s="160"/>
      <c r="BX35" s="160"/>
      <c r="BY35" s="160"/>
      <c r="BZ35" s="160"/>
      <c r="CA35" s="160"/>
      <c r="CB35" s="160"/>
      <c r="CC35" s="164"/>
      <c r="CG35" s="317">
        <v>308.01263157201066</v>
      </c>
      <c r="CH35" s="318"/>
      <c r="CI35" s="205"/>
      <c r="CJ35" s="208"/>
      <c r="CK35" s="317">
        <v>308.01263157201066</v>
      </c>
      <c r="CL35" s="318"/>
      <c r="CM35" s="205"/>
      <c r="CN35" s="208"/>
      <c r="CO35" s="317">
        <v>308.01263157201066</v>
      </c>
      <c r="CP35" s="318"/>
      <c r="CQ35" s="205"/>
      <c r="CR35" s="208"/>
      <c r="CS35" s="317">
        <v>308.01263157201066</v>
      </c>
      <c r="CT35" s="318"/>
      <c r="CU35" s="205"/>
      <c r="CV35" s="208"/>
      <c r="CW35" s="317">
        <v>308.01263157201066</v>
      </c>
      <c r="CX35" s="318"/>
      <c r="CY35" s="205"/>
      <c r="CZ35" s="208"/>
      <c r="DA35" s="317">
        <v>308.01263157201066</v>
      </c>
      <c r="DB35" s="318"/>
      <c r="DC35" s="205"/>
      <c r="DD35" s="208"/>
      <c r="DE35" s="317">
        <v>308.01263157201066</v>
      </c>
      <c r="DF35" s="318"/>
      <c r="DG35" s="205"/>
      <c r="DH35" s="208"/>
      <c r="DI35" s="317">
        <v>308.01263157201066</v>
      </c>
      <c r="DJ35" s="318"/>
      <c r="DK35" s="205"/>
      <c r="DL35" s="208"/>
      <c r="DM35" s="317">
        <v>308.01263157201066</v>
      </c>
      <c r="DN35" s="318"/>
      <c r="DO35" s="205"/>
      <c r="DP35" s="208"/>
      <c r="DQ35" s="317">
        <v>308.01263157201066</v>
      </c>
      <c r="DR35" s="318"/>
      <c r="DS35" s="205"/>
      <c r="DT35" s="208"/>
      <c r="DU35" s="317">
        <v>308.01263157201066</v>
      </c>
      <c r="DV35" s="318"/>
      <c r="DW35" s="205"/>
      <c r="DX35" s="208"/>
      <c r="DY35" s="317">
        <v>308.01263157201066</v>
      </c>
      <c r="DZ35" s="318"/>
      <c r="EA35" s="205"/>
      <c r="EB35" s="208"/>
      <c r="EC35" s="317">
        <v>308.01263157201066</v>
      </c>
      <c r="ED35" s="318"/>
      <c r="EE35" s="205"/>
      <c r="EF35" s="208"/>
    </row>
    <row r="36" spans="1:136" x14ac:dyDescent="0.3">
      <c r="B36" s="340" t="s">
        <v>345</v>
      </c>
      <c r="C36" s="341"/>
      <c r="D36" s="341"/>
      <c r="E36" s="341"/>
      <c r="F36" s="341"/>
      <c r="G36" s="342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5"/>
      <c r="AX36" s="195"/>
      <c r="AY36" s="195"/>
      <c r="AZ36" s="195"/>
      <c r="BA36" s="195"/>
      <c r="BB36" s="195"/>
      <c r="BC36" s="195"/>
      <c r="BD36" s="195"/>
      <c r="BE36" s="195"/>
      <c r="BF36" s="195"/>
      <c r="BG36" s="195"/>
      <c r="BH36" s="195"/>
      <c r="BI36" s="195"/>
      <c r="BJ36" s="195"/>
      <c r="BK36" s="195"/>
      <c r="BL36" s="195"/>
      <c r="BM36" s="195"/>
      <c r="BN36" s="195"/>
      <c r="BO36" s="195"/>
      <c r="BP36" s="195"/>
      <c r="BQ36" s="195"/>
      <c r="BR36" s="195"/>
      <c r="BS36" s="195"/>
      <c r="BT36" s="195"/>
      <c r="BU36" s="195"/>
      <c r="BV36" s="195"/>
      <c r="BW36" s="195"/>
      <c r="BX36" s="195"/>
      <c r="BY36" s="195"/>
      <c r="BZ36" s="195"/>
      <c r="CA36" s="195"/>
      <c r="CB36" s="195"/>
      <c r="CC36" s="196"/>
      <c r="CG36" s="307">
        <f>CG34+CG35</f>
        <v>825.08763157201065</v>
      </c>
      <c r="CH36" s="308" t="e">
        <f>+SUM(CH34:CH35)/$A$21</f>
        <v>#DIV/0!</v>
      </c>
      <c r="CI36" s="204"/>
      <c r="CJ36" s="208">
        <f>CI36*$CI$49</f>
        <v>0</v>
      </c>
      <c r="CK36" s="307">
        <f>CK34+CK35</f>
        <v>825.08763157201065</v>
      </c>
      <c r="CL36" s="308" t="e">
        <f>+SUM(CL34:CL35)/$A$21</f>
        <v>#DIV/0!</v>
      </c>
      <c r="CM36" s="204"/>
      <c r="CN36" s="208">
        <f>CM36*$CI$49</f>
        <v>0</v>
      </c>
      <c r="CO36" s="307">
        <f>CO34+CO35</f>
        <v>825.08763157201065</v>
      </c>
      <c r="CP36" s="308" t="e">
        <f>+SUM(CP34:CP35)/$A$21</f>
        <v>#DIV/0!</v>
      </c>
      <c r="CQ36" s="204"/>
      <c r="CR36" s="208">
        <f>CQ36*$CI$49</f>
        <v>0</v>
      </c>
      <c r="CS36" s="307">
        <f>CS34+CS35</f>
        <v>825.08763157201065</v>
      </c>
      <c r="CT36" s="308" t="e">
        <f>+SUM(CT34:CT35)/$A$21</f>
        <v>#DIV/0!</v>
      </c>
      <c r="CU36" s="204"/>
      <c r="CV36" s="208">
        <f>CU36*$CI$49</f>
        <v>0</v>
      </c>
      <c r="CW36" s="307">
        <f>CW34+CW35</f>
        <v>825.08763157201065</v>
      </c>
      <c r="CX36" s="308" t="e">
        <f>+SUM(CX34:CX35)/$A$21</f>
        <v>#DIV/0!</v>
      </c>
      <c r="CY36" s="204"/>
      <c r="CZ36" s="208">
        <f>CY36*$CI$49</f>
        <v>0</v>
      </c>
      <c r="DA36" s="307">
        <f>DA34+DA35</f>
        <v>825.08763157201065</v>
      </c>
      <c r="DB36" s="308" t="e">
        <f>+SUM(DB34:DB35)/$A$21</f>
        <v>#DIV/0!</v>
      </c>
      <c r="DC36" s="204"/>
      <c r="DD36" s="208">
        <f>DC36*$CI$49</f>
        <v>0</v>
      </c>
      <c r="DE36" s="307">
        <f>DE34+DE35</f>
        <v>825.08763157201065</v>
      </c>
      <c r="DF36" s="308" t="e">
        <f>+SUM(DF34:DF35)/$A$21</f>
        <v>#DIV/0!</v>
      </c>
      <c r="DG36" s="204"/>
      <c r="DH36" s="208">
        <f>DG36*$CI$49</f>
        <v>0</v>
      </c>
      <c r="DI36" s="307">
        <f>DI34+DI35</f>
        <v>825.08763157201065</v>
      </c>
      <c r="DJ36" s="308" t="e">
        <f>+SUM(DJ34:DJ35)/$A$21</f>
        <v>#DIV/0!</v>
      </c>
      <c r="DK36" s="204"/>
      <c r="DL36" s="208">
        <f>DK36*$CI$49</f>
        <v>0</v>
      </c>
      <c r="DM36" s="307">
        <f>DM34+DM35</f>
        <v>825.08763157201065</v>
      </c>
      <c r="DN36" s="308" t="e">
        <f>+SUM(DN34:DN35)/$A$21</f>
        <v>#DIV/0!</v>
      </c>
      <c r="DO36" s="204"/>
      <c r="DP36" s="208">
        <f>DO36*$CI$49</f>
        <v>0</v>
      </c>
      <c r="DQ36" s="307">
        <f>DQ34+DQ35</f>
        <v>825.08763157201065</v>
      </c>
      <c r="DR36" s="308" t="e">
        <f>+SUM(DR34:DR35)/$A$21</f>
        <v>#DIV/0!</v>
      </c>
      <c r="DS36" s="204"/>
      <c r="DT36" s="208">
        <f>DS36*$CI$49</f>
        <v>0</v>
      </c>
      <c r="DU36" s="307">
        <f>DU34+DU35</f>
        <v>825.08763157201065</v>
      </c>
      <c r="DV36" s="308" t="e">
        <f>+SUM(DV34:DV35)/$A$21</f>
        <v>#DIV/0!</v>
      </c>
      <c r="DW36" s="204"/>
      <c r="DX36" s="208">
        <f>DW36*$CI$49</f>
        <v>0</v>
      </c>
      <c r="DY36" s="307">
        <f>DY34+DY35</f>
        <v>825.08763157201065</v>
      </c>
      <c r="DZ36" s="308" t="e">
        <f>+SUM(DZ34:DZ35)/$A$21</f>
        <v>#DIV/0!</v>
      </c>
      <c r="EA36" s="204"/>
      <c r="EB36" s="208">
        <f>EA36*$CI$49</f>
        <v>0</v>
      </c>
      <c r="EC36" s="307">
        <f>EC34+EC35</f>
        <v>825.08763157201065</v>
      </c>
      <c r="ED36" s="308" t="e">
        <f>+SUM(ED34:ED35)/$A$21</f>
        <v>#DIV/0!</v>
      </c>
      <c r="EE36" s="204"/>
      <c r="EF36" s="208">
        <f>EE36*$CI$49</f>
        <v>0</v>
      </c>
    </row>
    <row r="37" spans="1:136" x14ac:dyDescent="0.3">
      <c r="A37" s="159"/>
      <c r="B37" s="340" t="s">
        <v>346</v>
      </c>
      <c r="C37" s="341"/>
      <c r="D37" s="341"/>
      <c r="E37" s="341"/>
      <c r="F37" s="341"/>
      <c r="G37" s="342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5"/>
      <c r="AN37" s="195"/>
      <c r="AO37" s="195"/>
      <c r="AP37" s="195"/>
      <c r="AQ37" s="195"/>
      <c r="AR37" s="195"/>
      <c r="AS37" s="195"/>
      <c r="AT37" s="195"/>
      <c r="AU37" s="195"/>
      <c r="AV37" s="195"/>
      <c r="AW37" s="195"/>
      <c r="AX37" s="195"/>
      <c r="AY37" s="195"/>
      <c r="AZ37" s="195"/>
      <c r="BA37" s="195"/>
      <c r="BB37" s="195"/>
      <c r="BC37" s="195"/>
      <c r="BD37" s="195"/>
      <c r="BE37" s="195"/>
      <c r="BF37" s="195"/>
      <c r="BG37" s="195"/>
      <c r="BH37" s="195"/>
      <c r="BI37" s="195"/>
      <c r="BJ37" s="195"/>
      <c r="BK37" s="195"/>
      <c r="BL37" s="195"/>
      <c r="BM37" s="195"/>
      <c r="BN37" s="195"/>
      <c r="BO37" s="195"/>
      <c r="BP37" s="195"/>
      <c r="BQ37" s="195"/>
      <c r="BR37" s="195"/>
      <c r="BS37" s="195"/>
      <c r="BT37" s="195"/>
      <c r="BU37" s="195"/>
      <c r="BV37" s="195"/>
      <c r="BW37" s="195"/>
      <c r="BX37" s="195"/>
      <c r="BY37" s="195"/>
      <c r="BZ37" s="195"/>
      <c r="CA37" s="195"/>
      <c r="CB37" s="195"/>
      <c r="CC37" s="196"/>
      <c r="CG37" s="307">
        <f>CG36+CG33</f>
        <v>1656.0597854181644</v>
      </c>
      <c r="CH37" s="308" t="e">
        <f t="shared" ref="CH37" si="98">+((CH33+CH34)/CH35)+CH36</f>
        <v>#DIV/0!</v>
      </c>
      <c r="CI37" s="232">
        <f>CG37/$CG$42</f>
        <v>0.87436698788738976</v>
      </c>
      <c r="CJ37" s="208">
        <f>CI37*$CI$49</f>
        <v>486.42610519625657</v>
      </c>
      <c r="CK37" s="307">
        <f>CK36+CK33</f>
        <v>1664.5390931104721</v>
      </c>
      <c r="CL37" s="308" t="e">
        <f t="shared" ref="CL37" si="99">+((CL33+CL34)/CL35)+CL36</f>
        <v>#DIV/0!</v>
      </c>
      <c r="CM37" s="232">
        <f>CK37/CK42</f>
        <v>0.86685845392174277</v>
      </c>
      <c r="CN37" s="208">
        <f>CM37*CM49</f>
        <v>367.66927759468257</v>
      </c>
      <c r="CO37" s="307">
        <f>CO36+CO33</f>
        <v>1660.4690254181644</v>
      </c>
      <c r="CP37" s="308" t="e">
        <f t="shared" ref="CP37" si="100">+((CP33+CP34)/CP35)+CP36</f>
        <v>#DIV/0!</v>
      </c>
      <c r="CQ37" s="232">
        <f>CO37/CO42</f>
        <v>0.86708554462347964</v>
      </c>
      <c r="CR37" s="208">
        <f>CQ37*CQ49</f>
        <v>474.89414126959497</v>
      </c>
      <c r="CS37" s="307">
        <f>CS36+CS33</f>
        <v>1639.1011700335489</v>
      </c>
      <c r="CT37" s="308" t="e">
        <f t="shared" ref="CT37" si="101">+((CT33+CT34)/CT35)+CT36</f>
        <v>#DIV/0!</v>
      </c>
      <c r="CU37" s="232">
        <f>CS37/CS42</f>
        <v>0.86527644765194356</v>
      </c>
      <c r="CV37" s="208">
        <f>CU37*CU49</f>
        <v>0</v>
      </c>
      <c r="CW37" s="307">
        <f>CW36+CW33</f>
        <v>1593.9912531104721</v>
      </c>
      <c r="CX37" s="308" t="e">
        <f t="shared" ref="CX37" si="102">+((CX33+CX34)/CX35)+CX36</f>
        <v>#DIV/0!</v>
      </c>
      <c r="CY37" s="232">
        <f>CW37/CW42</f>
        <v>0.86340084735405498</v>
      </c>
      <c r="CZ37" s="208">
        <f>CY37*CY49</f>
        <v>940.76449536029702</v>
      </c>
      <c r="DA37" s="307">
        <f>DA36+DA33</f>
        <v>1593.9912531104721</v>
      </c>
      <c r="DB37" s="308" t="e">
        <f t="shared" ref="DB37" si="103">+((DB33+DB34)/DB35)+DB36</f>
        <v>#DIV/0!</v>
      </c>
      <c r="DC37" s="232">
        <f>DA37/DA42</f>
        <v>0.84470781713865017</v>
      </c>
      <c r="DD37" s="208">
        <f>DC37*DC49</f>
        <v>290.05630743118599</v>
      </c>
      <c r="DE37" s="307">
        <f>DE36+DE33</f>
        <v>1446.1121269566261</v>
      </c>
      <c r="DF37" s="308" t="e">
        <f t="shared" ref="DF37" si="104">+((DF33+DF34)/DF35)+DF36</f>
        <v>#DIV/0!</v>
      </c>
      <c r="DG37" s="232">
        <f>DE37/DE42</f>
        <v>0.82699773326157144</v>
      </c>
      <c r="DH37" s="208">
        <f>DG37*DG49</f>
        <v>447.69698213608825</v>
      </c>
      <c r="DI37" s="307">
        <f>DI36+DI33</f>
        <v>825.08763157201065</v>
      </c>
      <c r="DJ37" s="308" t="e">
        <f t="shared" ref="DJ37" si="105">+((DJ33+DJ34)/DJ35)+DJ36</f>
        <v>#DIV/0!</v>
      </c>
      <c r="DK37" s="232">
        <f>DI37/DI42</f>
        <v>0.74879159295108444</v>
      </c>
      <c r="DL37" s="208">
        <f>DK37*DK49</f>
        <v>0</v>
      </c>
      <c r="DM37" s="307">
        <f>DM36+DM33</f>
        <v>825.08763157201065</v>
      </c>
      <c r="DN37" s="308" t="e">
        <f t="shared" ref="DN37" si="106">+((DN33+DN34)/DN35)+DN36</f>
        <v>#DIV/0!</v>
      </c>
      <c r="DO37" s="232">
        <f>DM37/DM42</f>
        <v>0.74945196147922277</v>
      </c>
      <c r="DP37" s="208">
        <f>DO37*DO49</f>
        <v>0</v>
      </c>
      <c r="DQ37" s="307">
        <f>DQ36+DQ33</f>
        <v>825.08763157201065</v>
      </c>
      <c r="DR37" s="308" t="e">
        <f t="shared" ref="DR37" si="107">+((DR33+DR34)/DR35)+DR36</f>
        <v>#DIV/0!</v>
      </c>
      <c r="DS37" s="232">
        <f>DQ37/DQ42</f>
        <v>0.74929786526241016</v>
      </c>
      <c r="DT37" s="208">
        <f>DS37*DS49</f>
        <v>0</v>
      </c>
      <c r="DU37" s="307">
        <f>DU36+DU33</f>
        <v>825.08763157201065</v>
      </c>
      <c r="DV37" s="308" t="e">
        <f t="shared" ref="DV37" si="108">+((DV33+DV34)/DV35)+DV36</f>
        <v>#DIV/0!</v>
      </c>
      <c r="DW37" s="232">
        <f>DU37/DU42</f>
        <v>0.74972474285776192</v>
      </c>
      <c r="DX37" s="208">
        <f>DW37*DW49</f>
        <v>0</v>
      </c>
      <c r="DY37" s="307">
        <f>DY36+DY33</f>
        <v>825.08763157201065</v>
      </c>
      <c r="DZ37" s="308" t="e">
        <f t="shared" ref="DZ37" si="109">+((DZ33+DZ34)/DZ35)+DZ36</f>
        <v>#DIV/0!</v>
      </c>
      <c r="EA37" s="232">
        <f>DY37/DY42</f>
        <v>0.74967036370165263</v>
      </c>
      <c r="EB37" s="208">
        <f>EA37*EA49</f>
        <v>0</v>
      </c>
      <c r="EC37" s="307">
        <f>EC36+EC33</f>
        <v>825.08763157201065</v>
      </c>
      <c r="ED37" s="308" t="e">
        <f t="shared" ref="ED37" si="110">+((ED33+ED34)/ED35)+ED36</f>
        <v>#DIV/0!</v>
      </c>
      <c r="EE37" s="232">
        <f>EC37/EC42</f>
        <v>0.7497215875375578</v>
      </c>
      <c r="EF37" s="208">
        <f>EE37*EE49</f>
        <v>0</v>
      </c>
    </row>
    <row r="38" spans="1:136" x14ac:dyDescent="0.3">
      <c r="B38" s="343" t="s">
        <v>347</v>
      </c>
      <c r="C38" s="344"/>
      <c r="D38" s="344"/>
      <c r="E38" s="344"/>
      <c r="F38" s="344"/>
      <c r="G38" s="345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0"/>
      <c r="AI38" s="160"/>
      <c r="AJ38" s="160"/>
      <c r="AK38" s="160"/>
      <c r="AL38" s="160"/>
      <c r="AM38" s="160"/>
      <c r="AN38" s="160"/>
      <c r="AO38" s="160"/>
      <c r="AP38" s="160"/>
      <c r="AQ38" s="160"/>
      <c r="AR38" s="160"/>
      <c r="AS38" s="160"/>
      <c r="AT38" s="160"/>
      <c r="AU38" s="160"/>
      <c r="AV38" s="160"/>
      <c r="AW38" s="160"/>
      <c r="AX38" s="160"/>
      <c r="AY38" s="160"/>
      <c r="AZ38" s="160"/>
      <c r="BA38" s="160"/>
      <c r="BB38" s="160"/>
      <c r="BC38" s="160"/>
      <c r="BD38" s="160"/>
      <c r="BE38" s="160"/>
      <c r="BF38" s="160"/>
      <c r="BG38" s="160"/>
      <c r="BH38" s="160"/>
      <c r="BI38" s="160"/>
      <c r="BJ38" s="160"/>
      <c r="BK38" s="160"/>
      <c r="BL38" s="160"/>
      <c r="BM38" s="160"/>
      <c r="BN38" s="160"/>
      <c r="BO38" s="160"/>
      <c r="BP38" s="160"/>
      <c r="BQ38" s="160"/>
      <c r="BR38" s="160"/>
      <c r="BS38" s="160"/>
      <c r="BT38" s="160"/>
      <c r="BU38" s="160"/>
      <c r="BV38" s="160"/>
      <c r="BW38" s="160"/>
      <c r="BX38" s="160"/>
      <c r="BY38" s="160"/>
      <c r="BZ38" s="160"/>
      <c r="CA38" s="160"/>
      <c r="CB38" s="160"/>
      <c r="CC38" s="164"/>
      <c r="CG38" s="317">
        <v>180</v>
      </c>
      <c r="CH38" s="318"/>
      <c r="CI38" s="204">
        <f>CG38/$CG$42</f>
        <v>9.5036458952470301E-2</v>
      </c>
      <c r="CJ38" s="208">
        <f>CI38*$CI$49</f>
        <v>52.870493991989321</v>
      </c>
      <c r="CK38" s="317">
        <v>197</v>
      </c>
      <c r="CL38" s="318"/>
      <c r="CM38" s="204">
        <f>CK38/CK42</f>
        <v>0.10259363455589901</v>
      </c>
      <c r="CN38" s="208">
        <f>CM38*CM49</f>
        <v>43.514056224899598</v>
      </c>
      <c r="CO38" s="317">
        <v>197</v>
      </c>
      <c r="CP38" s="318"/>
      <c r="CQ38" s="204">
        <f>CO38/CO42</f>
        <v>0.10287204981002766</v>
      </c>
      <c r="CR38" s="208">
        <f>CQ38*CQ49</f>
        <v>56.341999999999999</v>
      </c>
      <c r="CS38" s="323">
        <v>197</v>
      </c>
      <c r="CT38" s="324"/>
      <c r="CU38" s="204">
        <f>CS38/CS42</f>
        <v>0.10399569184856597</v>
      </c>
      <c r="CV38" s="208">
        <f>CU38*CU49</f>
        <v>0</v>
      </c>
      <c r="CW38" s="323">
        <v>197</v>
      </c>
      <c r="CX38" s="324"/>
      <c r="CY38" s="204">
        <f>CW38/CW42</f>
        <v>0.10670696379094917</v>
      </c>
      <c r="CZ38" s="208">
        <f>CY38*CY49</f>
        <v>116.268270120259</v>
      </c>
      <c r="DA38" s="323">
        <v>234</v>
      </c>
      <c r="DB38" s="324"/>
      <c r="DC38" s="204">
        <f>DA38/DA42</f>
        <v>0.12400421195833571</v>
      </c>
      <c r="DD38" s="208">
        <f>DC38*DC49</f>
        <v>42.58064516129032</v>
      </c>
      <c r="DE38" s="323">
        <v>250</v>
      </c>
      <c r="DF38" s="324"/>
      <c r="DG38" s="204">
        <f>DE38/DE42</f>
        <v>0.14296915810428992</v>
      </c>
      <c r="DH38" s="208">
        <f>DG38*DG49</f>
        <v>77.396657871591898</v>
      </c>
      <c r="DI38" s="323">
        <v>250</v>
      </c>
      <c r="DJ38" s="324"/>
      <c r="DK38" s="204">
        <f>DI38/DI42</f>
        <v>0.22688244384552159</v>
      </c>
      <c r="DL38" s="208">
        <f>DK38*DK49</f>
        <v>0</v>
      </c>
      <c r="DM38" s="323">
        <v>250</v>
      </c>
      <c r="DN38" s="324"/>
      <c r="DO38" s="204">
        <f>DM38/DM42</f>
        <v>0.22708253426709299</v>
      </c>
      <c r="DP38" s="208">
        <f>DO38*DO49</f>
        <v>0</v>
      </c>
      <c r="DQ38" s="323">
        <v>250</v>
      </c>
      <c r="DR38" s="324"/>
      <c r="DS38" s="204">
        <f>DQ38/DQ42</f>
        <v>0.22703584340332403</v>
      </c>
      <c r="DT38" s="208">
        <f>DS38*DS49</f>
        <v>0</v>
      </c>
      <c r="DU38" s="323">
        <v>250</v>
      </c>
      <c r="DV38" s="324"/>
      <c r="DW38" s="204">
        <f>DU38/DU42</f>
        <v>0.22716518651156409</v>
      </c>
      <c r="DX38" s="208">
        <f>DW38*DW49</f>
        <v>0</v>
      </c>
      <c r="DY38" s="323">
        <v>250</v>
      </c>
      <c r="DZ38" s="324"/>
      <c r="EA38" s="204">
        <f>DY38/DY42</f>
        <v>0.22714870972957499</v>
      </c>
      <c r="EB38" s="208">
        <f>EA38*EA49</f>
        <v>0</v>
      </c>
      <c r="EC38" s="323">
        <v>250</v>
      </c>
      <c r="ED38" s="324"/>
      <c r="EE38" s="204">
        <f>EC38/EC42</f>
        <v>0.22716423045547887</v>
      </c>
      <c r="EF38" s="208">
        <f>EE38*EE49</f>
        <v>0</v>
      </c>
    </row>
    <row r="39" spans="1:136" x14ac:dyDescent="0.3">
      <c r="B39" s="343" t="s">
        <v>348</v>
      </c>
      <c r="C39" s="344"/>
      <c r="D39" s="344"/>
      <c r="E39" s="344"/>
      <c r="F39" s="344"/>
      <c r="G39" s="345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0"/>
      <c r="AM39" s="160"/>
      <c r="AN39" s="160"/>
      <c r="AO39" s="160"/>
      <c r="AP39" s="160"/>
      <c r="AQ39" s="160"/>
      <c r="AR39" s="160"/>
      <c r="AS39" s="160"/>
      <c r="AT39" s="160"/>
      <c r="AU39" s="160"/>
      <c r="AV39" s="160"/>
      <c r="AW39" s="160"/>
      <c r="AX39" s="160"/>
      <c r="AY39" s="160"/>
      <c r="AZ39" s="160"/>
      <c r="BA39" s="160"/>
      <c r="BB39" s="160"/>
      <c r="BC39" s="160"/>
      <c r="BD39" s="160"/>
      <c r="BE39" s="160"/>
      <c r="BF39" s="160"/>
      <c r="BG39" s="160"/>
      <c r="BH39" s="160"/>
      <c r="BI39" s="160"/>
      <c r="BJ39" s="160"/>
      <c r="BK39" s="160"/>
      <c r="BL39" s="160"/>
      <c r="BM39" s="160"/>
      <c r="BN39" s="160"/>
      <c r="BO39" s="160"/>
      <c r="BP39" s="160"/>
      <c r="BQ39" s="160"/>
      <c r="BR39" s="160"/>
      <c r="BS39" s="160"/>
      <c r="BT39" s="160"/>
      <c r="BU39" s="160"/>
      <c r="BV39" s="160"/>
      <c r="BW39" s="160"/>
      <c r="BX39" s="160"/>
      <c r="BY39" s="160"/>
      <c r="BZ39" s="160"/>
      <c r="CA39" s="160"/>
      <c r="CB39" s="160"/>
      <c r="CC39" s="164"/>
      <c r="CG39" s="329">
        <f>CH12</f>
        <v>4.2567500000000001E-2</v>
      </c>
      <c r="CH39" s="330"/>
      <c r="CI39" s="206"/>
      <c r="CJ39" s="208"/>
      <c r="CK39" s="329">
        <f>CL12</f>
        <v>4.2235799999999997E-2</v>
      </c>
      <c r="CL39" s="330"/>
      <c r="CM39" s="206"/>
      <c r="CN39" s="208"/>
      <c r="CO39" s="329">
        <f>CP12</f>
        <v>4.1181500000000003E-2</v>
      </c>
      <c r="CP39" s="330"/>
      <c r="CQ39" s="206"/>
      <c r="CR39" s="208"/>
      <c r="CS39" s="325">
        <f>CT12</f>
        <v>4.28505E-2</v>
      </c>
      <c r="CT39" s="326"/>
      <c r="CU39" s="206"/>
      <c r="CV39" s="208"/>
      <c r="CW39" s="325">
        <f>CX12</f>
        <v>4.1465599999999998E-2</v>
      </c>
      <c r="CX39" s="326"/>
      <c r="CY39" s="206"/>
      <c r="CZ39" s="208"/>
      <c r="DA39" s="325">
        <f>DB12</f>
        <v>4.1913800000000001E-2</v>
      </c>
      <c r="DB39" s="326"/>
      <c r="DC39" s="206"/>
      <c r="DD39" s="208"/>
      <c r="DE39" s="325">
        <f>DF12</f>
        <v>4.0537700000000003E-2</v>
      </c>
      <c r="DF39" s="326"/>
      <c r="DG39" s="206"/>
      <c r="DH39" s="208"/>
      <c r="DI39" s="325">
        <f>DJ12</f>
        <v>3.8718700000000002E-2</v>
      </c>
      <c r="DJ39" s="326"/>
      <c r="DK39" s="206"/>
      <c r="DL39" s="208"/>
      <c r="DM39" s="325">
        <f>DN12</f>
        <v>3.6936900000000002E-2</v>
      </c>
      <c r="DN39" s="326"/>
      <c r="DO39" s="206"/>
      <c r="DP39" s="208"/>
      <c r="DQ39" s="325">
        <f>DR12</f>
        <v>3.7352400000000001E-2</v>
      </c>
      <c r="DR39" s="326"/>
      <c r="DS39" s="206"/>
      <c r="DT39" s="208"/>
      <c r="DU39" s="325">
        <f>DV12</f>
        <v>3.6201799999999999E-2</v>
      </c>
      <c r="DV39" s="326"/>
      <c r="DW39" s="206"/>
      <c r="DX39" s="208"/>
      <c r="DY39" s="325">
        <f>DZ12</f>
        <v>3.63483E-2</v>
      </c>
      <c r="DZ39" s="326"/>
      <c r="EA39" s="206"/>
      <c r="EB39" s="208"/>
      <c r="EC39" s="325">
        <f>ED12</f>
        <v>3.6210300000000001E-2</v>
      </c>
      <c r="ED39" s="326"/>
      <c r="EE39" s="206"/>
      <c r="EF39" s="208"/>
    </row>
    <row r="40" spans="1:136" x14ac:dyDescent="0.3">
      <c r="B40" s="343" t="s">
        <v>338</v>
      </c>
      <c r="C40" s="344"/>
      <c r="D40" s="344"/>
      <c r="E40" s="344"/>
      <c r="F40" s="344"/>
      <c r="G40" s="345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AX40" s="160"/>
      <c r="AY40" s="160"/>
      <c r="AZ40" s="160"/>
      <c r="BA40" s="160"/>
      <c r="BB40" s="160"/>
      <c r="BC40" s="160"/>
      <c r="BD40" s="160"/>
      <c r="BE40" s="160"/>
      <c r="BF40" s="160"/>
      <c r="BG40" s="160"/>
      <c r="BH40" s="160"/>
      <c r="BI40" s="160"/>
      <c r="BJ40" s="160"/>
      <c r="BK40" s="160"/>
      <c r="BL40" s="160"/>
      <c r="BM40" s="160"/>
      <c r="BN40" s="160"/>
      <c r="BO40" s="160"/>
      <c r="BP40" s="160"/>
      <c r="BQ40" s="160"/>
      <c r="BR40" s="160"/>
      <c r="BS40" s="160"/>
      <c r="BT40" s="160"/>
      <c r="BU40" s="160"/>
      <c r="BV40" s="160"/>
      <c r="BW40" s="160"/>
      <c r="BX40" s="160"/>
      <c r="BY40" s="160"/>
      <c r="BZ40" s="160"/>
      <c r="CA40" s="160"/>
      <c r="CB40" s="160"/>
      <c r="CC40" s="164"/>
      <c r="CG40" s="319">
        <f>(CG37+CG38)*(3.8%+CG39)/365*180</f>
        <v>72.95017648521106</v>
      </c>
      <c r="CH40" s="320" t="e">
        <f>SUM(CH36:CH38)*(3.8%+CH39)/365*180</f>
        <v>#DIV/0!</v>
      </c>
      <c r="CI40" s="204">
        <f>CG40/$CG$42</f>
        <v>3.8516258072845699E-2</v>
      </c>
      <c r="CJ40" s="208">
        <f>CI40*$CI$49</f>
        <v>21.427288153199513</v>
      </c>
      <c r="CK40" s="319">
        <f>(CK37+CK38)*(3.8%+CK39)/365*180</f>
        <v>73.658011249476104</v>
      </c>
      <c r="CL40" s="320" t="e">
        <f>SUM(CL36:CL38)*(3.8%+CL39)/365*180</f>
        <v>#DIV/0!</v>
      </c>
      <c r="CM40" s="204">
        <f>CK40/CK42</f>
        <v>3.8359609584990101E-2</v>
      </c>
      <c r="CN40" s="208">
        <f>CM40*CM49</f>
        <v>16.269841842253758</v>
      </c>
      <c r="CO40" s="319">
        <f>(CO37+CO38)*(3.8%+CO39)/365*180</f>
        <v>72.531213847963599</v>
      </c>
      <c r="CP40" s="320" t="e">
        <f>SUM(CP36:CP38)*(3.8%+CP39)/365*180</f>
        <v>#DIV/0!</v>
      </c>
      <c r="CQ40" s="204">
        <f>CO40/CO42</f>
        <v>3.7875302760149644E-2</v>
      </c>
      <c r="CR40" s="208">
        <f>CQ40*CQ49</f>
        <v>20.74392716051759</v>
      </c>
      <c r="CS40" s="319">
        <f>(CS37+CS38)*(3.8%+CS39)/365*180</f>
        <v>73.2080700728864</v>
      </c>
      <c r="CT40" s="320" t="e">
        <f>SUM(CT36:CT38)*(3.8%+CT39)/365*180</f>
        <v>#DIV/0!</v>
      </c>
      <c r="CU40" s="204">
        <f>CS40/CS42</f>
        <v>3.8646314193543745E-2</v>
      </c>
      <c r="CV40" s="208">
        <f>CU40*CU49</f>
        <v>0</v>
      </c>
      <c r="CW40" s="319">
        <f>(CW37+CW38)*(3.8%+CW39)/365*180</f>
        <v>70.186287710059162</v>
      </c>
      <c r="CX40" s="320" t="e">
        <f>SUM(CX36:CX38)*(3.8%+CX39)/365*180</f>
        <v>#DIV/0!</v>
      </c>
      <c r="CY40" s="204">
        <f>CW40/CW42</f>
        <v>3.8017084575118897E-2</v>
      </c>
      <c r="CZ40" s="208">
        <f>CY40*CY49</f>
        <v>41.42354445792575</v>
      </c>
      <c r="DA40" s="319">
        <f>(DA37+DA38)*(3.8%+DA39)/365*185</f>
        <v>74.041423478141468</v>
      </c>
      <c r="DB40" s="320" t="e">
        <f>SUM(DB36:DB38)*(3.8%+DB39)/365*180</f>
        <v>#DIV/0!</v>
      </c>
      <c r="DC40" s="204">
        <f>DA40/DA42</f>
        <v>3.9236958849061317E-2</v>
      </c>
      <c r="DD40" s="208">
        <f>DC40*DC49</f>
        <v>13.473211881878512</v>
      </c>
      <c r="DE40" s="319">
        <f>(DE37+DE38)*(3.8%+DE39)/365*185</f>
        <v>67.51676136371799</v>
      </c>
      <c r="DF40" s="320" t="e">
        <f>SUM(DF36:DF38)*(3.8%+DF39)/365*180</f>
        <v>#DIV/0!</v>
      </c>
      <c r="DG40" s="204">
        <f>DE40/DE42</f>
        <v>3.8611258120396043E-2</v>
      </c>
      <c r="DH40" s="208">
        <f>DG40*DG49</f>
        <v>20.902286719462385</v>
      </c>
      <c r="DI40" s="319">
        <f>(DI37+DI38)*(3.8%+DI39)/365*185</f>
        <v>41.804589626993071</v>
      </c>
      <c r="DJ40" s="320" t="e">
        <f>SUM(DJ36:DJ38)*(3.8%+DJ39)/365*180</f>
        <v>#DIV/0!</v>
      </c>
      <c r="DK40" s="204">
        <f>DI40/DI42</f>
        <v>3.7938909834125317E-2</v>
      </c>
      <c r="DL40" s="208">
        <f>DK40*DK49</f>
        <v>0</v>
      </c>
      <c r="DM40" s="319">
        <f>(DM37+DM38)*(3.8%+DM39)/365*185</f>
        <v>40.833673568752033</v>
      </c>
      <c r="DN40" s="320" t="e">
        <f>SUM(DN36:DN38)*(3.8%+DN39)/365*180</f>
        <v>#DIV/0!</v>
      </c>
      <c r="DO40" s="204">
        <f>DM40/DM42</f>
        <v>3.7090456309709689E-2</v>
      </c>
      <c r="DP40" s="208">
        <f>DO40*DO49</f>
        <v>0</v>
      </c>
      <c r="DQ40" s="319">
        <f>(DQ37+DQ38)*(3.8%+DQ39)/365*185</f>
        <v>41.060082605792758</v>
      </c>
      <c r="DR40" s="320" t="e">
        <f>SUM(DR36:DR38)*(3.8%+DR39)/365*180</f>
        <v>#DIV/0!</v>
      </c>
      <c r="DS40" s="204">
        <f>DQ40/DQ42</f>
        <v>3.7288441938465255E-2</v>
      </c>
      <c r="DT40" s="208">
        <f>DS40*DS49</f>
        <v>0</v>
      </c>
      <c r="DU40" s="319">
        <f>(DU37+DU38)*(3.8%+DU39)/365*185</f>
        <v>40.433112117178915</v>
      </c>
      <c r="DV40" s="320" t="e">
        <f>SUM(DV36:DV38)*(3.8%+DV39)/365*180</f>
        <v>#DIV/0!</v>
      </c>
      <c r="DW40" s="204">
        <f>DU40/DU42</f>
        <v>3.6739981821367722E-2</v>
      </c>
      <c r="DX40" s="208">
        <f>DW40*DW49</f>
        <v>0</v>
      </c>
      <c r="DY40" s="319">
        <f>(DY37+DY38)*(3.8%+DY39)/365*185</f>
        <v>40.512941055630094</v>
      </c>
      <c r="DZ40" s="320" t="e">
        <f>SUM(DZ36:DZ38)*(3.8%+DZ39)/365*180</f>
        <v>#DIV/0!</v>
      </c>
      <c r="EA40" s="204">
        <f>DY40/DY42</f>
        <v>3.6809849152546807E-2</v>
      </c>
      <c r="EB40" s="208">
        <f>EA40*EA49</f>
        <v>0</v>
      </c>
      <c r="EC40" s="319">
        <f>(EC37+EC38)*(3.8%+EC39)/365*185</f>
        <v>40.437743830331378</v>
      </c>
      <c r="ED40" s="320" t="e">
        <f>SUM(ED36:ED38)*(3.8%+ED39)/365*180</f>
        <v>#DIV/0!</v>
      </c>
      <c r="EE40" s="204">
        <f>EC40/EC42</f>
        <v>3.674403583429206E-2</v>
      </c>
      <c r="EF40" s="208">
        <f>EE40*EE49</f>
        <v>0</v>
      </c>
    </row>
    <row r="41" spans="1:136" ht="12.5" thickBot="1" x14ac:dyDescent="0.35">
      <c r="A41" s="154">
        <v>15</v>
      </c>
      <c r="B41" s="346" t="s">
        <v>349</v>
      </c>
      <c r="C41" s="347"/>
      <c r="D41" s="347"/>
      <c r="E41" s="347"/>
      <c r="F41" s="347"/>
      <c r="G41" s="348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AX41" s="160"/>
      <c r="AY41" s="160"/>
      <c r="AZ41" s="160"/>
      <c r="BA41" s="160"/>
      <c r="BB41" s="160"/>
      <c r="BC41" s="160"/>
      <c r="BD41" s="160"/>
      <c r="BE41" s="160"/>
      <c r="BF41" s="160"/>
      <c r="BG41" s="160"/>
      <c r="BH41" s="160"/>
      <c r="BI41" s="160"/>
      <c r="BJ41" s="160"/>
      <c r="BK41" s="160"/>
      <c r="BL41" s="160"/>
      <c r="BM41" s="160"/>
      <c r="BN41" s="160"/>
      <c r="BO41" s="160"/>
      <c r="BP41" s="160"/>
      <c r="BQ41" s="160"/>
      <c r="BR41" s="160"/>
      <c r="BS41" s="160"/>
      <c r="BT41" s="160"/>
      <c r="BU41" s="160"/>
      <c r="BV41" s="160"/>
      <c r="BW41" s="160"/>
      <c r="BX41" s="160"/>
      <c r="BY41" s="160"/>
      <c r="BZ41" s="160"/>
      <c r="CA41" s="160"/>
      <c r="CB41" s="160"/>
      <c r="CC41" s="164"/>
      <c r="CG41" s="321">
        <f>-$A$41</f>
        <v>-15</v>
      </c>
      <c r="CH41" s="322"/>
      <c r="CI41" s="204">
        <f>CG41/$CG$42</f>
        <v>-7.9197049127058584E-3</v>
      </c>
      <c r="CJ41" s="208">
        <f>CI41*$CI$49</f>
        <v>-4.4058744993324437</v>
      </c>
      <c r="CK41" s="321">
        <f>-$A$41</f>
        <v>-15</v>
      </c>
      <c r="CL41" s="322"/>
      <c r="CM41" s="204">
        <f>CK41/CK42</f>
        <v>-7.8116980626319037E-3</v>
      </c>
      <c r="CN41" s="208">
        <f>CM41*CM49</f>
        <v>-3.3132530120481927</v>
      </c>
      <c r="CO41" s="321">
        <f>-$A$41</f>
        <v>-15</v>
      </c>
      <c r="CP41" s="322"/>
      <c r="CQ41" s="204">
        <f>CO41/CO42</f>
        <v>-7.8328971936569292E-3</v>
      </c>
      <c r="CR41" s="208">
        <f>CQ41*CQ49</f>
        <v>-4.29</v>
      </c>
      <c r="CS41" s="321">
        <f>-$A$41</f>
        <v>-15</v>
      </c>
      <c r="CT41" s="322"/>
      <c r="CU41" s="204">
        <f>CS41/CS42</f>
        <v>-7.9184536940532461E-3</v>
      </c>
      <c r="CV41" s="208">
        <f>CU41*CU49</f>
        <v>0</v>
      </c>
      <c r="CW41" s="321">
        <f>-$A$41</f>
        <v>-15</v>
      </c>
      <c r="CX41" s="322"/>
      <c r="CY41" s="204">
        <f>CW41/CW42</f>
        <v>-8.1248957201230324E-3</v>
      </c>
      <c r="CZ41" s="208">
        <f>CY41*CY49</f>
        <v>-8.8529139685476395</v>
      </c>
      <c r="DA41" s="321">
        <f>-$A$41</f>
        <v>-15</v>
      </c>
      <c r="DB41" s="322"/>
      <c r="DC41" s="204">
        <f>DA41/DA42</f>
        <v>-7.9489879460471601E-3</v>
      </c>
      <c r="DD41" s="208">
        <f>DC41*DC49</f>
        <v>-2.7295285359801484</v>
      </c>
      <c r="DE41" s="321">
        <f>-$A$41</f>
        <v>-15</v>
      </c>
      <c r="DF41" s="322"/>
      <c r="DG41" s="204">
        <f>DE41/DE42</f>
        <v>-8.5781494862573957E-3</v>
      </c>
      <c r="DH41" s="208">
        <f>DG41*DG49</f>
        <v>-4.6437994722955143</v>
      </c>
      <c r="DI41" s="321">
        <f>-$A$41</f>
        <v>-15</v>
      </c>
      <c r="DJ41" s="322"/>
      <c r="DK41" s="204">
        <f>DI41/DI42</f>
        <v>-1.3612946630731296E-2</v>
      </c>
      <c r="DL41" s="208">
        <f>DK41*DK49</f>
        <v>0</v>
      </c>
      <c r="DM41" s="321">
        <f>-$A$41</f>
        <v>-15</v>
      </c>
      <c r="DN41" s="322"/>
      <c r="DO41" s="204">
        <f>DM41/DM42</f>
        <v>-1.3624952056025579E-2</v>
      </c>
      <c r="DP41" s="208">
        <f>DO41*DO49</f>
        <v>0</v>
      </c>
      <c r="DQ41" s="321">
        <f>-$A$41</f>
        <v>-15</v>
      </c>
      <c r="DR41" s="322"/>
      <c r="DS41" s="204">
        <f>DQ41/DQ42</f>
        <v>-1.3622150604199442E-2</v>
      </c>
      <c r="DT41" s="208">
        <f>DS41*DS49</f>
        <v>0</v>
      </c>
      <c r="DU41" s="321">
        <f>-$A$41</f>
        <v>-15</v>
      </c>
      <c r="DV41" s="322"/>
      <c r="DW41" s="204">
        <f>DU41/DU42</f>
        <v>-1.3629911190693846E-2</v>
      </c>
      <c r="DX41" s="208">
        <f>DW41*DW49</f>
        <v>0</v>
      </c>
      <c r="DY41" s="321">
        <f>-$A$41</f>
        <v>-15</v>
      </c>
      <c r="DZ41" s="322"/>
      <c r="EA41" s="204">
        <f>DY41/DY42</f>
        <v>-1.3628922583774501E-2</v>
      </c>
      <c r="EB41" s="208">
        <f>EA41*EA49</f>
        <v>0</v>
      </c>
      <c r="EC41" s="321">
        <f>-$A$41</f>
        <v>-15</v>
      </c>
      <c r="ED41" s="322"/>
      <c r="EE41" s="204">
        <f>EC41/EC42</f>
        <v>-1.3629853827328732E-2</v>
      </c>
      <c r="EF41" s="208">
        <f>EE41*EE49</f>
        <v>0</v>
      </c>
    </row>
    <row r="42" spans="1:136" ht="12.5" thickBot="1" x14ac:dyDescent="0.35">
      <c r="B42" s="349" t="s">
        <v>350</v>
      </c>
      <c r="C42" s="350"/>
      <c r="D42" s="350"/>
      <c r="E42" s="350"/>
      <c r="F42" s="350"/>
      <c r="G42" s="351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  <c r="AS42" s="197"/>
      <c r="AT42" s="197"/>
      <c r="AU42" s="197"/>
      <c r="AV42" s="197"/>
      <c r="AW42" s="197"/>
      <c r="AX42" s="197"/>
      <c r="AY42" s="197"/>
      <c r="AZ42" s="197"/>
      <c r="BA42" s="197"/>
      <c r="BB42" s="197"/>
      <c r="BC42" s="197"/>
      <c r="BD42" s="197"/>
      <c r="BE42" s="197"/>
      <c r="BF42" s="197"/>
      <c r="BG42" s="197"/>
      <c r="BH42" s="197"/>
      <c r="BI42" s="197"/>
      <c r="BJ42" s="197"/>
      <c r="BK42" s="197"/>
      <c r="BL42" s="197"/>
      <c r="BM42" s="197"/>
      <c r="BN42" s="197"/>
      <c r="BO42" s="197"/>
      <c r="BP42" s="197"/>
      <c r="BQ42" s="197"/>
      <c r="BR42" s="197"/>
      <c r="BS42" s="197"/>
      <c r="BT42" s="197"/>
      <c r="BU42" s="197"/>
      <c r="BV42" s="197"/>
      <c r="BW42" s="197"/>
      <c r="BX42" s="197"/>
      <c r="BY42" s="197"/>
      <c r="BZ42" s="197"/>
      <c r="CA42" s="197"/>
      <c r="CB42" s="197"/>
      <c r="CC42" s="198"/>
      <c r="CG42" s="305">
        <f>CG37+CG38+CG40+CG41</f>
        <v>1894.0099619033756</v>
      </c>
      <c r="CH42" s="306"/>
      <c r="CI42" s="207">
        <f>SUM(CI31:CI41)</f>
        <v>0.99999999999999989</v>
      </c>
      <c r="CJ42" s="200">
        <f>SUM(CJ33:CJ41)</f>
        <v>556.31801284211292</v>
      </c>
      <c r="CK42" s="305">
        <f>CK37+CK38+CK40+CK41</f>
        <v>1920.1971043599483</v>
      </c>
      <c r="CL42" s="306"/>
      <c r="CM42" s="207">
        <f>SUM(CM31:CM41)</f>
        <v>1</v>
      </c>
      <c r="CN42" s="200">
        <f>SUM(CN33:CN41)</f>
        <v>424.13992264978776</v>
      </c>
      <c r="CO42" s="305">
        <f>CO37+CO38+CO40+CO41</f>
        <v>1915.0002392661279</v>
      </c>
      <c r="CP42" s="306"/>
      <c r="CQ42" s="207">
        <f>SUM(CQ31:CQ41)</f>
        <v>1</v>
      </c>
      <c r="CR42" s="200">
        <f>SUM(CR33:CR41)</f>
        <v>547.69006843011266</v>
      </c>
      <c r="CS42" s="305">
        <f>CS37+CS38+CS40+CS41</f>
        <v>1894.3092401064353</v>
      </c>
      <c r="CT42" s="306"/>
      <c r="CU42" s="207">
        <f>SUM(CU31:CU41)</f>
        <v>1</v>
      </c>
      <c r="CV42" s="200">
        <f>SUM(CV33:CV41)</f>
        <v>0</v>
      </c>
      <c r="CW42" s="305">
        <f>CW37+CW38+CW40+CW41</f>
        <v>1846.1775408205312</v>
      </c>
      <c r="CX42" s="306"/>
      <c r="CY42" s="207">
        <f>SUM(CY31:CY41)</f>
        <v>1</v>
      </c>
      <c r="CZ42" s="200">
        <f>SUM(CZ33:CZ41)</f>
        <v>1089.6033959699341</v>
      </c>
      <c r="DA42" s="305">
        <f>DA37+DA38+DA40+DA41</f>
        <v>1887.0326765886136</v>
      </c>
      <c r="DB42" s="306"/>
      <c r="DC42" s="207">
        <f>SUM(DC31:DC41)</f>
        <v>1</v>
      </c>
      <c r="DD42" s="200">
        <f>SUM(DD33:DD41)</f>
        <v>343.38063593837467</v>
      </c>
      <c r="DE42" s="305">
        <f>DE37+DE38+DE40+DE41</f>
        <v>1748.628888320344</v>
      </c>
      <c r="DF42" s="306"/>
      <c r="DG42" s="207">
        <f>SUM(DG31:DG41)</f>
        <v>1</v>
      </c>
      <c r="DH42" s="200">
        <f>SUM(DH33:DH41)</f>
        <v>541.35212725484701</v>
      </c>
      <c r="DI42" s="305">
        <f>DI37+DI38+DI40+DI41</f>
        <v>1101.8922211990036</v>
      </c>
      <c r="DJ42" s="306"/>
      <c r="DK42" s="207">
        <f>SUM(DK31:DK41)</f>
        <v>1</v>
      </c>
      <c r="DL42" s="200">
        <f>SUM(DL33:DL41)</f>
        <v>0</v>
      </c>
      <c r="DM42" s="305">
        <f>DM37+DM38+DM40+DM41</f>
        <v>1100.9213051407628</v>
      </c>
      <c r="DN42" s="306"/>
      <c r="DO42" s="207">
        <f>SUM(DO31:DO41)</f>
        <v>0.99999999999999989</v>
      </c>
      <c r="DP42" s="200">
        <f>SUM(DP33:DP41)</f>
        <v>0</v>
      </c>
      <c r="DQ42" s="305">
        <f>DQ37+DQ38+DQ40+DQ41</f>
        <v>1101.1477141778034</v>
      </c>
      <c r="DR42" s="306"/>
      <c r="DS42" s="207">
        <f>SUM(DS31:DS41)</f>
        <v>1.0000000000000002</v>
      </c>
      <c r="DT42" s="200">
        <f>SUM(DT33:DT41)</f>
        <v>0</v>
      </c>
      <c r="DU42" s="305">
        <f>DU37+DU38+DU40+DU41</f>
        <v>1100.5207436891897</v>
      </c>
      <c r="DV42" s="306"/>
      <c r="DW42" s="207">
        <f>SUM(DW31:DW41)</f>
        <v>0.99999999999999978</v>
      </c>
      <c r="DX42" s="200">
        <f>SUM(DX33:DX41)</f>
        <v>0</v>
      </c>
      <c r="DY42" s="305">
        <f>DY37+DY38+DY40+DY41</f>
        <v>1100.6005726276408</v>
      </c>
      <c r="DZ42" s="306"/>
      <c r="EA42" s="207">
        <f>SUM(EA31:EA41)</f>
        <v>1</v>
      </c>
      <c r="EB42" s="200">
        <f>SUM(EB33:EB41)</f>
        <v>0</v>
      </c>
      <c r="EC42" s="305">
        <f>EC37+EC38+EC40+EC41</f>
        <v>1100.525375402342</v>
      </c>
      <c r="ED42" s="306"/>
      <c r="EE42" s="207">
        <f>SUM(EE31:EE41)</f>
        <v>1</v>
      </c>
      <c r="EF42" s="200">
        <f>SUM(EF33:EF41)</f>
        <v>0</v>
      </c>
    </row>
    <row r="43" spans="1:136" x14ac:dyDescent="0.35">
      <c r="CK43" s="159"/>
      <c r="CO43" s="159"/>
      <c r="CS43" s="159"/>
      <c r="CW43" s="159"/>
      <c r="DA43" s="159"/>
      <c r="DE43" s="159"/>
      <c r="DI43" s="159"/>
      <c r="DM43" s="159"/>
      <c r="DQ43" s="159"/>
      <c r="DU43" s="159"/>
      <c r="DY43" s="159"/>
      <c r="EC43" s="159"/>
    </row>
    <row r="44" spans="1:136" x14ac:dyDescent="0.35">
      <c r="CI44" s="201"/>
    </row>
    <row r="47" spans="1:136" ht="12.5" thickBot="1" x14ac:dyDescent="0.4"/>
    <row r="48" spans="1:136" s="166" customFormat="1" x14ac:dyDescent="0.35">
      <c r="B48" s="167" t="s">
        <v>353</v>
      </c>
      <c r="CG48" s="168" t="s">
        <v>351</v>
      </c>
      <c r="CH48" s="169" t="s">
        <v>352</v>
      </c>
      <c r="CI48" s="199" t="s">
        <v>357</v>
      </c>
      <c r="CJ48" s="170" t="s">
        <v>356</v>
      </c>
      <c r="CK48" s="168" t="s">
        <v>351</v>
      </c>
      <c r="CL48" s="169" t="s">
        <v>352</v>
      </c>
      <c r="CM48" s="199" t="s">
        <v>357</v>
      </c>
      <c r="CN48" s="170" t="s">
        <v>356</v>
      </c>
      <c r="CO48" s="168" t="s">
        <v>351</v>
      </c>
      <c r="CP48" s="169" t="s">
        <v>352</v>
      </c>
      <c r="CQ48" s="199" t="s">
        <v>357</v>
      </c>
      <c r="CR48" s="170" t="s">
        <v>356</v>
      </c>
      <c r="CS48" s="168" t="s">
        <v>351</v>
      </c>
      <c r="CT48" s="169" t="s">
        <v>352</v>
      </c>
      <c r="CU48" s="199" t="s">
        <v>357</v>
      </c>
      <c r="CV48" s="170" t="s">
        <v>356</v>
      </c>
      <c r="CW48" s="168" t="s">
        <v>351</v>
      </c>
      <c r="CX48" s="169" t="s">
        <v>352</v>
      </c>
      <c r="CY48" s="199" t="s">
        <v>357</v>
      </c>
      <c r="CZ48" s="170" t="s">
        <v>356</v>
      </c>
      <c r="DA48" s="168" t="s">
        <v>351</v>
      </c>
      <c r="DB48" s="169" t="s">
        <v>352</v>
      </c>
      <c r="DC48" s="199" t="s">
        <v>357</v>
      </c>
      <c r="DD48" s="170" t="s">
        <v>356</v>
      </c>
      <c r="DE48" s="168" t="s">
        <v>351</v>
      </c>
      <c r="DF48" s="169" t="s">
        <v>352</v>
      </c>
      <c r="DG48" s="199" t="s">
        <v>357</v>
      </c>
      <c r="DH48" s="170" t="s">
        <v>356</v>
      </c>
      <c r="DI48" s="168" t="s">
        <v>351</v>
      </c>
      <c r="DJ48" s="169" t="s">
        <v>352</v>
      </c>
      <c r="DK48" s="199" t="s">
        <v>357</v>
      </c>
      <c r="DL48" s="170" t="s">
        <v>356</v>
      </c>
      <c r="DM48" s="168" t="s">
        <v>351</v>
      </c>
      <c r="DN48" s="169" t="s">
        <v>352</v>
      </c>
      <c r="DO48" s="199" t="s">
        <v>357</v>
      </c>
      <c r="DP48" s="170" t="s">
        <v>356</v>
      </c>
      <c r="DQ48" s="168" t="s">
        <v>351</v>
      </c>
      <c r="DR48" s="169" t="s">
        <v>352</v>
      </c>
      <c r="DS48" s="199" t="s">
        <v>357</v>
      </c>
      <c r="DT48" s="170" t="s">
        <v>356</v>
      </c>
      <c r="DU48" s="168" t="s">
        <v>351</v>
      </c>
      <c r="DV48" s="169" t="s">
        <v>352</v>
      </c>
      <c r="DW48" s="199" t="s">
        <v>357</v>
      </c>
      <c r="DX48" s="170" t="s">
        <v>356</v>
      </c>
      <c r="DY48" s="168" t="s">
        <v>351</v>
      </c>
      <c r="DZ48" s="169" t="s">
        <v>352</v>
      </c>
      <c r="EA48" s="199" t="s">
        <v>357</v>
      </c>
      <c r="EB48" s="170" t="s">
        <v>356</v>
      </c>
      <c r="EC48" s="168" t="s">
        <v>351</v>
      </c>
      <c r="ED48" s="169" t="s">
        <v>352</v>
      </c>
      <c r="EE48" s="199" t="s">
        <v>357</v>
      </c>
      <c r="EF48" s="170" t="s">
        <v>356</v>
      </c>
    </row>
    <row r="49" spans="2:136" x14ac:dyDescent="0.35">
      <c r="B49" s="155" t="s">
        <v>293</v>
      </c>
      <c r="CC49" s="159"/>
      <c r="CG49" s="156">
        <f>CG42</f>
        <v>1894.0099619033756</v>
      </c>
      <c r="CH49" s="234">
        <v>220000</v>
      </c>
      <c r="CI49" s="231">
        <f>CG49*CJ49</f>
        <v>556.31801284211303</v>
      </c>
      <c r="CJ49" s="171">
        <f>CH49/$CH$51</f>
        <v>0.29372496662216291</v>
      </c>
      <c r="CK49" s="156">
        <f>CK42</f>
        <v>1920.1971043599483</v>
      </c>
      <c r="CL49" s="234">
        <v>220000</v>
      </c>
      <c r="CM49" s="231">
        <f>CK49*CN49</f>
        <v>424.13992264978776</v>
      </c>
      <c r="CN49" s="171">
        <f>CL49/$CL$51</f>
        <v>0.22088353413654618</v>
      </c>
      <c r="CO49" s="156">
        <f>CO42</f>
        <v>1915.0002392661279</v>
      </c>
      <c r="CP49" s="234">
        <v>286000</v>
      </c>
      <c r="CQ49" s="231">
        <f>CO49*CR49</f>
        <v>547.69006843011255</v>
      </c>
      <c r="CR49" s="171">
        <f>CP49/$CP$51</f>
        <v>0.28599999999999998</v>
      </c>
      <c r="CS49" s="156">
        <f>CS42</f>
        <v>1894.3092401064353</v>
      </c>
      <c r="CT49" s="234">
        <v>0</v>
      </c>
      <c r="CU49" s="231">
        <f>CS49*CV49</f>
        <v>0</v>
      </c>
      <c r="CV49" s="171">
        <f>CT49/$CT$51</f>
        <v>0</v>
      </c>
      <c r="CW49" s="156">
        <f>CW42</f>
        <v>1846.1775408205312</v>
      </c>
      <c r="CX49" s="234">
        <v>638000</v>
      </c>
      <c r="CY49" s="231">
        <f>CW49*CZ49</f>
        <v>1089.6033959699341</v>
      </c>
      <c r="CZ49" s="171">
        <f>CX49/$CX$51</f>
        <v>0.5901942645698427</v>
      </c>
      <c r="DA49" s="156">
        <f>DA42</f>
        <v>1887.0326765886136</v>
      </c>
      <c r="DB49" s="234">
        <v>220000</v>
      </c>
      <c r="DC49" s="231">
        <f>DA49*DD49</f>
        <v>343.38063593837467</v>
      </c>
      <c r="DD49" s="171">
        <f>DB49/DB51</f>
        <v>0.18196856906534326</v>
      </c>
      <c r="DE49" s="156">
        <f>DE42</f>
        <v>1748.628888320344</v>
      </c>
      <c r="DF49" s="234">
        <v>352000</v>
      </c>
      <c r="DG49" s="231">
        <f>DE49*DH49</f>
        <v>541.35212725484701</v>
      </c>
      <c r="DH49" s="171">
        <f>DF49/DF51</f>
        <v>0.30958663148636761</v>
      </c>
      <c r="DI49" s="156">
        <f>DI42</f>
        <v>1101.8922211990036</v>
      </c>
      <c r="DJ49" s="234">
        <v>0</v>
      </c>
      <c r="DK49" s="231">
        <f>DI49*DL49</f>
        <v>0</v>
      </c>
      <c r="DL49" s="171">
        <f>DJ49/DJ51</f>
        <v>0</v>
      </c>
      <c r="DM49" s="156">
        <f>DM42</f>
        <v>1100.9213051407628</v>
      </c>
      <c r="DN49" s="234">
        <v>0</v>
      </c>
      <c r="DO49" s="231">
        <f>DM49*DP49</f>
        <v>0</v>
      </c>
      <c r="DP49" s="171">
        <f>DN49/DN51</f>
        <v>0</v>
      </c>
      <c r="DQ49" s="156">
        <f>DQ42</f>
        <v>1101.1477141778034</v>
      </c>
      <c r="DR49" s="234">
        <v>0</v>
      </c>
      <c r="DS49" s="231">
        <f>DQ49*DT49</f>
        <v>0</v>
      </c>
      <c r="DT49" s="171">
        <f>DR49/DR51</f>
        <v>0</v>
      </c>
      <c r="DU49" s="156">
        <f>DU42</f>
        <v>1100.5207436891897</v>
      </c>
      <c r="DV49" s="234">
        <v>0</v>
      </c>
      <c r="DW49" s="231">
        <f>DU49*DX49</f>
        <v>0</v>
      </c>
      <c r="DX49" s="171">
        <f>DV49/DV51</f>
        <v>0</v>
      </c>
      <c r="DY49" s="156">
        <f>DY42</f>
        <v>1100.6005726276408</v>
      </c>
      <c r="DZ49" s="234">
        <v>0</v>
      </c>
      <c r="EA49" s="231">
        <f>DY49*EB49</f>
        <v>0</v>
      </c>
      <c r="EB49" s="171">
        <f>DZ49/DZ51</f>
        <v>0</v>
      </c>
      <c r="EC49" s="156">
        <f>EC42</f>
        <v>1100.525375402342</v>
      </c>
      <c r="ED49" s="234">
        <v>0</v>
      </c>
      <c r="EE49" s="231">
        <f>EC49*EF49</f>
        <v>0</v>
      </c>
      <c r="EF49" s="171">
        <f>ED49/ED51</f>
        <v>0</v>
      </c>
    </row>
    <row r="50" spans="2:136" x14ac:dyDescent="0.35">
      <c r="B50" s="155" t="s">
        <v>294</v>
      </c>
      <c r="CC50" s="159"/>
      <c r="CG50" s="156">
        <f>CH15</f>
        <v>1828.0478368981298</v>
      </c>
      <c r="CH50" s="235">
        <v>529000</v>
      </c>
      <c r="CI50" s="231">
        <f>CG50*CJ50</f>
        <v>1291.1045470215097</v>
      </c>
      <c r="CJ50" s="171">
        <f>CH50/$CH$51</f>
        <v>0.70627503337783715</v>
      </c>
      <c r="CK50" s="156">
        <f>CL15</f>
        <v>1836.942339280675</v>
      </c>
      <c r="CL50" s="235">
        <v>776000</v>
      </c>
      <c r="CM50" s="231">
        <f>CK50*CN50</f>
        <v>1431.1920233753051</v>
      </c>
      <c r="CN50" s="171">
        <f>CL50/$CL$51</f>
        <v>0.77911646586345384</v>
      </c>
      <c r="CO50" s="156">
        <f>CP15</f>
        <v>1831.618407012325</v>
      </c>
      <c r="CP50" s="235">
        <v>714000</v>
      </c>
      <c r="CQ50" s="231">
        <f>CO50*CR50</f>
        <v>1307.7755426067999</v>
      </c>
      <c r="CR50" s="171">
        <f>CP50/$CP$51</f>
        <v>0.71399999999999997</v>
      </c>
      <c r="CS50" s="156">
        <f>CT15</f>
        <v>1809.9236500072736</v>
      </c>
      <c r="CT50" s="235">
        <v>807000</v>
      </c>
      <c r="CU50" s="231">
        <f>CS50*CV50</f>
        <v>1809.9236500072736</v>
      </c>
      <c r="CV50" s="171">
        <f>CT50/$CT$51</f>
        <v>1</v>
      </c>
      <c r="CW50" s="156">
        <f>CX15</f>
        <v>1759.9039871432906</v>
      </c>
      <c r="CX50" s="235">
        <v>443000</v>
      </c>
      <c r="CY50" s="231">
        <f>CW50*CZ50</f>
        <v>721.2187477377222</v>
      </c>
      <c r="CZ50" s="171">
        <f>CX50/$CX$51</f>
        <v>0.40980573543015725</v>
      </c>
      <c r="DA50" s="156">
        <f>DB15</f>
        <v>1601.8521783252386</v>
      </c>
      <c r="DB50" s="235">
        <v>989000</v>
      </c>
      <c r="DC50" s="231">
        <f>DA50*DD50</f>
        <v>1310.3654295811918</v>
      </c>
      <c r="DD50" s="171">
        <f>DB50/DB51</f>
        <v>0.81803143093465669</v>
      </c>
      <c r="DE50" s="156">
        <f>DF15</f>
        <v>1410.4815860908709</v>
      </c>
      <c r="DF50" s="235">
        <v>785000</v>
      </c>
      <c r="DG50" s="231">
        <f>DE50*DH50</f>
        <v>973.81534307944912</v>
      </c>
      <c r="DH50" s="171">
        <f>DF50/DF51</f>
        <v>0.69041336851363233</v>
      </c>
      <c r="DI50" s="156">
        <f>DJ15</f>
        <v>1383.8091170995481</v>
      </c>
      <c r="DJ50" s="270">
        <v>677000</v>
      </c>
      <c r="DK50" s="231">
        <f>DI50*DL50</f>
        <v>1383.8091170995481</v>
      </c>
      <c r="DL50" s="171">
        <f>DJ50/DJ51</f>
        <v>1</v>
      </c>
      <c r="DM50" s="156">
        <f>DN15</f>
        <v>1376.1702290303783</v>
      </c>
      <c r="DN50" s="270">
        <v>580000</v>
      </c>
      <c r="DO50" s="231">
        <f>DM50*DP50</f>
        <v>1376.1702290303783</v>
      </c>
      <c r="DP50" s="171">
        <f>DN50/DN51</f>
        <v>1</v>
      </c>
      <c r="DQ50" s="156">
        <f>DR15</f>
        <v>1418.4657699332606</v>
      </c>
      <c r="DR50" s="270">
        <v>580000</v>
      </c>
      <c r="DS50" s="231">
        <f>DQ50*DT50</f>
        <v>1418.4657699332606</v>
      </c>
      <c r="DT50" s="171">
        <f>DR50/DR51</f>
        <v>1</v>
      </c>
      <c r="DU50" s="156">
        <f>DV15</f>
        <v>1430.2246399786725</v>
      </c>
      <c r="DV50" s="270">
        <v>580000</v>
      </c>
      <c r="DW50" s="231">
        <f>DU50*DX50</f>
        <v>1430.2246399786725</v>
      </c>
      <c r="DX50" s="171">
        <f>DV50/DV51</f>
        <v>1</v>
      </c>
      <c r="DY50" s="156">
        <f>DZ15</f>
        <v>1427.6140397295569</v>
      </c>
      <c r="DZ50" s="270">
        <v>580000</v>
      </c>
      <c r="EA50" s="231">
        <f>DY50*EB50</f>
        <v>1427.6140397295569</v>
      </c>
      <c r="EB50" s="171">
        <f>DZ50/DZ51</f>
        <v>1</v>
      </c>
      <c r="EC50" s="156">
        <f>ED15</f>
        <v>1406.0539574074623</v>
      </c>
      <c r="ED50" s="270">
        <f>+Kardex!CW16</f>
        <v>504000</v>
      </c>
      <c r="EE50" s="231">
        <f>EC50*EF50</f>
        <v>1406.0539574074623</v>
      </c>
      <c r="EF50" s="171">
        <f>ED50/ED51</f>
        <v>1</v>
      </c>
    </row>
    <row r="51" spans="2:136" ht="12.5" thickBot="1" x14ac:dyDescent="0.4">
      <c r="B51" s="157"/>
      <c r="CC51" s="159"/>
      <c r="CG51" s="158"/>
      <c r="CH51" s="237">
        <f>SUM(CH49:CH50)</f>
        <v>749000</v>
      </c>
      <c r="CI51" s="236">
        <f>SUMPRODUCT(CG49:CG50,CH49:CH50)/SUM(CH49:CH50)</f>
        <v>1847.4225598636228</v>
      </c>
      <c r="CJ51" s="172">
        <f>SUM(CJ49:CJ50)</f>
        <v>1</v>
      </c>
      <c r="CK51" s="158"/>
      <c r="CL51" s="237">
        <f>SUM(CL49:CL50)</f>
        <v>996000</v>
      </c>
      <c r="CM51" s="236">
        <f>SUMPRODUCT(CK49:CK50,CL49:CL50)/SUM(CL49:CL50)</f>
        <v>1855.331946025093</v>
      </c>
      <c r="CN51" s="172">
        <f>SUM(CN49:CN50)</f>
        <v>1</v>
      </c>
      <c r="CO51" s="158"/>
      <c r="CP51" s="237">
        <f>SUM(CP49:CP50)</f>
        <v>1000000</v>
      </c>
      <c r="CQ51" s="236">
        <f>SUMPRODUCT(CO49:CO50,CP49:CP50)/SUM(CP49:CP50)</f>
        <v>1855.4656110369126</v>
      </c>
      <c r="CR51" s="172">
        <f>SUM(CR49:CR50)</f>
        <v>1</v>
      </c>
      <c r="CS51" s="158"/>
      <c r="CT51" s="237">
        <f>SUM(CT49:CT50)</f>
        <v>807000</v>
      </c>
      <c r="CU51" s="236">
        <f>SUMPRODUCT(CS49:CS50,CT49:CT50)/SUM(CT49:CT50)</f>
        <v>1809.9236500072736</v>
      </c>
      <c r="CV51" s="172">
        <f>SUM(CV49:CV50)</f>
        <v>1</v>
      </c>
      <c r="CW51" s="158"/>
      <c r="CX51" s="237">
        <f>SUM(CX49:CX50)</f>
        <v>1081000</v>
      </c>
      <c r="CY51" s="236">
        <f>SUMPRODUCT(CW49:CW50,CX49:CX50)/SUM(CX49:CX50)</f>
        <v>1810.8221437076566</v>
      </c>
      <c r="CZ51" s="172">
        <f>SUM(CZ49:CZ50)</f>
        <v>1</v>
      </c>
      <c r="DA51" s="158"/>
      <c r="DB51" s="237">
        <f>SUM(DB49:DB50)</f>
        <v>1209000</v>
      </c>
      <c r="DC51" s="236">
        <f>SUMPRODUCT(DA49:DA50,DB49:DB50)/SUM(DB49:DB50)</f>
        <v>1653.7460655195666</v>
      </c>
      <c r="DD51" s="172">
        <f>SUM(DD49:DD50)</f>
        <v>1</v>
      </c>
      <c r="DE51" s="158"/>
      <c r="DF51" s="237">
        <f>SUM(DF49:DF50)</f>
        <v>1137000</v>
      </c>
      <c r="DG51" s="236">
        <f>SUMPRODUCT(DE49:DE50,DF49:DF50)/SUM(DF49:DF50)</f>
        <v>1515.1674703342962</v>
      </c>
      <c r="DH51" s="172">
        <f>SUM(DH49:DH50)</f>
        <v>1</v>
      </c>
      <c r="DI51" s="158"/>
      <c r="DJ51" s="237">
        <f>SUM(DJ49:DJ50)</f>
        <v>677000</v>
      </c>
      <c r="DK51" s="236">
        <f>SUMPRODUCT(DI49:DI50,DJ49:DJ50)/SUM(DJ49:DJ50)</f>
        <v>1383.8091170995481</v>
      </c>
      <c r="DL51" s="172">
        <f>SUM(DL49:DL50)</f>
        <v>1</v>
      </c>
      <c r="DM51" s="158"/>
      <c r="DN51" s="237">
        <f>SUM(DN49:DN50)</f>
        <v>580000</v>
      </c>
      <c r="DO51" s="236">
        <f>SUMPRODUCT(DM49:DM50,DN49:DN50)/SUM(DN49:DN50)</f>
        <v>1376.1702290303783</v>
      </c>
      <c r="DP51" s="172">
        <f>SUM(DP49:DP50)</f>
        <v>1</v>
      </c>
      <c r="DQ51" s="158"/>
      <c r="DR51" s="237">
        <f>SUM(DR49:DR50)</f>
        <v>580000</v>
      </c>
      <c r="DS51" s="236">
        <f>SUMPRODUCT(DQ49:DQ50,DR49:DR50)/SUM(DR49:DR50)</f>
        <v>1418.4657699332606</v>
      </c>
      <c r="DT51" s="172">
        <f>SUM(DT49:DT50)</f>
        <v>1</v>
      </c>
      <c r="DU51" s="158"/>
      <c r="DV51" s="237">
        <f>SUM(DV49:DV50)</f>
        <v>580000</v>
      </c>
      <c r="DW51" s="236">
        <f>SUMPRODUCT(DU49:DU50,DV49:DV50)/SUM(DV49:DV50)</f>
        <v>1430.2246399786725</v>
      </c>
      <c r="DX51" s="172">
        <f>SUM(DX49:DX50)</f>
        <v>1</v>
      </c>
      <c r="DY51" s="158"/>
      <c r="DZ51" s="237">
        <f>SUM(DZ49:DZ50)</f>
        <v>580000</v>
      </c>
      <c r="EA51" s="236">
        <f>SUMPRODUCT(DY49:DY50,DZ49:DZ50)/SUM(DZ49:DZ50)</f>
        <v>1427.6140397295569</v>
      </c>
      <c r="EB51" s="172">
        <f>SUM(EB49:EB50)</f>
        <v>1</v>
      </c>
      <c r="EC51" s="158"/>
      <c r="ED51" s="237">
        <f>SUM(ED49:ED50)</f>
        <v>504000</v>
      </c>
      <c r="EE51" s="236">
        <f>SUMPRODUCT(EC49:EC50,ED49:ED50)/SUM(ED49:ED50)</f>
        <v>1406.0539574074623</v>
      </c>
      <c r="EF51" s="172">
        <f>SUM(EF49:EF50)</f>
        <v>1</v>
      </c>
    </row>
    <row r="53" spans="2:136" x14ac:dyDescent="0.35">
      <c r="CG53" s="154">
        <f>CG51*CJ49</f>
        <v>0</v>
      </c>
    </row>
    <row r="54" spans="2:136" x14ac:dyDescent="0.35">
      <c r="CG54" s="154">
        <f>CG51*CJ50</f>
        <v>0</v>
      </c>
    </row>
  </sheetData>
  <mergeCells count="195">
    <mergeCell ref="EC39:ED39"/>
    <mergeCell ref="EC40:ED40"/>
    <mergeCell ref="EC41:ED41"/>
    <mergeCell ref="EC42:ED42"/>
    <mergeCell ref="EC30:ED30"/>
    <mergeCell ref="EC31:ED31"/>
    <mergeCell ref="EC32:ED32"/>
    <mergeCell ref="EC33:ED33"/>
    <mergeCell ref="EC34:ED34"/>
    <mergeCell ref="EC35:ED35"/>
    <mergeCell ref="EC36:ED36"/>
    <mergeCell ref="EC37:ED37"/>
    <mergeCell ref="EC38:ED38"/>
    <mergeCell ref="DY39:DZ39"/>
    <mergeCell ref="DY40:DZ40"/>
    <mergeCell ref="DY41:DZ41"/>
    <mergeCell ref="DY42:DZ42"/>
    <mergeCell ref="DY30:DZ30"/>
    <mergeCell ref="DY31:DZ31"/>
    <mergeCell ref="DY32:DZ32"/>
    <mergeCell ref="DY33:DZ33"/>
    <mergeCell ref="DY34:DZ34"/>
    <mergeCell ref="DY35:DZ35"/>
    <mergeCell ref="DY36:DZ36"/>
    <mergeCell ref="DY37:DZ37"/>
    <mergeCell ref="DY38:DZ38"/>
    <mergeCell ref="DU39:DV39"/>
    <mergeCell ref="DU40:DV40"/>
    <mergeCell ref="DU41:DV41"/>
    <mergeCell ref="DU42:DV42"/>
    <mergeCell ref="B3:G3"/>
    <mergeCell ref="DU30:DV30"/>
    <mergeCell ref="DU31:DV31"/>
    <mergeCell ref="DU32:DV32"/>
    <mergeCell ref="DU33:DV33"/>
    <mergeCell ref="DU34:DV34"/>
    <mergeCell ref="DU35:DV35"/>
    <mergeCell ref="DU36:DV36"/>
    <mergeCell ref="DU37:DV37"/>
    <mergeCell ref="DU38:DV38"/>
    <mergeCell ref="DQ39:DR39"/>
    <mergeCell ref="DQ40:DR40"/>
    <mergeCell ref="DQ41:DR41"/>
    <mergeCell ref="DQ42:DR42"/>
    <mergeCell ref="DM30:DN30"/>
    <mergeCell ref="DM31:DN31"/>
    <mergeCell ref="DM32:DN32"/>
    <mergeCell ref="DM33:DN33"/>
    <mergeCell ref="DM34:DN34"/>
    <mergeCell ref="DM35:DN35"/>
    <mergeCell ref="DM42:DN42"/>
    <mergeCell ref="DE35:DF35"/>
    <mergeCell ref="DM36:DN36"/>
    <mergeCell ref="DQ30:DR30"/>
    <mergeCell ref="DQ31:DR31"/>
    <mergeCell ref="DQ32:DR32"/>
    <mergeCell ref="DQ33:DR33"/>
    <mergeCell ref="DQ34:DR34"/>
    <mergeCell ref="DQ35:DR35"/>
    <mergeCell ref="DQ36:DR36"/>
    <mergeCell ref="DQ37:DR37"/>
    <mergeCell ref="DE33:DF33"/>
    <mergeCell ref="DE34:DF34"/>
    <mergeCell ref="DQ38:DR38"/>
    <mergeCell ref="DM37:DN37"/>
    <mergeCell ref="DM38:DN38"/>
    <mergeCell ref="DI39:DJ39"/>
    <mergeCell ref="DI40:DJ40"/>
    <mergeCell ref="DI41:DJ41"/>
    <mergeCell ref="DI42:DJ42"/>
    <mergeCell ref="DM39:DN39"/>
    <mergeCell ref="DM40:DN40"/>
    <mergeCell ref="DM41:DN41"/>
    <mergeCell ref="DI38:DJ38"/>
    <mergeCell ref="CO33:CP33"/>
    <mergeCell ref="CO34:CP34"/>
    <mergeCell ref="DE36:DF36"/>
    <mergeCell ref="DE37:DF37"/>
    <mergeCell ref="DE38:DF38"/>
    <mergeCell ref="DI30:DJ30"/>
    <mergeCell ref="DI31:DJ31"/>
    <mergeCell ref="CW40:CX40"/>
    <mergeCell ref="CW41:CX41"/>
    <mergeCell ref="CW35:CX35"/>
    <mergeCell ref="CW36:CX36"/>
    <mergeCell ref="CW37:CX37"/>
    <mergeCell ref="CW38:CX38"/>
    <mergeCell ref="CW39:CX39"/>
    <mergeCell ref="CW30:CX30"/>
    <mergeCell ref="CW31:CX31"/>
    <mergeCell ref="CW32:CX32"/>
    <mergeCell ref="CW33:CX33"/>
    <mergeCell ref="CW34:CX34"/>
    <mergeCell ref="DI32:DJ32"/>
    <mergeCell ref="DI33:DJ33"/>
    <mergeCell ref="DI34:DJ34"/>
    <mergeCell ref="DI35:DJ35"/>
    <mergeCell ref="DI36:DJ36"/>
    <mergeCell ref="CG18:CH18"/>
    <mergeCell ref="CG19:CH19"/>
    <mergeCell ref="CE18:CF18"/>
    <mergeCell ref="CE19:CF19"/>
    <mergeCell ref="CC18:CD18"/>
    <mergeCell ref="CC19:CD19"/>
    <mergeCell ref="BV19:BW19"/>
    <mergeCell ref="BX19:BY19"/>
    <mergeCell ref="BV18:BW18"/>
    <mergeCell ref="BX18:BY18"/>
    <mergeCell ref="CA18:CB18"/>
    <mergeCell ref="CA19:CB19"/>
    <mergeCell ref="B30:G30"/>
    <mergeCell ref="B31:G31"/>
    <mergeCell ref="B32:G32"/>
    <mergeCell ref="B33:G33"/>
    <mergeCell ref="B34:G34"/>
    <mergeCell ref="B40:G40"/>
    <mergeCell ref="B41:G41"/>
    <mergeCell ref="B42:G42"/>
    <mergeCell ref="B35:G35"/>
    <mergeCell ref="B36:G36"/>
    <mergeCell ref="B37:G37"/>
    <mergeCell ref="B38:G38"/>
    <mergeCell ref="B39:G39"/>
    <mergeCell ref="CO40:CP40"/>
    <mergeCell ref="CO41:CP41"/>
    <mergeCell ref="CO42:CP42"/>
    <mergeCell ref="CG30:CH30"/>
    <mergeCell ref="CG31:CH31"/>
    <mergeCell ref="CG32:CH32"/>
    <mergeCell ref="CG33:CH33"/>
    <mergeCell ref="CG34:CH34"/>
    <mergeCell ref="CG40:CH40"/>
    <mergeCell ref="CG41:CH41"/>
    <mergeCell ref="CG42:CH42"/>
    <mergeCell ref="CG35:CH35"/>
    <mergeCell ref="CG36:CH36"/>
    <mergeCell ref="CG37:CH37"/>
    <mergeCell ref="CG38:CH38"/>
    <mergeCell ref="CG39:CH39"/>
    <mergeCell ref="CO35:CP35"/>
    <mergeCell ref="CO36:CP36"/>
    <mergeCell ref="CO37:CP37"/>
    <mergeCell ref="CO38:CP38"/>
    <mergeCell ref="CO39:CP39"/>
    <mergeCell ref="CO30:CP30"/>
    <mergeCell ref="CO31:CP31"/>
    <mergeCell ref="CO32:CP32"/>
    <mergeCell ref="CK30:CL30"/>
    <mergeCell ref="CK31:CL31"/>
    <mergeCell ref="CK32:CL32"/>
    <mergeCell ref="CK33:CL33"/>
    <mergeCell ref="CK34:CL34"/>
    <mergeCell ref="CK40:CL40"/>
    <mergeCell ref="CK41:CL41"/>
    <mergeCell ref="CK42:CL42"/>
    <mergeCell ref="CK35:CL35"/>
    <mergeCell ref="CK36:CL36"/>
    <mergeCell ref="CK37:CL37"/>
    <mergeCell ref="CK38:CL38"/>
    <mergeCell ref="CK39:CL39"/>
    <mergeCell ref="CS30:CT30"/>
    <mergeCell ref="CS31:CT31"/>
    <mergeCell ref="CS32:CT32"/>
    <mergeCell ref="CS33:CT33"/>
    <mergeCell ref="CS34:CT34"/>
    <mergeCell ref="CS40:CT40"/>
    <mergeCell ref="CS41:CT41"/>
    <mergeCell ref="CS42:CT42"/>
    <mergeCell ref="CS35:CT35"/>
    <mergeCell ref="CS36:CT36"/>
    <mergeCell ref="CS37:CT37"/>
    <mergeCell ref="CS38:CT38"/>
    <mergeCell ref="CS39:CT39"/>
    <mergeCell ref="CW42:CX42"/>
    <mergeCell ref="DI37:DJ37"/>
    <mergeCell ref="DA30:DB30"/>
    <mergeCell ref="DA31:DB31"/>
    <mergeCell ref="DA32:DB32"/>
    <mergeCell ref="DA33:DB33"/>
    <mergeCell ref="DA34:DB34"/>
    <mergeCell ref="DE30:DF30"/>
    <mergeCell ref="DE31:DF31"/>
    <mergeCell ref="DE32:DF32"/>
    <mergeCell ref="DA40:DB40"/>
    <mergeCell ref="DA41:DB41"/>
    <mergeCell ref="DA42:DB42"/>
    <mergeCell ref="DA35:DB35"/>
    <mergeCell ref="DA36:DB36"/>
    <mergeCell ref="DA37:DB37"/>
    <mergeCell ref="DA38:DB38"/>
    <mergeCell ref="DA39:DB39"/>
    <mergeCell ref="DE39:DF39"/>
    <mergeCell ref="DE40:DF40"/>
    <mergeCell ref="DE41:DF41"/>
    <mergeCell ref="DE42:DF42"/>
  </mergeCells>
  <pageMargins left="0.7" right="0.7" top="0.75" bottom="0.75" header="0.3" footer="0.3"/>
  <pageSetup orientation="portrait" r:id="rId1"/>
  <ignoredErrors>
    <ignoredError sqref="CI51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6FE50-396F-4C96-AED7-2CEAA53D9546}">
  <dimension ref="A2:C15"/>
  <sheetViews>
    <sheetView workbookViewId="0">
      <selection activeCell="A6" sqref="A6"/>
    </sheetView>
  </sheetViews>
  <sheetFormatPr defaultColWidth="10.90625" defaultRowHeight="14.5" x14ac:dyDescent="0.35"/>
  <sheetData>
    <row r="2" spans="1:3" ht="15" thickBot="1" x14ac:dyDescent="0.4"/>
    <row r="3" spans="1:3" ht="15" thickBot="1" x14ac:dyDescent="0.4">
      <c r="A3" s="277" t="s">
        <v>472</v>
      </c>
      <c r="B3" s="278" t="s">
        <v>473</v>
      </c>
      <c r="C3" s="278" t="s">
        <v>474</v>
      </c>
    </row>
    <row r="4" spans="1:3" ht="15" thickBot="1" x14ac:dyDescent="0.4">
      <c r="A4" s="284" t="s">
        <v>475</v>
      </c>
      <c r="B4" s="285" t="s">
        <v>476</v>
      </c>
      <c r="C4" s="285" t="s">
        <v>477</v>
      </c>
    </row>
    <row r="5" spans="1:3" ht="15" thickBot="1" x14ac:dyDescent="0.4">
      <c r="A5" s="284" t="s">
        <v>478</v>
      </c>
      <c r="B5" s="285" t="s">
        <v>479</v>
      </c>
      <c r="C5" s="285" t="s">
        <v>480</v>
      </c>
    </row>
    <row r="6" spans="1:3" ht="15" thickBot="1" x14ac:dyDescent="0.4">
      <c r="A6" s="281">
        <v>46082</v>
      </c>
      <c r="B6" s="280" t="s">
        <v>481</v>
      </c>
      <c r="C6" s="280" t="s">
        <v>482</v>
      </c>
    </row>
    <row r="7" spans="1:3" ht="15" thickBot="1" x14ac:dyDescent="0.4">
      <c r="A7" s="281">
        <v>46113</v>
      </c>
      <c r="B7" s="280" t="s">
        <v>481</v>
      </c>
      <c r="C7" s="280" t="s">
        <v>483</v>
      </c>
    </row>
    <row r="8" spans="1:3" ht="15" thickBot="1" x14ac:dyDescent="0.4">
      <c r="A8" s="279" t="s">
        <v>484</v>
      </c>
      <c r="B8" s="280" t="s">
        <v>481</v>
      </c>
      <c r="C8" s="280" t="s">
        <v>485</v>
      </c>
    </row>
    <row r="9" spans="1:3" ht="15" thickBot="1" x14ac:dyDescent="0.4">
      <c r="A9" s="281">
        <v>46174</v>
      </c>
      <c r="B9" s="282" t="s">
        <v>486</v>
      </c>
      <c r="C9" s="280" t="s">
        <v>487</v>
      </c>
    </row>
    <row r="10" spans="1:3" ht="15" thickBot="1" x14ac:dyDescent="0.4">
      <c r="A10" s="281">
        <v>46204</v>
      </c>
      <c r="B10" s="282" t="s">
        <v>486</v>
      </c>
      <c r="C10" s="282" t="s">
        <v>488</v>
      </c>
    </row>
    <row r="11" spans="1:3" ht="15" thickBot="1" x14ac:dyDescent="0.4">
      <c r="A11" s="281">
        <v>46235</v>
      </c>
      <c r="B11" s="282" t="s">
        <v>486</v>
      </c>
      <c r="C11" s="282" t="s">
        <v>488</v>
      </c>
    </row>
    <row r="12" spans="1:3" ht="15" thickBot="1" x14ac:dyDescent="0.4">
      <c r="A12" s="279" t="s">
        <v>489</v>
      </c>
      <c r="B12" s="282" t="s">
        <v>486</v>
      </c>
      <c r="C12" s="282" t="s">
        <v>488</v>
      </c>
    </row>
    <row r="13" spans="1:3" ht="15" thickBot="1" x14ac:dyDescent="0.4">
      <c r="A13" s="279" t="s">
        <v>490</v>
      </c>
      <c r="B13" s="282" t="s">
        <v>486</v>
      </c>
      <c r="C13" s="282" t="s">
        <v>488</v>
      </c>
    </row>
    <row r="14" spans="1:3" ht="15" thickBot="1" x14ac:dyDescent="0.4">
      <c r="A14" s="281">
        <v>46327</v>
      </c>
      <c r="B14" s="282" t="s">
        <v>486</v>
      </c>
      <c r="C14" s="282" t="s">
        <v>488</v>
      </c>
    </row>
    <row r="15" spans="1:3" ht="15" thickBot="1" x14ac:dyDescent="0.4">
      <c r="A15" s="279" t="s">
        <v>491</v>
      </c>
      <c r="B15" s="253"/>
      <c r="C15" s="282" t="s">
        <v>492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E94E-6287-4F73-ACE1-37CD5333AE64}">
  <dimension ref="B5:K18"/>
  <sheetViews>
    <sheetView showGridLines="0" workbookViewId="0">
      <selection activeCell="E18" sqref="E18"/>
    </sheetView>
  </sheetViews>
  <sheetFormatPr defaultColWidth="10.90625" defaultRowHeight="14.5" x14ac:dyDescent="0.35"/>
  <cols>
    <col min="2" max="2" width="10.90625" style="258"/>
    <col min="4" max="4" width="12.90625" bestFit="1" customWidth="1"/>
  </cols>
  <sheetData>
    <row r="5" spans="2:11" ht="15" thickBot="1" x14ac:dyDescent="0.4"/>
    <row r="6" spans="2:11" ht="44" thickBot="1" x14ac:dyDescent="0.4">
      <c r="B6" s="243" t="s">
        <v>389</v>
      </c>
      <c r="C6" s="244"/>
      <c r="D6" s="245" t="s">
        <v>390</v>
      </c>
      <c r="E6" s="246" t="s">
        <v>391</v>
      </c>
      <c r="F6" s="246" t="s">
        <v>392</v>
      </c>
      <c r="G6" s="246" t="s">
        <v>288</v>
      </c>
      <c r="H6" s="246" t="s">
        <v>393</v>
      </c>
      <c r="I6" s="246" t="s">
        <v>394</v>
      </c>
      <c r="J6" s="246" t="s">
        <v>199</v>
      </c>
      <c r="K6" s="247" t="s">
        <v>395</v>
      </c>
    </row>
    <row r="7" spans="2:11" x14ac:dyDescent="0.35">
      <c r="B7" s="259"/>
      <c r="C7" s="248"/>
      <c r="D7" s="248"/>
      <c r="E7" s="248"/>
      <c r="F7" s="248"/>
      <c r="G7" s="248"/>
      <c r="H7" s="248"/>
      <c r="I7" s="248"/>
      <c r="J7" s="248"/>
      <c r="K7" s="248"/>
    </row>
    <row r="8" spans="2:11" ht="15" thickBot="1" x14ac:dyDescent="0.4">
      <c r="B8" s="259"/>
      <c r="C8" s="248"/>
      <c r="D8" s="248"/>
      <c r="E8" s="248"/>
      <c r="F8" s="248"/>
      <c r="G8" s="248"/>
      <c r="H8" s="248"/>
      <c r="I8" s="248"/>
      <c r="J8" s="248"/>
      <c r="K8" s="248"/>
    </row>
    <row r="9" spans="2:11" ht="15" thickBot="1" x14ac:dyDescent="0.4">
      <c r="B9" s="260" t="s">
        <v>396</v>
      </c>
      <c r="C9" s="248"/>
      <c r="D9" s="249">
        <v>500</v>
      </c>
      <c r="E9" s="256">
        <v>799.5</v>
      </c>
      <c r="F9" s="250">
        <v>34.840000000000003</v>
      </c>
      <c r="G9" s="250">
        <v>315</v>
      </c>
      <c r="H9" s="250">
        <v>30</v>
      </c>
      <c r="I9" s="255">
        <f t="shared" ref="I9:I12" si="0">SUM(E9:H9)*(3.8%+J9)/365*180</f>
        <v>46.051352980273982</v>
      </c>
      <c r="J9" s="251">
        <v>4.1181500000000003E-2</v>
      </c>
      <c r="K9" s="255">
        <f>SUM(E9:I9)</f>
        <v>1225.3913529802742</v>
      </c>
    </row>
    <row r="10" spans="2:11" ht="15" thickBot="1" x14ac:dyDescent="0.4">
      <c r="B10" s="261" t="s">
        <v>397</v>
      </c>
      <c r="C10" s="248"/>
      <c r="D10" s="249">
        <v>1250</v>
      </c>
      <c r="E10" s="257">
        <v>803.125</v>
      </c>
      <c r="F10" s="253">
        <v>34.840000000000003</v>
      </c>
      <c r="G10" s="253">
        <v>280</v>
      </c>
      <c r="H10" s="250">
        <v>30</v>
      </c>
      <c r="I10" s="255">
        <f t="shared" si="0"/>
        <v>45.771062909178085</v>
      </c>
      <c r="J10" s="254">
        <v>4.28505E-2</v>
      </c>
      <c r="K10" s="255">
        <f t="shared" ref="K10:K12" si="1">SUM(E10:I10)</f>
        <v>1193.7360629091781</v>
      </c>
    </row>
    <row r="11" spans="2:11" ht="15" thickBot="1" x14ac:dyDescent="0.4">
      <c r="B11" s="261" t="s">
        <v>398</v>
      </c>
      <c r="C11" s="248"/>
      <c r="D11" s="252">
        <v>1250</v>
      </c>
      <c r="E11" s="257">
        <f>AVERAGE('ICIS Price History'!E257:E260)</f>
        <v>786.25</v>
      </c>
      <c r="F11" s="253">
        <v>34.840000000000003</v>
      </c>
      <c r="G11" s="253">
        <v>166</v>
      </c>
      <c r="H11" s="250">
        <v>30</v>
      </c>
      <c r="I11" s="255">
        <f t="shared" si="0"/>
        <v>39.123133150684936</v>
      </c>
      <c r="J11" s="254">
        <v>0.04</v>
      </c>
      <c r="K11" s="255">
        <f t="shared" si="1"/>
        <v>1056.2131331506851</v>
      </c>
    </row>
    <row r="12" spans="2:11" ht="15" thickBot="1" x14ac:dyDescent="0.4">
      <c r="B12" s="261" t="s">
        <v>399</v>
      </c>
      <c r="C12" s="248"/>
      <c r="D12" s="252">
        <v>1100</v>
      </c>
      <c r="E12" s="257">
        <f>AVERAGE('ICIS Price History'!E261:E264)</f>
        <v>745.625</v>
      </c>
      <c r="F12" s="253">
        <v>34.840000000000003</v>
      </c>
      <c r="G12" s="253">
        <v>156</v>
      </c>
      <c r="H12" s="250">
        <v>30</v>
      </c>
      <c r="I12" s="255">
        <f t="shared" si="0"/>
        <v>37.175804383561648</v>
      </c>
      <c r="J12" s="254">
        <v>0.04</v>
      </c>
      <c r="K12" s="255">
        <f t="shared" si="1"/>
        <v>1003.6408043835617</v>
      </c>
    </row>
    <row r="13" spans="2:11" ht="15" thickBot="1" x14ac:dyDescent="0.4">
      <c r="B13" s="261" t="s">
        <v>414</v>
      </c>
      <c r="D13" s="252"/>
      <c r="E13" s="252"/>
      <c r="F13" s="253">
        <v>34.840000000000003</v>
      </c>
      <c r="G13" s="253">
        <v>156</v>
      </c>
    </row>
    <row r="14" spans="2:11" ht="15" thickBot="1" x14ac:dyDescent="0.4">
      <c r="B14" s="261" t="s">
        <v>415</v>
      </c>
      <c r="D14" s="252"/>
      <c r="E14" s="252"/>
      <c r="F14" s="253">
        <v>34.840000000000003</v>
      </c>
      <c r="G14" s="253">
        <v>176</v>
      </c>
    </row>
    <row r="15" spans="2:11" ht="15" thickBot="1" x14ac:dyDescent="0.4">
      <c r="B15" s="261" t="s">
        <v>416</v>
      </c>
      <c r="D15" s="252"/>
      <c r="E15" s="252"/>
      <c r="F15" s="253">
        <v>34.840000000000003</v>
      </c>
      <c r="G15" s="253">
        <v>191</v>
      </c>
    </row>
    <row r="16" spans="2:11" ht="15" thickBot="1" x14ac:dyDescent="0.4">
      <c r="B16" s="261" t="s">
        <v>417</v>
      </c>
      <c r="D16" s="252"/>
      <c r="E16" s="252"/>
      <c r="F16" s="253">
        <v>34.840000000000003</v>
      </c>
      <c r="G16" s="253">
        <v>185</v>
      </c>
    </row>
    <row r="17" spans="2:7" ht="15" thickBot="1" x14ac:dyDescent="0.4">
      <c r="B17" s="261" t="s">
        <v>418</v>
      </c>
      <c r="D17" s="252"/>
      <c r="E17" s="252"/>
      <c r="F17" s="253">
        <v>34.840000000000003</v>
      </c>
      <c r="G17" s="253">
        <v>185</v>
      </c>
    </row>
    <row r="18" spans="2:7" ht="15" thickBot="1" x14ac:dyDescent="0.4">
      <c r="B18" s="261" t="s">
        <v>456</v>
      </c>
      <c r="D18" s="252"/>
      <c r="E18" s="252" t="s">
        <v>266</v>
      </c>
      <c r="F18" s="253"/>
      <c r="G18" s="253"/>
    </row>
  </sheetData>
  <phoneticPr fontId="18" type="noConversion"/>
  <pageMargins left="0.7" right="0.7" top="0.75" bottom="0.75" header="0.3" footer="0.3"/>
  <ignoredErrors>
    <ignoredError sqref="E11:E12 I9:I10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D5AA3C1F41E24B81C714939439F676" ma:contentTypeVersion="17" ma:contentTypeDescription="Create a new document." ma:contentTypeScope="" ma:versionID="f0899c617235f393dbd791a0d93d42c8">
  <xsd:schema xmlns:xsd="http://www.w3.org/2001/XMLSchema" xmlns:xs="http://www.w3.org/2001/XMLSchema" xmlns:p="http://schemas.microsoft.com/office/2006/metadata/properties" xmlns:ns2="9783fbdb-128e-4d48-9ac0-b87492be27dd" xmlns:ns3="d8e2af5d-43e5-48e4-8670-cdfec9b8eb21" targetNamespace="http://schemas.microsoft.com/office/2006/metadata/properties" ma:root="true" ma:fieldsID="4460604645cbfab0dde84369923c6d81" ns2:_="" ns3:_="">
    <xsd:import namespace="9783fbdb-128e-4d48-9ac0-b87492be27dd"/>
    <xsd:import namespace="d8e2af5d-43e5-48e4-8670-cdfec9b8eb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83fbdb-128e-4d48-9ac0-b87492be2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e2deea9-f698-482e-8f77-105b59b605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e2af5d-43e5-48e4-8670-cdfec9b8eb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638ba31-7e67-4641-80ec-ff24d0b8c4e2}" ma:internalName="TaxCatchAll" ma:showField="CatchAllData" ma:web="d8e2af5d-43e5-48e4-8670-cdfec9b8eb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83fbdb-128e-4d48-9ac0-b87492be27dd">
      <Terms xmlns="http://schemas.microsoft.com/office/infopath/2007/PartnerControls"/>
    </lcf76f155ced4ddcb4097134ff3c332f>
    <TaxCatchAll xmlns="d8e2af5d-43e5-48e4-8670-cdfec9b8eb2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F8AF7B-75A4-4038-AC37-2B88F39B6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83fbdb-128e-4d48-9ac0-b87492be27dd"/>
    <ds:schemaRef ds:uri="d8e2af5d-43e5-48e4-8670-cdfec9b8eb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02010E-9C51-4D0D-AE44-AB9D011F6BA3}">
  <ds:schemaRefs>
    <ds:schemaRef ds:uri="http://schemas.microsoft.com/office/2006/metadata/properties"/>
    <ds:schemaRef ds:uri="http://schemas.microsoft.com/office/infopath/2007/PartnerControls"/>
    <ds:schemaRef ds:uri="9783fbdb-128e-4d48-9ac0-b87492be27dd"/>
    <ds:schemaRef ds:uri="d8e2af5d-43e5-48e4-8670-cdfec9b8eb21"/>
  </ds:schemaRefs>
</ds:datastoreItem>
</file>

<file path=customXml/itemProps3.xml><?xml version="1.0" encoding="utf-8"?>
<ds:datastoreItem xmlns:ds="http://schemas.openxmlformats.org/officeDocument/2006/customXml" ds:itemID="{BC1408F5-4711-45CE-B7BE-8A5BF0E259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ICIS Price History</vt:lpstr>
      <vt:lpstr>Sheet1</vt:lpstr>
      <vt:lpstr>Precios - MAR 26 </vt:lpstr>
      <vt:lpstr>Kardex</vt:lpstr>
      <vt:lpstr>PCR</vt:lpstr>
      <vt:lpstr>Fletes</vt:lpstr>
      <vt:lpstr>Proyección Resina Virgen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Salgado</dc:creator>
  <cp:lastModifiedBy>Murugan Narendhra Kumar</cp:lastModifiedBy>
  <dcterms:created xsi:type="dcterms:W3CDTF">2020-07-01T20:37:49Z</dcterms:created>
  <dcterms:modified xsi:type="dcterms:W3CDTF">2026-05-13T09:22:03Z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0x01010054D5AA3C1F41E24B81C714939439F676</vt:lpwstr>
  </property>
  <property fmtid="{D5CDD505-2E9C-101B-9397-08002B2CF9AE}" pid="5" name="MSIP_Label_68104b14-b53d-46de-9ae8-975cc0e84815_Enabled">
    <vt:lpwstr>true</vt:lpwstr>
  </property>
  <property fmtid="{D5CDD505-2E9C-101B-9397-08002B2CF9AE}" pid="6" name="MSIP_Label_68104b14-b53d-46de-9ae8-975cc0e84815_SetDate">
    <vt:lpwstr>2026-05-05T02:47:06Z</vt:lpwstr>
  </property>
  <property fmtid="{D5CDD505-2E9C-101B-9397-08002B2CF9AE}" pid="7" name="MSIP_Label_68104b14-b53d-46de-9ae8-975cc0e84815_Method">
    <vt:lpwstr>Standard</vt:lpwstr>
  </property>
  <property fmtid="{D5CDD505-2E9C-101B-9397-08002B2CF9AE}" pid="8" name="MSIP_Label_68104b14-b53d-46de-9ae8-975cc0e84815_Name">
    <vt:lpwstr>ABI_MIP_InternalUseOnly</vt:lpwstr>
  </property>
  <property fmtid="{D5CDD505-2E9C-101B-9397-08002B2CF9AE}" pid="9" name="MSIP_Label_68104b14-b53d-46de-9ae8-975cc0e84815_SiteId">
    <vt:lpwstr>cef04b19-7776-4a94-b89b-375c77a8f936</vt:lpwstr>
  </property>
  <property fmtid="{D5CDD505-2E9C-101B-9397-08002B2CF9AE}" pid="10" name="MSIP_Label_68104b14-b53d-46de-9ae8-975cc0e84815_ActionId">
    <vt:lpwstr>62b0987c-cc40-4208-a8a3-29a4936c81cf</vt:lpwstr>
  </property>
  <property fmtid="{D5CDD505-2E9C-101B-9397-08002B2CF9AE}" pid="11" name="MSIP_Label_68104b14-b53d-46de-9ae8-975cc0e84815_ContentBits">
    <vt:lpwstr>0</vt:lpwstr>
  </property>
  <property fmtid="{D5CDD505-2E9C-101B-9397-08002B2CF9AE}" pid="12" name="MSIP_Label_68104b14-b53d-46de-9ae8-975cc0e84815_Tag">
    <vt:lpwstr>10, 3, 0, 1</vt:lpwstr>
  </property>
</Properties>
</file>