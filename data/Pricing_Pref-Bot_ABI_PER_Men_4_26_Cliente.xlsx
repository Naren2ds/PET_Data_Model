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ustomProperty2.bin" ContentType="application/vnd.openxmlformats-officedocument.spreadsheetml.customProperty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data/"/>
    </mc:Choice>
  </mc:AlternateContent>
  <xr:revisionPtr revIDLastSave="49" documentId="13_ncr:1_{B8CD72C4-7CCA-4158-8D79-818D8636998D}" xr6:coauthVersionLast="47" xr6:coauthVersionMax="47" xr10:uidLastSave="{99F8788E-43E5-414D-B2CC-72A0A15A0FDD}"/>
  <bookViews>
    <workbookView xWindow="-110" yWindow="-110" windowWidth="19420" windowHeight="11500" tabRatio="837" activeTab="5" xr2:uid="{00000000-000D-0000-FFFF-FFFF00000000}"/>
  </bookViews>
  <sheets>
    <sheet name="Motupe Preformas" sheetId="24" r:id="rId1"/>
    <sheet name="Ate Preformas" sheetId="6" r:id="rId2"/>
    <sheet name="Motupe-Botellas" sheetId="1" r:id="rId3"/>
    <sheet name="Ate-Botellas" sheetId="4" r:id="rId4"/>
    <sheet name="Inputs" sheetId="13" r:id="rId5"/>
    <sheet name="Sheet1" sheetId="25" r:id="rId6"/>
    <sheet name="Hoja2" sheetId="22" state="hidden" r:id="rId7"/>
    <sheet name="Resumen Inputs (2)" sheetId="16" state="hidden" r:id="rId8"/>
    <sheet name="Plantas" sheetId="11" state="hidden" r:id="rId9"/>
  </sheets>
  <definedNames>
    <definedName name="__123Graph_A" localSheetId="4" hidden="1">#REF!</definedName>
    <definedName name="__123Graph_A" hidden="1">#REF!</definedName>
    <definedName name="__123Graph_ACOMPARAT" localSheetId="4" hidden="1">#REF!</definedName>
    <definedName name="__123Graph_ACOMPARAT" hidden="1">#REF!</definedName>
    <definedName name="__123Graph_ACOMPARATACUM" localSheetId="4" hidden="1">#REF!</definedName>
    <definedName name="__123Graph_ACOMPARATACUM" hidden="1">#REF!</definedName>
    <definedName name="__123Graph_AMARIO" hidden="1">#REF!</definedName>
    <definedName name="__123Graph_APRINCIPAL" hidden="1">#REF!</definedName>
    <definedName name="__123Graph_AVENTAS" hidden="1">#REF!</definedName>
    <definedName name="__123Graph_BCOMPARAT" hidden="1">#REF!</definedName>
    <definedName name="__123Graph_BCOMPARATACUM" hidden="1">#REF!</definedName>
    <definedName name="__123Graph_BPRINCIPAL" hidden="1">#REF!</definedName>
    <definedName name="__123Graph_BVENTA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COMPARAT" hidden="1">#REF!</definedName>
    <definedName name="__123Graph_LBL_ACOMPARATACUM" hidden="1">#REF!</definedName>
    <definedName name="__123Graph_LBL_APRINCIPAL" hidden="1">#REF!</definedName>
    <definedName name="__123Graph_LBL_AVENTAS" hidden="1">#REF!</definedName>
    <definedName name="__123Graph_LBL_BCOMPARAT" hidden="1">#REF!</definedName>
    <definedName name="__123Graph_LBL_BCOMPARATACUM" hidden="1">#REF!</definedName>
    <definedName name="__123Graph_LBL_BPRINCIPAL" hidden="1">#REF!</definedName>
    <definedName name="__123Graph_LBL_BVENTAS" hidden="1">#REF!</definedName>
    <definedName name="__123Graph_XCOMPARAT" hidden="1">#REF!</definedName>
    <definedName name="__123Graph_XCOMPARATACUM" hidden="1">#REF!</definedName>
    <definedName name="__123Graph_XPRINCIPAL" hidden="1">#REF!</definedName>
    <definedName name="__123Graph_XVENTAS" hidden="1">#REF!</definedName>
    <definedName name="_a1" localSheetId="4" hidden="1">{#N/A,#N/A,FALSE,"Aging Summary";#N/A,#N/A,FALSE,"Ratio Analysis";#N/A,#N/A,FALSE,"Test 120 Day Accts";#N/A,#N/A,FALSE,"Tickmarks"}</definedName>
    <definedName name="_a1" hidden="1">{#N/A,#N/A,FALSE,"Aging Summary";#N/A,#N/A,FALSE,"Ratio Analysis";#N/A,#N/A,FALSE,"Test 120 Day Accts";#N/A,#N/A,FALSE,"Tickmarks"}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768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hidden="1">#REF!</definedName>
    <definedName name="_Dist_Values" localSheetId="4" hidden="1">#REF!</definedName>
    <definedName name="_Dist_Values" hidden="1">#REF!</definedName>
    <definedName name="_Fill" localSheetId="4" hidden="1">#REF!</definedName>
    <definedName name="_Fill" hidden="1">#REF!</definedName>
    <definedName name="_xlnm._FilterDatabase" localSheetId="1" hidden="1">'Ate Preformas'!$A$19:$M$39</definedName>
    <definedName name="_xlnm._FilterDatabase" localSheetId="6" hidden="1">Hoja2!$C$2:$I$24</definedName>
    <definedName name="_xlnm._FilterDatabase" localSheetId="4" hidden="1">#REF!</definedName>
    <definedName name="_xlnm._FilterDatabase" localSheetId="0" hidden="1">'Motupe Preformas'!$A$19:$R$31</definedName>
    <definedName name="_xlnm._FilterDatabase" hidden="1">#REF!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key3" localSheetId="4" hidden="1">#REF!</definedName>
    <definedName name="_key3" hidden="1">#REF!</definedName>
    <definedName name="_Order1" hidden="1">255</definedName>
    <definedName name="_Order2" hidden="1">255</definedName>
    <definedName name="_Parse_In" localSheetId="4" hidden="1">#REF!</definedName>
    <definedName name="_Parse_In" hidden="1">#REF!</definedName>
    <definedName name="_Parse_Out" localSheetId="4" hidden="1">#REF!</definedName>
    <definedName name="_Parse_Out" hidden="1">#REF!</definedName>
    <definedName name="_Sort" localSheetId="4" hidden="1">#REF!</definedName>
    <definedName name="_Sort" hidden="1">#REF!</definedName>
    <definedName name="a" localSheetId="4" hidden="1">#REF!</definedName>
    <definedName name="a" hidden="1">#REF!</definedName>
    <definedName name="aaa" localSheetId="4" hidden="1">{#N/A,#N/A,FALSE,"Aging Summary";#N/A,#N/A,FALSE,"Ratio Analysis";#N/A,#N/A,FALSE,"Test 120 Day Accts";#N/A,#N/A,FALSE,"Tickmarks"}</definedName>
    <definedName name="aaa" hidden="1">{#N/A,#N/A,FALSE,"Aging Summary";#N/A,#N/A,FALSE,"Ratio Analysis";#N/A,#N/A,FALSE,"Test 120 Day Accts";#N/A,#N/A,FALSE,"Tickmarks"}</definedName>
    <definedName name="aaaaaaaaaaaaaaaa" hidden="1">#REF!</definedName>
    <definedName name="aaaaaaaaaaaaaaaaaaaaaaaaa" hidden="1">#REF!</definedName>
    <definedName name="aaaaaaaaaaaaaaaaaaaaaaaaaaaaaaa" hidden="1">#REF!</definedName>
    <definedName name="AS2DocOpenMode" hidden="1">"AS2DocumentEdit"</definedName>
    <definedName name="asadsfds" localSheetId="4" hidden="1">{#N/A,#N/A,FALSE,"Aging Summary";#N/A,#N/A,FALSE,"Ratio Analysis";#N/A,#N/A,FALSE,"Test 120 Day Accts";#N/A,#N/A,FALSE,"Tickmarks"}</definedName>
    <definedName name="asadsfds" hidden="1">{#N/A,#N/A,FALSE,"Aging Summary";#N/A,#N/A,FALSE,"Ratio Analysis";#N/A,#N/A,FALSE,"Test 120 Day Accts";#N/A,#N/A,FALSE,"Tickmarks"}</definedName>
    <definedName name="bcbcbcbcb" localSheetId="4" hidden="1">#REF!</definedName>
    <definedName name="bcbcbcbcb" hidden="1">#REF!</definedName>
    <definedName name="bind" localSheetId="4" hidden="1">#REF!</definedName>
    <definedName name="bind" hidden="1">#REF!</definedName>
    <definedName name="CIQWBGuid" hidden="1">"e8017ecf-4a3e-4941-bd9d-07ff25a4906e"</definedName>
    <definedName name="de" localSheetId="4" hidden="1">{#N/A,#N/A,FALSE,"Aging Summary";#N/A,#N/A,FALSE,"Ratio Analysis";#N/A,#N/A,FALSE,"Test 120 Day Accts";#N/A,#N/A,FALSE,"Tickmarks"}</definedName>
    <definedName name="de" hidden="1">{#N/A,#N/A,FALSE,"Aging Summary";#N/A,#N/A,FALSE,"Ratio Analysis";#N/A,#N/A,FALSE,"Test 120 Day Accts";#N/A,#N/A,FALSE,"Tickmarks"}</definedName>
    <definedName name="eeeeeeeeeeeeeeee" localSheetId="4" hidden="1">#REF!</definedName>
    <definedName name="eeeeeeeeeeeeeeee" hidden="1">#REF!</definedName>
    <definedName name="esdr" localSheetId="4" hidden="1">{#N/A,#N/A,FALSE,"ROTINA";#N/A,#N/A,FALSE,"ITENS";#N/A,#N/A,FALSE,"ACOMP"}</definedName>
    <definedName name="esdr" hidden="1">{#N/A,#N/A,FALSE,"ROTINA";#N/A,#N/A,FALSE,"ITENS";#N/A,#N/A,FALSE,"ACOMP"}</definedName>
    <definedName name="ew" localSheetId="4" hidden="1">{#N/A,#N/A,FALSE,"Aging Summary";#N/A,#N/A,FALSE,"Ratio Analysis";#N/A,#N/A,FALSE,"Test 120 Day Accts";#N/A,#N/A,FALSE,"Tickmarks"}</definedName>
    <definedName name="ew" hidden="1">{#N/A,#N/A,FALSE,"Aging Summary";#N/A,#N/A,FALSE,"Ratio Analysis";#N/A,#N/A,FALSE,"Test 120 Day Accts";#N/A,#N/A,FALSE,"Tickmarks"}</definedName>
    <definedName name="fdasfa" localSheetId="4" hidden="1">#REF!</definedName>
    <definedName name="fdasfa" hidden="1">#REF!</definedName>
    <definedName name="ffdsfd" localSheetId="4" hidden="1">{#N/A,#N/A,FALSE,"Aging Summary";#N/A,#N/A,FALSE,"Ratio Analysis";#N/A,#N/A,FALSE,"Test 120 Day Accts";#N/A,#N/A,FALSE,"Tickmarks"}</definedName>
    <definedName name="ffdsfd" hidden="1">{#N/A,#N/A,FALSE,"Aging Summary";#N/A,#N/A,FALSE,"Ratio Analysis";#N/A,#N/A,FALSE,"Test 120 Day Accts";#N/A,#N/A,FALSE,"Tickmarks"}</definedName>
    <definedName name="financials2" localSheetId="4" hidden="1">#REF!</definedName>
    <definedName name="financials2" hidden="1">#REF!</definedName>
    <definedName name="grd" localSheetId="4" hidden="1">#REF!</definedName>
    <definedName name="grd" hidden="1">#REF!</definedName>
    <definedName name="hjsmmmmm" localSheetId="4" hidden="1">#REF!</definedName>
    <definedName name="hjsmmmmm" hidden="1">#REF!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uiiiiiiiiiiiiiiiii" localSheetId="4" hidden="1">#REF!</definedName>
    <definedName name="iuiiiiiiiiiiiiiiiii" hidden="1">#REF!</definedName>
    <definedName name="kjk" localSheetId="4" hidden="1">#REF!</definedName>
    <definedName name="kjk" hidden="1">#REF!</definedName>
    <definedName name="oo" localSheetId="4" hidden="1">#REF!</definedName>
    <definedName name="oo" hidden="1">#REF!</definedName>
    <definedName name="Pal_Workbook_GUID" hidden="1">"2865GY71M9U7WNPLS2S5K8DX"</definedName>
    <definedName name="pesetas" localSheetId="4" hidden="1">#REF!</definedName>
    <definedName name="pesetas" hidden="1">#REF!</definedName>
    <definedName name="pppppppppppppppppp" localSheetId="4" hidden="1">#REF!</definedName>
    <definedName name="pppppppppppppppppp" hidden="1">#REF!</definedName>
    <definedName name="ptas" localSheetId="4" hidden="1">#REF!</definedName>
    <definedName name="ptas" hidden="1">#REF!</definedName>
    <definedName name="q" localSheetId="4" hidden="1">#REF!</definedName>
    <definedName name="q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100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rrrrrrrrrrrrrrr" localSheetId="4" hidden="1">#REF!</definedName>
    <definedName name="rrrrrrrrrrrrrrrrrrrr" hidden="1">#REF!</definedName>
    <definedName name="SAPBEXrevision" hidden="1">1</definedName>
    <definedName name="SAPBEXsysID" hidden="1">"MBP"</definedName>
    <definedName name="SAPBEXwbID" hidden="1">"46Q688J21WEVLDQ4L95JCNHP8"</definedName>
    <definedName name="ssss" localSheetId="4" hidden="1">{#N/A,#N/A,FALSE,"Aging Summary";#N/A,#N/A,FALSE,"Ratio Analysis";#N/A,#N/A,FALSE,"Test 120 Day Accts";#N/A,#N/A,FALSE,"Tickmarks"}</definedName>
    <definedName name="ssss" hidden="1">{#N/A,#N/A,FALSE,"Aging Summary";#N/A,#N/A,FALSE,"Ratio Analysis";#N/A,#N/A,FALSE,"Test 120 Day Accts";#N/A,#N/A,FALSE,"Tickmarks"}</definedName>
    <definedName name="sssssssssssssssss" hidden="1">#REF!</definedName>
    <definedName name="ssssssssssssssssssssssss" hidden="1">#REF!</definedName>
    <definedName name="test" localSheetId="4" hidden="1">{#N/A,#N/A,FALSE,"ROTINA";#N/A,#N/A,FALSE,"ITENS";#N/A,#N/A,FALSE,"ACOMP"}</definedName>
    <definedName name="test" hidden="1">{#N/A,#N/A,FALSE,"ROTINA";#N/A,#N/A,FALSE,"ITENS";#N/A,#N/A,FALSE,"ACOMP"}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tttttttttttttttttttttt" localSheetId="4" hidden="1">#REF!</definedName>
    <definedName name="ttttttttttttttttttttttt" hidden="1">#REF!</definedName>
    <definedName name="uuuuuuuuuuuuuuuuuu" localSheetId="4" hidden="1">#REF!</definedName>
    <definedName name="uuuuuuuuuuuuuuuuuu" hidden="1">#REF!</definedName>
    <definedName name="wew" localSheetId="4" hidden="1">{#N/A,#N/A,FALSE,"Aging Summary";#N/A,#N/A,FALSE,"Ratio Analysis";#N/A,#N/A,FALSE,"Test 120 Day Accts";#N/A,#N/A,FALSE,"Tickmarks"}</definedName>
    <definedName name="wew" hidden="1">{#N/A,#N/A,FALSE,"Aging Summary";#N/A,#N/A,FALSE,"Ratio Analysis";#N/A,#N/A,FALSE,"Test 120 Day Accts";#N/A,#N/A,FALSE,"Tickmarks"}</definedName>
    <definedName name="wmmmm" localSheetId="4" hidden="1">#REF!</definedName>
    <definedName name="wmmmm" hidden="1">#REF!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DIRETRIZ." localSheetId="4" hidden="1">{#N/A,#N/A,FALSE,"ROTINA";#N/A,#N/A,FALSE,"ITENS";#N/A,#N/A,FALSE,"ACOMP"}</definedName>
    <definedName name="wrn.DIRETRIZ." hidden="1">{#N/A,#N/A,FALSE,"ROTINA";#N/A,#N/A,FALSE,"ITENS";#N/A,#N/A,FALSE,"ACOMP"}</definedName>
    <definedName name="wrn.SEC2." localSheetId="4" hidden="1">{#N/A,#N/A,FALSE,"211";#N/A,#N/A,FALSE,"212";#N/A,#N/A,FALSE,"213";#N/A,#N/A,FALSE,"214";#N/A,#N/A,FALSE,"215";#N/A,#N/A,FALSE,"216";#N/A,#N/A,FALSE,"217";#N/A,#N/A,FALSE,"218";#N/A,#N/A,FALSE,"219";#N/A,#N/A,FALSE,"221";#N/A,#N/A,FALSE,"222";#N/A,#N/A,FALSE,"223"}</definedName>
    <definedName name="wrn.SEC2." hidden="1">{#N/A,#N/A,FALSE,"211";#N/A,#N/A,FALSE,"212";#N/A,#N/A,FALSE,"213";#N/A,#N/A,FALSE,"214";#N/A,#N/A,FALSE,"215";#N/A,#N/A,FALSE,"216";#N/A,#N/A,FALSE,"217";#N/A,#N/A,FALSE,"218";#N/A,#N/A,FALSE,"219";#N/A,#N/A,FALSE,"221";#N/A,#N/A,FALSE,"222";#N/A,#N/A,FALSE,"223"}</definedName>
    <definedName name="wwwwwwwwwwwwww" hidden="1">#REF!</definedName>
    <definedName name="xxx" localSheetId="4" hidden="1">{#N/A,#N/A,FALSE,"Aging Summary";#N/A,#N/A,FALSE,"Ratio Analysis";#N/A,#N/A,FALSE,"Test 120 Day Accts";#N/A,#N/A,FALSE,"Tickmarks"}</definedName>
    <definedName name="xxx" hidden="1">{#N/A,#N/A,FALSE,"Aging Summary";#N/A,#N/A,FALSE,"Ratio Analysis";#N/A,#N/A,FALSE,"Test 120 Day Accts";#N/A,#N/A,FALSE,"Tickmarks"}</definedName>
    <definedName name="yyyyyyyyyyyyyyyyyy" hidden="1">#REF!</definedName>
    <definedName name="Z_961C41A8_D799_11D5_943C_00104B06CD16_.wvu.Rows" hidden="1">#REF!,#REF!,#REF!,#REF!,#REF!,#REF!</definedName>
    <definedName name="zzzzzzzzzzz" localSheetId="4" hidden="1">#REF!</definedName>
    <definedName name="zzzzzzzzzzz" hidden="1">#REF!</definedName>
    <definedName name="zzzzzzzzzzzzzzzzzzzzzzzzzzzzz" hidden="1">#REF!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5" l="1"/>
  <c r="H11" i="25" l="1"/>
  <c r="W8" i="13" l="1"/>
  <c r="W9" i="13"/>
  <c r="AA20" i="1" l="1"/>
  <c r="Y20" i="1" s="1"/>
  <c r="B20" i="1"/>
  <c r="AA24" i="1"/>
  <c r="Y24" i="1" s="1"/>
  <c r="B24" i="1"/>
  <c r="AA26" i="1"/>
  <c r="Y26" i="1" s="1"/>
  <c r="B26" i="1"/>
  <c r="AB29" i="4"/>
  <c r="Z29" i="4" s="1"/>
  <c r="AB25" i="4"/>
  <c r="Z25" i="4" s="1"/>
  <c r="B25" i="4"/>
  <c r="A25" i="4"/>
  <c r="AB23" i="4"/>
  <c r="Z23" i="4" s="1"/>
  <c r="B23" i="4"/>
  <c r="A23" i="4"/>
  <c r="AB19" i="4"/>
  <c r="Z19" i="4" s="1"/>
  <c r="B19" i="4"/>
  <c r="A19" i="4"/>
  <c r="B38" i="6"/>
  <c r="A38" i="6"/>
  <c r="B36" i="6"/>
  <c r="A36" i="6"/>
  <c r="B33" i="6"/>
  <c r="A33" i="6"/>
  <c r="B32" i="6"/>
  <c r="A32" i="6"/>
  <c r="B25" i="6"/>
  <c r="A25" i="6"/>
  <c r="B21" i="6" l="1"/>
  <c r="A21" i="6"/>
  <c r="D7" i="6" l="1"/>
  <c r="B33" i="24" l="1"/>
  <c r="A33" i="24"/>
  <c r="B32" i="24"/>
  <c r="A32" i="24"/>
  <c r="B31" i="24"/>
  <c r="A31" i="24"/>
  <c r="B30" i="24"/>
  <c r="A30" i="24"/>
  <c r="B29" i="24"/>
  <c r="A29" i="24"/>
  <c r="B28" i="24"/>
  <c r="A28" i="24"/>
  <c r="B27" i="24"/>
  <c r="A27" i="24"/>
  <c r="B26" i="24"/>
  <c r="A26" i="24"/>
  <c r="B25" i="24"/>
  <c r="A25" i="24"/>
  <c r="B24" i="24"/>
  <c r="A24" i="24"/>
  <c r="B23" i="24"/>
  <c r="A23" i="24"/>
  <c r="B22" i="24"/>
  <c r="A22" i="24"/>
  <c r="B21" i="24"/>
  <c r="A21" i="24"/>
  <c r="B20" i="24"/>
  <c r="A20" i="24"/>
  <c r="AA30" i="1" l="1"/>
  <c r="AA29" i="1"/>
  <c r="Y29" i="1" s="1"/>
  <c r="AA27" i="1"/>
  <c r="Y27" i="1" s="1"/>
  <c r="AA25" i="1"/>
  <c r="Y25" i="1" s="1"/>
  <c r="AA21" i="1"/>
  <c r="Y21" i="1" s="1"/>
  <c r="AB28" i="4"/>
  <c r="Z28" i="4" s="1"/>
  <c r="AB26" i="4"/>
  <c r="AB27" i="4" s="1"/>
  <c r="Z27" i="4" s="1"/>
  <c r="AB24" i="4"/>
  <c r="Z24" i="4" s="1"/>
  <c r="AB20" i="4"/>
  <c r="AB21" i="4" s="1"/>
  <c r="Z21" i="4" s="1"/>
  <c r="Y30" i="1" l="1"/>
  <c r="AA28" i="1"/>
  <c r="Y28" i="1" s="1"/>
  <c r="AA23" i="1"/>
  <c r="Y23" i="1" s="1"/>
  <c r="AA22" i="1"/>
  <c r="Y22" i="1" s="1"/>
  <c r="Z20" i="4"/>
  <c r="Z26" i="4"/>
  <c r="AB22" i="4"/>
  <c r="Z22" i="4" s="1"/>
  <c r="D7" i="4"/>
  <c r="D7" i="1"/>
  <c r="B29" i="4" l="1"/>
  <c r="A29" i="4"/>
  <c r="B30" i="1"/>
  <c r="A23" i="6"/>
  <c r="B23" i="6"/>
  <c r="A28" i="4"/>
  <c r="A39" i="6"/>
  <c r="A37" i="6"/>
  <c r="B28" i="4"/>
  <c r="B39" i="6"/>
  <c r="B37" i="6"/>
  <c r="B29" i="1"/>
  <c r="D9" i="13" l="1"/>
  <c r="H36" i="6" l="1"/>
  <c r="H20" i="1"/>
  <c r="H26" i="1"/>
  <c r="H19" i="4"/>
  <c r="H33" i="6"/>
  <c r="H23" i="4"/>
  <c r="H38" i="6"/>
  <c r="H24" i="1"/>
  <c r="H25" i="6"/>
  <c r="H32" i="6"/>
  <c r="H25" i="4"/>
  <c r="K29" i="4"/>
  <c r="K19" i="4"/>
  <c r="J24" i="1"/>
  <c r="K23" i="4"/>
  <c r="J20" i="1"/>
  <c r="J26" i="1"/>
  <c r="K25" i="4"/>
  <c r="H21" i="6"/>
  <c r="AI8" i="13"/>
  <c r="H33" i="24"/>
  <c r="H25" i="24"/>
  <c r="H21" i="24"/>
  <c r="H23" i="24"/>
  <c r="H30" i="24"/>
  <c r="H22" i="24"/>
  <c r="H26" i="24"/>
  <c r="H20" i="24"/>
  <c r="H27" i="24"/>
  <c r="H32" i="24"/>
  <c r="H24" i="24"/>
  <c r="H29" i="24"/>
  <c r="H31" i="24"/>
  <c r="H28" i="24"/>
  <c r="J27" i="1"/>
  <c r="K27" i="4"/>
  <c r="K21" i="4"/>
  <c r="J21" i="1"/>
  <c r="J25" i="1"/>
  <c r="J29" i="1"/>
  <c r="K28" i="4"/>
  <c r="K24" i="4"/>
  <c r="J30" i="1"/>
  <c r="K26" i="4"/>
  <c r="J22" i="1"/>
  <c r="J23" i="1"/>
  <c r="K20" i="4"/>
  <c r="J28" i="1"/>
  <c r="K22" i="4"/>
  <c r="H30" i="1"/>
  <c r="H23" i="6"/>
  <c r="H29" i="4"/>
  <c r="H28" i="4"/>
  <c r="H25" i="1"/>
  <c r="H23" i="1"/>
  <c r="H27" i="4"/>
  <c r="H22" i="1"/>
  <c r="H21" i="1"/>
  <c r="H39" i="6"/>
  <c r="H37" i="6"/>
  <c r="H26" i="4"/>
  <c r="H29" i="1"/>
  <c r="H24" i="4"/>
  <c r="H22" i="4"/>
  <c r="H21" i="4"/>
  <c r="H28" i="1"/>
  <c r="H20" i="4"/>
  <c r="H27" i="1"/>
  <c r="H35" i="6"/>
  <c r="H24" i="6"/>
  <c r="H27" i="6"/>
  <c r="H34" i="6"/>
  <c r="H22" i="6"/>
  <c r="H20" i="6"/>
  <c r="H30" i="6"/>
  <c r="H31" i="6"/>
  <c r="H29" i="6"/>
  <c r="H28" i="6"/>
  <c r="H26" i="6"/>
  <c r="A21" i="4"/>
  <c r="A22" i="4"/>
  <c r="A24" i="4"/>
  <c r="A26" i="4"/>
  <c r="A27" i="4"/>
  <c r="A20" i="4"/>
  <c r="A22" i="6"/>
  <c r="A24" i="6"/>
  <c r="A26" i="6"/>
  <c r="A27" i="6"/>
  <c r="A28" i="6"/>
  <c r="A29" i="6"/>
  <c r="A30" i="6"/>
  <c r="A31" i="6"/>
  <c r="A34" i="6"/>
  <c r="A35" i="6"/>
  <c r="A20" i="6"/>
  <c r="B28" i="1" l="1"/>
  <c r="B23" i="1"/>
  <c r="B22" i="1"/>
  <c r="B27" i="4"/>
  <c r="E4" i="22" l="1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3" i="22"/>
  <c r="B35" i="6" l="1"/>
  <c r="B30" i="6"/>
  <c r="B27" i="6"/>
  <c r="B26" i="6" l="1"/>
  <c r="B22" i="6"/>
  <c r="C11" i="13" l="1"/>
  <c r="C12" i="13" l="1"/>
  <c r="I33" i="16" l="1"/>
  <c r="H33" i="16"/>
  <c r="F33" i="16"/>
  <c r="E33" i="16"/>
  <c r="D33" i="16"/>
  <c r="C33" i="16"/>
  <c r="B33" i="16"/>
  <c r="I29" i="16"/>
  <c r="H29" i="16"/>
  <c r="F29" i="16"/>
  <c r="E29" i="16"/>
  <c r="D29" i="16"/>
  <c r="C29" i="16"/>
  <c r="B29" i="16"/>
  <c r="I28" i="16"/>
  <c r="H28" i="16"/>
  <c r="F28" i="16"/>
  <c r="E28" i="16"/>
  <c r="D28" i="16"/>
  <c r="C28" i="16"/>
  <c r="B28" i="16"/>
  <c r="I27" i="16"/>
  <c r="H27" i="16"/>
  <c r="F27" i="16"/>
  <c r="E27" i="16"/>
  <c r="D27" i="16"/>
  <c r="C27" i="16"/>
  <c r="B27" i="16"/>
  <c r="I23" i="16"/>
  <c r="H23" i="16"/>
  <c r="F23" i="16"/>
  <c r="E23" i="16"/>
  <c r="D23" i="16"/>
  <c r="C23" i="16"/>
  <c r="B23" i="16"/>
  <c r="Q19" i="16"/>
  <c r="O19" i="16"/>
  <c r="I19" i="16"/>
  <c r="H19" i="16"/>
  <c r="F19" i="16"/>
  <c r="E19" i="16"/>
  <c r="D19" i="16"/>
  <c r="C19" i="16"/>
  <c r="B19" i="16"/>
  <c r="Q15" i="16"/>
  <c r="L15" i="16"/>
  <c r="I15" i="16"/>
  <c r="H15" i="16"/>
  <c r="F15" i="16"/>
  <c r="E15" i="16"/>
  <c r="D15" i="16"/>
  <c r="C15" i="16"/>
  <c r="B15" i="16"/>
  <c r="Y11" i="16"/>
  <c r="X11" i="16"/>
  <c r="R11" i="16"/>
  <c r="F11" i="16"/>
  <c r="E11" i="16"/>
  <c r="D11" i="16"/>
  <c r="C11" i="16"/>
  <c r="B11" i="16"/>
  <c r="Y10" i="16"/>
  <c r="X10" i="16"/>
  <c r="F10" i="16"/>
  <c r="E10" i="16"/>
  <c r="D10" i="16"/>
  <c r="C10" i="16"/>
  <c r="B10" i="16"/>
  <c r="Y9" i="16"/>
  <c r="X9" i="16"/>
  <c r="F9" i="16"/>
  <c r="E9" i="16"/>
  <c r="D9" i="16"/>
  <c r="C9" i="16"/>
  <c r="B9" i="16"/>
  <c r="Y8" i="16"/>
  <c r="X8" i="16"/>
  <c r="F8" i="16"/>
  <c r="E8" i="16"/>
  <c r="D8" i="16"/>
  <c r="C8" i="16"/>
  <c r="B8" i="16"/>
  <c r="Y7" i="16"/>
  <c r="X7" i="16"/>
  <c r="F7" i="16"/>
  <c r="E7" i="16"/>
  <c r="D7" i="16"/>
  <c r="C7" i="16"/>
  <c r="B7" i="16"/>
  <c r="Y6" i="16"/>
  <c r="X6" i="16"/>
  <c r="W6" i="16"/>
  <c r="F6" i="16"/>
  <c r="E6" i="16"/>
  <c r="D6" i="16"/>
  <c r="C6" i="16"/>
  <c r="B6" i="16"/>
  <c r="Y5" i="16"/>
  <c r="X5" i="16"/>
  <c r="L5" i="16"/>
  <c r="F5" i="16"/>
  <c r="E5" i="16"/>
  <c r="D5" i="16"/>
  <c r="C5" i="16"/>
  <c r="B5" i="16"/>
  <c r="P10" i="13" l="1"/>
  <c r="E14" i="24" l="1"/>
  <c r="E15" i="1"/>
  <c r="E14" i="4"/>
  <c r="E14" i="6"/>
  <c r="N19" i="16"/>
  <c r="Q11" i="16"/>
  <c r="AC37" i="13" l="1"/>
  <c r="AC38" i="13"/>
  <c r="AC36" i="13"/>
  <c r="G19" i="16"/>
  <c r="G10" i="16"/>
  <c r="G8" i="16"/>
  <c r="G7" i="16"/>
  <c r="G5" i="16"/>
  <c r="G28" i="16"/>
  <c r="G15" i="16"/>
  <c r="G29" i="16"/>
  <c r="G11" i="16"/>
  <c r="G9" i="16"/>
  <c r="G33" i="16"/>
  <c r="G23" i="16"/>
  <c r="G6" i="16"/>
  <c r="G27" i="16"/>
  <c r="C9" i="13"/>
  <c r="AQ6" i="13" l="1"/>
  <c r="AP6" i="13" s="1"/>
  <c r="AQ7" i="13"/>
  <c r="X7" i="13"/>
  <c r="Q17" i="6" s="1"/>
  <c r="O33" i="16"/>
  <c r="T6" i="16"/>
  <c r="T10" i="16"/>
  <c r="N23" i="16"/>
  <c r="Q36" i="6" l="1"/>
  <c r="L36" i="6" s="1"/>
  <c r="Q38" i="6"/>
  <c r="L38" i="6" s="1"/>
  <c r="Q32" i="6"/>
  <c r="L32" i="6" s="1"/>
  <c r="Q33" i="6"/>
  <c r="L33" i="6" s="1"/>
  <c r="Q21" i="6"/>
  <c r="L21" i="6" s="1"/>
  <c r="Q25" i="6"/>
  <c r="L25" i="6" s="1"/>
  <c r="O27" i="16"/>
  <c r="T7" i="16"/>
  <c r="X9" i="13"/>
  <c r="Q17" i="24" s="1"/>
  <c r="X8" i="13"/>
  <c r="Q33" i="24" l="1"/>
  <c r="L33" i="24" s="1"/>
  <c r="Q20" i="24"/>
  <c r="L20" i="24" s="1"/>
  <c r="Q28" i="24"/>
  <c r="L28" i="24" s="1"/>
  <c r="Q29" i="24"/>
  <c r="L29" i="24" s="1"/>
  <c r="Q32" i="24"/>
  <c r="L32" i="24" s="1"/>
  <c r="Q31" i="24"/>
  <c r="L31" i="24" s="1"/>
  <c r="Q30" i="24"/>
  <c r="L30" i="24" s="1"/>
  <c r="Q21" i="24"/>
  <c r="L21" i="24" s="1"/>
  <c r="Q24" i="24"/>
  <c r="L24" i="24" s="1"/>
  <c r="Q22" i="24"/>
  <c r="L22" i="24" s="1"/>
  <c r="Q27" i="24"/>
  <c r="L27" i="24" s="1"/>
  <c r="Q26" i="24"/>
  <c r="L26" i="24" s="1"/>
  <c r="Q23" i="24"/>
  <c r="L23" i="24" s="1"/>
  <c r="Q25" i="24"/>
  <c r="L25" i="24" s="1"/>
  <c r="O29" i="16"/>
  <c r="T9" i="16"/>
  <c r="O28" i="16"/>
  <c r="T8" i="16"/>
  <c r="S16" i="4"/>
  <c r="R17" i="1"/>
  <c r="B27" i="1" l="1"/>
  <c r="B25" i="1"/>
  <c r="B21" i="1"/>
  <c r="B26" i="4"/>
  <c r="B24" i="4"/>
  <c r="B22" i="4"/>
  <c r="B21" i="4"/>
  <c r="B20" i="4"/>
  <c r="B34" i="6" l="1"/>
  <c r="B31" i="6"/>
  <c r="B29" i="6"/>
  <c r="B28" i="6"/>
  <c r="B24" i="6"/>
  <c r="B20" i="6"/>
  <c r="H9" i="13" l="1"/>
  <c r="N5" i="16" l="1"/>
  <c r="N15" i="16"/>
  <c r="S11" i="16" l="1"/>
  <c r="P19" i="16"/>
  <c r="H10" i="13" l="1"/>
  <c r="H11" i="13" s="1"/>
  <c r="O5" i="16" l="1"/>
  <c r="O15" i="16"/>
  <c r="H13" i="13"/>
  <c r="E13" i="24" s="1"/>
  <c r="G32" i="24" l="1"/>
  <c r="I32" i="24" s="1"/>
  <c r="K32" i="24" s="1"/>
  <c r="G29" i="24"/>
  <c r="I29" i="24" s="1"/>
  <c r="K29" i="24" s="1"/>
  <c r="G20" i="24"/>
  <c r="I20" i="24" s="1"/>
  <c r="K20" i="24" s="1"/>
  <c r="G21" i="24"/>
  <c r="I21" i="24" s="1"/>
  <c r="K21" i="24" s="1"/>
  <c r="G26" i="24"/>
  <c r="I26" i="24" s="1"/>
  <c r="K26" i="24" s="1"/>
  <c r="G28" i="24"/>
  <c r="I28" i="24" s="1"/>
  <c r="K28" i="24" s="1"/>
  <c r="G30" i="24"/>
  <c r="I30" i="24" s="1"/>
  <c r="K30" i="24" s="1"/>
  <c r="G23" i="24"/>
  <c r="I23" i="24" s="1"/>
  <c r="K23" i="24" s="1"/>
  <c r="G33" i="24"/>
  <c r="I33" i="24" s="1"/>
  <c r="K33" i="24" s="1"/>
  <c r="G24" i="24"/>
  <c r="I24" i="24" s="1"/>
  <c r="K24" i="24" s="1"/>
  <c r="G31" i="24"/>
  <c r="I31" i="24" s="1"/>
  <c r="K31" i="24" s="1"/>
  <c r="G22" i="24"/>
  <c r="I22" i="24" s="1"/>
  <c r="K22" i="24" s="1"/>
  <c r="G27" i="24"/>
  <c r="I27" i="24" s="1"/>
  <c r="K27" i="24" s="1"/>
  <c r="G25" i="24"/>
  <c r="I25" i="24" s="1"/>
  <c r="K25" i="24" s="1"/>
  <c r="E13" i="4"/>
  <c r="G25" i="4" s="1"/>
  <c r="E14" i="1"/>
  <c r="G20" i="1" s="1"/>
  <c r="E13" i="6"/>
  <c r="P5" i="16"/>
  <c r="P15" i="16"/>
  <c r="G36" i="6" l="1"/>
  <c r="I36" i="6" s="1"/>
  <c r="K36" i="6" s="1"/>
  <c r="M36" i="6" s="1"/>
  <c r="G38" i="6"/>
  <c r="I38" i="6" s="1"/>
  <c r="K38" i="6" s="1"/>
  <c r="M38" i="6" s="1"/>
  <c r="G26" i="1"/>
  <c r="G24" i="1"/>
  <c r="G19" i="4"/>
  <c r="G23" i="4"/>
  <c r="G32" i="6"/>
  <c r="I32" i="6" s="1"/>
  <c r="K32" i="6" s="1"/>
  <c r="M32" i="6" s="1"/>
  <c r="G33" i="6"/>
  <c r="I33" i="6" s="1"/>
  <c r="K33" i="6" s="1"/>
  <c r="M33" i="6" s="1"/>
  <c r="G21" i="6"/>
  <c r="G25" i="6"/>
  <c r="I25" i="6" s="1"/>
  <c r="K25" i="6" s="1"/>
  <c r="M25" i="6" s="1"/>
  <c r="I21" i="6"/>
  <c r="K21" i="6" s="1"/>
  <c r="M26" i="24"/>
  <c r="M28" i="24"/>
  <c r="M21" i="24"/>
  <c r="M25" i="24"/>
  <c r="M31" i="24"/>
  <c r="M20" i="24"/>
  <c r="M30" i="24"/>
  <c r="M22" i="24"/>
  <c r="M24" i="24"/>
  <c r="M29" i="24"/>
  <c r="M23" i="24"/>
  <c r="M27" i="24"/>
  <c r="M33" i="24"/>
  <c r="M32" i="24"/>
  <c r="G23" i="6"/>
  <c r="G29" i="4"/>
  <c r="Q25" i="4" l="1"/>
  <c r="S25" i="4" s="1"/>
  <c r="I25" i="4" s="1"/>
  <c r="J25" i="4" s="1"/>
  <c r="P26" i="1"/>
  <c r="R26" i="1" s="1"/>
  <c r="I26" i="1" s="1"/>
  <c r="M21" i="6"/>
  <c r="G29" i="1"/>
  <c r="G30" i="1"/>
  <c r="I23" i="6"/>
  <c r="K23" i="6" s="1"/>
  <c r="G37" i="6"/>
  <c r="G39" i="6"/>
  <c r="I39" i="6" s="1"/>
  <c r="K39" i="6" s="1"/>
  <c r="G28" i="4"/>
  <c r="G21" i="4"/>
  <c r="G24" i="4"/>
  <c r="G27" i="4"/>
  <c r="G20" i="4"/>
  <c r="G22" i="4"/>
  <c r="G26" i="4"/>
  <c r="G21" i="1"/>
  <c r="G23" i="1"/>
  <c r="G27" i="1"/>
  <c r="G22" i="1"/>
  <c r="G25" i="1"/>
  <c r="G28" i="1"/>
  <c r="G20" i="6"/>
  <c r="G24" i="6"/>
  <c r="G27" i="6"/>
  <c r="I27" i="6" s="1"/>
  <c r="K27" i="6" s="1"/>
  <c r="G29" i="6"/>
  <c r="G31" i="6"/>
  <c r="G35" i="6"/>
  <c r="I35" i="6" s="1"/>
  <c r="K35" i="6" s="1"/>
  <c r="G22" i="6"/>
  <c r="G26" i="6"/>
  <c r="G28" i="6"/>
  <c r="G30" i="6"/>
  <c r="G34" i="6"/>
  <c r="I37" i="6" l="1"/>
  <c r="K37" i="6" s="1"/>
  <c r="I22" i="6"/>
  <c r="K22" i="6" s="1"/>
  <c r="I34" i="6"/>
  <c r="K34" i="6" s="1"/>
  <c r="I30" i="6"/>
  <c r="K30" i="6" s="1"/>
  <c r="I24" i="6"/>
  <c r="K24" i="6" s="1"/>
  <c r="I29" i="6"/>
  <c r="K29" i="6" s="1"/>
  <c r="I31" i="6"/>
  <c r="K31" i="6" s="1"/>
  <c r="I28" i="6"/>
  <c r="K28" i="6" s="1"/>
  <c r="I20" i="6"/>
  <c r="K20" i="6" s="1"/>
  <c r="I26" i="6"/>
  <c r="K26" i="6" s="1"/>
  <c r="AP7" i="13" l="1"/>
  <c r="AP15" i="13" l="1"/>
  <c r="AP14" i="13"/>
  <c r="AP22" i="13"/>
  <c r="L29" i="4" s="1"/>
  <c r="AP16" i="13"/>
  <c r="AP17" i="13"/>
  <c r="AP18" i="13"/>
  <c r="AP19" i="13"/>
  <c r="AP21" i="13"/>
  <c r="AP20" i="13"/>
  <c r="L26" i="4" l="1"/>
  <c r="L25" i="4"/>
  <c r="M25" i="4" s="1"/>
  <c r="O25" i="4" s="1"/>
  <c r="K27" i="1"/>
  <c r="K26" i="1"/>
  <c r="L26" i="1" s="1"/>
  <c r="N26" i="1" s="1"/>
  <c r="L20" i="4"/>
  <c r="L22" i="4" s="1"/>
  <c r="L19" i="4"/>
  <c r="K21" i="1"/>
  <c r="K23" i="1" s="1"/>
  <c r="K20" i="1"/>
  <c r="L24" i="4"/>
  <c r="L23" i="4"/>
  <c r="K25" i="1"/>
  <c r="K24" i="1"/>
  <c r="K30" i="1"/>
  <c r="K29" i="1"/>
  <c r="L21" i="4"/>
  <c r="K28" i="1"/>
  <c r="L27" i="4"/>
  <c r="L28" i="4"/>
  <c r="K22" i="1" l="1"/>
  <c r="Q20" i="6" l="1"/>
  <c r="L20" i="6" s="1"/>
  <c r="M20" i="6" s="1"/>
  <c r="Q22" i="6"/>
  <c r="L22" i="6" s="1"/>
  <c r="M22" i="6" s="1"/>
  <c r="Q23" i="6"/>
  <c r="L23" i="6" s="1"/>
  <c r="M23" i="6" s="1"/>
  <c r="Q24" i="6"/>
  <c r="L24" i="6" s="1"/>
  <c r="M24" i="6" s="1"/>
  <c r="Q26" i="6"/>
  <c r="L26" i="6" s="1"/>
  <c r="M26" i="6" s="1"/>
  <c r="Q27" i="6"/>
  <c r="L27" i="6" s="1"/>
  <c r="M27" i="6" s="1"/>
  <c r="Q28" i="6"/>
  <c r="L28" i="6" s="1"/>
  <c r="M28" i="6" s="1"/>
  <c r="Q29" i="6"/>
  <c r="L29" i="6" s="1"/>
  <c r="M29" i="6" s="1"/>
  <c r="Q30" i="6"/>
  <c r="L30" i="6" s="1"/>
  <c r="M30" i="6" s="1"/>
  <c r="Q31" i="6"/>
  <c r="L31" i="6" s="1"/>
  <c r="M31" i="6" s="1"/>
  <c r="Q34" i="6"/>
  <c r="L34" i="6" s="1"/>
  <c r="M34" i="6" s="1"/>
  <c r="Q35" i="6"/>
  <c r="L35" i="6" s="1"/>
  <c r="M35" i="6" s="1"/>
  <c r="Q37" i="6"/>
  <c r="L37" i="6" s="1"/>
  <c r="M37" i="6" s="1"/>
  <c r="Q39" i="6"/>
  <c r="L39" i="6" s="1"/>
  <c r="M39" i="6" s="1"/>
  <c r="P29" i="1" s="1"/>
  <c r="R29" i="1" s="1"/>
  <c r="I29" i="1" s="1"/>
  <c r="Q19" i="4" l="1"/>
  <c r="S19" i="4" s="1"/>
  <c r="I19" i="4" s="1"/>
  <c r="J19" i="4" s="1"/>
  <c r="M19" i="4" s="1"/>
  <c r="O19" i="4" s="1"/>
  <c r="P20" i="1"/>
  <c r="R20" i="1" s="1"/>
  <c r="I20" i="1" s="1"/>
  <c r="L20" i="1" s="1"/>
  <c r="N20" i="1" s="1"/>
  <c r="Q23" i="4"/>
  <c r="S23" i="4" s="1"/>
  <c r="I23" i="4" s="1"/>
  <c r="J23" i="4" s="1"/>
  <c r="M23" i="4" s="1"/>
  <c r="O23" i="4" s="1"/>
  <c r="P24" i="1"/>
  <c r="R24" i="1" s="1"/>
  <c r="I24" i="1" s="1"/>
  <c r="L24" i="1" s="1"/>
  <c r="N24" i="1" s="1"/>
  <c r="Q26" i="4"/>
  <c r="S26" i="4" s="1"/>
  <c r="I26" i="4" s="1"/>
  <c r="P28" i="1"/>
  <c r="R28" i="1" s="1"/>
  <c r="I28" i="1" s="1"/>
  <c r="L28" i="1" s="1"/>
  <c r="P27" i="1"/>
  <c r="R27" i="1" s="1"/>
  <c r="I27" i="1" s="1"/>
  <c r="Q27" i="4"/>
  <c r="S27" i="4" s="1"/>
  <c r="I27" i="4" s="1"/>
  <c r="J27" i="4" s="1"/>
  <c r="M27" i="4" s="1"/>
  <c r="O27" i="4" s="1"/>
  <c r="P22" i="1"/>
  <c r="R22" i="1" s="1"/>
  <c r="I22" i="1" s="1"/>
  <c r="L22" i="1" s="1"/>
  <c r="Q22" i="4"/>
  <c r="S22" i="4" s="1"/>
  <c r="I22" i="4" s="1"/>
  <c r="Q21" i="4"/>
  <c r="S21" i="4" s="1"/>
  <c r="I21" i="4" s="1"/>
  <c r="P21" i="1"/>
  <c r="R21" i="1" s="1"/>
  <c r="I21" i="1" s="1"/>
  <c r="Q20" i="4"/>
  <c r="S20" i="4" s="1"/>
  <c r="I20" i="4" s="1"/>
  <c r="P23" i="1"/>
  <c r="R23" i="1" s="1"/>
  <c r="I23" i="1" s="1"/>
  <c r="L23" i="1" s="1"/>
  <c r="Q24" i="4"/>
  <c r="S24" i="4" s="1"/>
  <c r="I24" i="4" s="1"/>
  <c r="P25" i="1"/>
  <c r="R25" i="1" s="1"/>
  <c r="I25" i="1" s="1"/>
  <c r="L29" i="1"/>
  <c r="Q29" i="4"/>
  <c r="S29" i="4" s="1"/>
  <c r="I29" i="4" s="1"/>
  <c r="J29" i="4" s="1"/>
  <c r="M29" i="4" s="1"/>
  <c r="O29" i="4" s="1"/>
  <c r="P30" i="1"/>
  <c r="R30" i="1" s="1"/>
  <c r="I30" i="1" s="1"/>
  <c r="L30" i="1" s="1"/>
  <c r="Q28" i="4"/>
  <c r="S28" i="4" s="1"/>
  <c r="I28" i="4" s="1"/>
  <c r="N30" i="1" l="1"/>
  <c r="N22" i="1"/>
  <c r="N29" i="1"/>
  <c r="N23" i="1"/>
  <c r="N28" i="1"/>
  <c r="L21" i="1"/>
  <c r="J21" i="4"/>
  <c r="M21" i="4" s="1"/>
  <c r="O21" i="4" s="1"/>
  <c r="J22" i="4"/>
  <c r="M22" i="4" s="1"/>
  <c r="O22" i="4" s="1"/>
  <c r="J24" i="4"/>
  <c r="M24" i="4" s="1"/>
  <c r="L27" i="1"/>
  <c r="L25" i="1"/>
  <c r="J28" i="4"/>
  <c r="M28" i="4" s="1"/>
  <c r="O28" i="4" s="1"/>
  <c r="J20" i="4"/>
  <c r="M20" i="4" s="1"/>
  <c r="O20" i="4" s="1"/>
  <c r="J26" i="4"/>
  <c r="M26" i="4" s="1"/>
  <c r="O26" i="4" l="1"/>
  <c r="O24" i="4"/>
  <c r="N25" i="1"/>
  <c r="N21" i="1"/>
  <c r="N27" i="1"/>
</calcChain>
</file>

<file path=xl/sharedStrings.xml><?xml version="1.0" encoding="utf-8"?>
<sst xmlns="http://schemas.openxmlformats.org/spreadsheetml/2006/main" count="593" uniqueCount="235">
  <si>
    <t>PR</t>
  </si>
  <si>
    <t>CC</t>
  </si>
  <si>
    <t>Fee</t>
  </si>
  <si>
    <t>CLIENTE</t>
  </si>
  <si>
    <t>ABI Backus</t>
  </si>
  <si>
    <t>PAÍS :</t>
  </si>
  <si>
    <t>Perú</t>
  </si>
  <si>
    <t xml:space="preserve">PERÍODO : </t>
  </si>
  <si>
    <t xml:space="preserve">Actualización: </t>
  </si>
  <si>
    <t>Mensual</t>
  </si>
  <si>
    <t>FORMULA PRECIOS PREFORMAS MOTUPE - CON CP</t>
  </si>
  <si>
    <t>Precio de Resina</t>
  </si>
  <si>
    <t>USD/TM</t>
  </si>
  <si>
    <t>vPET</t>
  </si>
  <si>
    <t>rPET</t>
  </si>
  <si>
    <t xml:space="preserve"> </t>
  </si>
  <si>
    <t>Flete USD</t>
  </si>
  <si>
    <t>Base</t>
  </si>
  <si>
    <t>Key</t>
  </si>
  <si>
    <t>Formato</t>
  </si>
  <si>
    <t>Gramaje</t>
  </si>
  <si>
    <t>Color</t>
  </si>
  <si>
    <t>%rPET</t>
  </si>
  <si>
    <t>Resina (US$/Millar)</t>
  </si>
  <si>
    <t>Valor Fijo Preforma EXW (US$/millar)</t>
  </si>
  <si>
    <t>Precio Preforma EXW (US$/millar)</t>
  </si>
  <si>
    <t>Fee
(US$/millar)</t>
  </si>
  <si>
    <t>Precio Preforma EXW  + Fee (US$/millar)</t>
  </si>
  <si>
    <t>Flete
(US$/millar)</t>
  </si>
  <si>
    <t>Precio Preforma DDP  + Fee (US$/millar)</t>
  </si>
  <si>
    <t>Millar/caja</t>
  </si>
  <si>
    <t>Camión</t>
  </si>
  <si>
    <t>Flete Unitario</t>
  </si>
  <si>
    <t>Clear</t>
  </si>
  <si>
    <t>450/500/600/650</t>
  </si>
  <si>
    <t>Brown</t>
  </si>
  <si>
    <t>FORMULA PRECIOS PREFORMAS ATE - CON CP</t>
  </si>
  <si>
    <t>FleteP</t>
  </si>
  <si>
    <t>CS</t>
  </si>
  <si>
    <t>FORMULA PRECIOS MOTUPE - CON CP</t>
  </si>
  <si>
    <t>Resina (US$/millar)</t>
  </si>
  <si>
    <t>Flete Preforma
(US$/millar)</t>
  </si>
  <si>
    <t>Valor Fijo Soplado Ex Energía* (US$/milllar)</t>
  </si>
  <si>
    <t>Energía (US$/milllar)</t>
  </si>
  <si>
    <t>Precio Botella (US$/millar)</t>
  </si>
  <si>
    <t>Precio Botella + Fee (US$/millar)</t>
  </si>
  <si>
    <t>Fletes Actuales</t>
  </si>
  <si>
    <t>Valor Fijo Soplado (US$/millar)</t>
  </si>
  <si>
    <t>Costo de Energía Base* (US$/milllar)</t>
  </si>
  <si>
    <t>NUEVO</t>
  </si>
  <si>
    <t>FORMULA PRECIOS BOTELLAS IN HOUSE ATE - CON CP</t>
  </si>
  <si>
    <t>FORMATO</t>
  </si>
  <si>
    <t>Resina (US$/milllar)</t>
  </si>
  <si>
    <t>Valor Fijo Preforma EXW (US$/milllar)</t>
  </si>
  <si>
    <t>Flete (US$/milllar)</t>
  </si>
  <si>
    <t>Valor Fijo Preforma DDP (US$/milllar)</t>
  </si>
  <si>
    <t>Precio Botella (US$/milllar)</t>
  </si>
  <si>
    <t>Valor Fijo Soplado * (US$/milllar)</t>
  </si>
  <si>
    <t>450/500/600/650 y &lt;1 Lt</t>
  </si>
  <si>
    <t>HOJA DE INPUTS</t>
  </si>
  <si>
    <t>1. vPET</t>
  </si>
  <si>
    <t>1.2 Fletes Marítimos Internacionales:</t>
  </si>
  <si>
    <t>2. rPET</t>
  </si>
  <si>
    <t>3. Costos Logisticos de Preforma</t>
  </si>
  <si>
    <t xml:space="preserve">4. Tipo de Cambio </t>
  </si>
  <si>
    <t>5. IPC</t>
  </si>
  <si>
    <t>6. Tarifa de Energía</t>
  </si>
  <si>
    <t>1.1 Indice de precios de resina</t>
  </si>
  <si>
    <t>Indices Fletes Maritimos Drewry</t>
  </si>
  <si>
    <t>Fuente:</t>
  </si>
  <si>
    <t>SBS</t>
  </si>
  <si>
    <t>U.S. BLS</t>
  </si>
  <si>
    <t>Tarifa de Planeamiento Financiero</t>
  </si>
  <si>
    <t>Índice:</t>
  </si>
  <si>
    <t>Inventario Final</t>
  </si>
  <si>
    <t>Origen</t>
  </si>
  <si>
    <t>Planta SMI - Cercado de Lima</t>
  </si>
  <si>
    <t>Oficial Venta SBS (PEN) PERU</t>
  </si>
  <si>
    <t>CPI for All Urban Consumers (CPI-U)</t>
  </si>
  <si>
    <t>Mes</t>
  </si>
  <si>
    <t>In House</t>
  </si>
  <si>
    <t>AÑO</t>
  </si>
  <si>
    <t>MES</t>
  </si>
  <si>
    <t>ICIS - ASIA SE - Low</t>
  </si>
  <si>
    <t>Central China (Shanghai) to Peru (Callao)</t>
  </si>
  <si>
    <t>Precio Paca</t>
  </si>
  <si>
    <t>SMI</t>
  </si>
  <si>
    <t>Promedio</t>
  </si>
  <si>
    <t>IPC USA</t>
  </si>
  <si>
    <t>Pais</t>
  </si>
  <si>
    <t>Centro</t>
  </si>
  <si>
    <t>Planta</t>
  </si>
  <si>
    <t>Soles/KWH</t>
  </si>
  <si>
    <t>USD/KWH</t>
  </si>
  <si>
    <t>TC</t>
  </si>
  <si>
    <t>*ACTUALIZAR A LP:</t>
  </si>
  <si>
    <t>Flete (USD/TM)</t>
  </si>
  <si>
    <t>USD / TM</t>
  </si>
  <si>
    <t>S/ Viaje</t>
  </si>
  <si>
    <t>USD/Viaje</t>
  </si>
  <si>
    <t>Ate</t>
  </si>
  <si>
    <t>IPC</t>
  </si>
  <si>
    <t>Inflación acum</t>
  </si>
  <si>
    <t>Backus Ate</t>
  </si>
  <si>
    <t>Destino</t>
  </si>
  <si>
    <t>Fecha</t>
  </si>
  <si>
    <t>2024-6</t>
  </si>
  <si>
    <t>Backus Motupe</t>
  </si>
  <si>
    <t>PERIODO</t>
  </si>
  <si>
    <t>MES INICIAL</t>
  </si>
  <si>
    <t>Scrap</t>
  </si>
  <si>
    <t>Huarochirí</t>
  </si>
  <si>
    <t>Actual</t>
  </si>
  <si>
    <t>Actualizar en Jul-27, con CPI Nov-26</t>
  </si>
  <si>
    <t>Precio FOB</t>
  </si>
  <si>
    <t>Conversión</t>
  </si>
  <si>
    <t>Motupe</t>
  </si>
  <si>
    <t>Backus Motupe/ Ate</t>
  </si>
  <si>
    <t>Flete marítimo</t>
  </si>
  <si>
    <t>Precio rPET</t>
  </si>
  <si>
    <t>%Var</t>
  </si>
  <si>
    <t>Tarifa Energia</t>
  </si>
  <si>
    <t>Validez Inicial</t>
  </si>
  <si>
    <t>Precio CIF</t>
  </si>
  <si>
    <t>Tipo de Cambio</t>
  </si>
  <si>
    <t>Validez Final</t>
  </si>
  <si>
    <t>Nacionalización</t>
  </si>
  <si>
    <t>Merma sobre precio DDP</t>
  </si>
  <si>
    <t>Valor vPET</t>
  </si>
  <si>
    <t>Energía Base</t>
  </si>
  <si>
    <t>Energía Ajustado</t>
  </si>
  <si>
    <t>Resina RPET</t>
  </si>
  <si>
    <t>Fletes Terrestres PER</t>
  </si>
  <si>
    <t/>
  </si>
  <si>
    <t>2025-11</t>
  </si>
  <si>
    <t>Linea</t>
  </si>
  <si>
    <t>Cliente</t>
  </si>
  <si>
    <t>Periodo</t>
  </si>
  <si>
    <t>Año</t>
  </si>
  <si>
    <t>Tipo Producto</t>
  </si>
  <si>
    <t>RPET</t>
  </si>
  <si>
    <t>UM</t>
  </si>
  <si>
    <t>OBS</t>
  </si>
  <si>
    <t>CSD</t>
  </si>
  <si>
    <t>RESUMEN INPUTS</t>
  </si>
  <si>
    <t>Input</t>
  </si>
  <si>
    <t>Tipo Resina</t>
  </si>
  <si>
    <t>BD</t>
  </si>
  <si>
    <t>Fuente</t>
  </si>
  <si>
    <t>Esquema</t>
  </si>
  <si>
    <t>Precio DDP</t>
  </si>
  <si>
    <t>Precio Conversion</t>
  </si>
  <si>
    <t>Indices Resina</t>
  </si>
  <si>
    <t>Promedio trimestral anterior menos 1 mes</t>
  </si>
  <si>
    <t>Precio mes anterior menos 1 mes</t>
  </si>
  <si>
    <t>Destinatario</t>
  </si>
  <si>
    <t>Codigo Material</t>
  </si>
  <si>
    <t>Material</t>
  </si>
  <si>
    <t>Descripción</t>
  </si>
  <si>
    <t>% Rpet</t>
  </si>
  <si>
    <t>000500019700040407</t>
  </si>
  <si>
    <t>ENV.500 GUARANA BACKUS S/ETIQ. CP</t>
  </si>
  <si>
    <t>003000054700020408</t>
  </si>
  <si>
    <t>ENV. 3LT. BACKUS GENERICA S/ETIQ.PENT CP</t>
  </si>
  <si>
    <t>002000045700040407</t>
  </si>
  <si>
    <t>ENV. 2LT.GUARANA S/ETIQ. COUNTUR CP</t>
  </si>
  <si>
    <t>001000033700040047</t>
  </si>
  <si>
    <t>ENV. 1.0 LT. GUARANA S/E COUNTOUR PETAL</t>
  </si>
  <si>
    <t>003000051200020408</t>
  </si>
  <si>
    <t>002000042700040407</t>
  </si>
  <si>
    <t>002000045700040406</t>
  </si>
  <si>
    <t>ENV.2LT. BACKUS VIVA CP S/E COUNT PEN</t>
  </si>
  <si>
    <t>000450019700040407</t>
  </si>
  <si>
    <t>ENV.450 GUARANA BACKUS S/ETIQ. CP</t>
  </si>
  <si>
    <t>001000033700040407</t>
  </si>
  <si>
    <t>ENV. 1.0 LT. GUARANA S/E COUNTOUR PE CP</t>
  </si>
  <si>
    <t>007000X98000080600</t>
  </si>
  <si>
    <t>ENV. 7Lt. BID BACKUS CEL. CP ETIQ. SM 3H</t>
  </si>
  <si>
    <t>00197004050</t>
  </si>
  <si>
    <t>PREFORMAS 19.7 GR.CR.1881 -21465</t>
  </si>
  <si>
    <t>001770040M0</t>
  </si>
  <si>
    <t>PREFORMAS 17.7 CR.1881</t>
  </si>
  <si>
    <t>001970540M0</t>
  </si>
  <si>
    <t>PREFORMAS 19.7 GR.AMB.1881</t>
  </si>
  <si>
    <t>00197054099</t>
  </si>
  <si>
    <t>PREFORMAS 19.7 GR.AMBAR 1881</t>
  </si>
  <si>
    <t>0019701B0U0</t>
  </si>
  <si>
    <t>PREFORMAS 19.7 CEL.1881</t>
  </si>
  <si>
    <t>00457014025</t>
  </si>
  <si>
    <t>PREFORMAS 45.7 GR.CEL.1881</t>
  </si>
  <si>
    <t>0014501B0AU</t>
  </si>
  <si>
    <t>PREFORMAS 14.5 GR.CEL.0.055.1881</t>
  </si>
  <si>
    <t>001450110U0</t>
  </si>
  <si>
    <t>PREFORMAS 14.5 GR.CELESTE 1881</t>
  </si>
  <si>
    <t>00145A140U5</t>
  </si>
  <si>
    <t>PREFORMAS 14.5 GR.CELESTE RP.1881</t>
  </si>
  <si>
    <t>400007</t>
  </si>
  <si>
    <t>400009</t>
  </si>
  <si>
    <t>400008</t>
  </si>
  <si>
    <t>Precio RPET</t>
  </si>
  <si>
    <t>Precio</t>
  </si>
  <si>
    <t>Moneda</t>
  </si>
  <si>
    <t>Containers</t>
  </si>
  <si>
    <t>RESINA</t>
  </si>
  <si>
    <t>FLETE EXTERNO</t>
  </si>
  <si>
    <t>Fletes Mercado</t>
  </si>
  <si>
    <t>Planeamiento Financiero SMI</t>
  </si>
  <si>
    <t>Promedio trimestral anterior</t>
  </si>
  <si>
    <t>FLETE INTERNO</t>
  </si>
  <si>
    <t>Distribucion SMI Perú</t>
  </si>
  <si>
    <t>Fijo</t>
  </si>
  <si>
    <t>TIPO CAMBIO</t>
  </si>
  <si>
    <t>PEN</t>
  </si>
  <si>
    <t>Tipo Cambio</t>
  </si>
  <si>
    <t>SBS Oficial Venta</t>
  </si>
  <si>
    <t>Promedio mes anterior menos 1 mes</t>
  </si>
  <si>
    <t>Precios Resina RPET</t>
  </si>
  <si>
    <t>Resina Virgen</t>
  </si>
  <si>
    <t>SBS - Oficial Venta</t>
  </si>
  <si>
    <t>Flete Interno</t>
  </si>
  <si>
    <t>Flete Externo</t>
  </si>
  <si>
    <t xml:space="preserve">Destino </t>
  </si>
  <si>
    <t>2026-2</t>
  </si>
  <si>
    <t>Abril 26</t>
  </si>
  <si>
    <t xml:space="preserve">Customs Clearance </t>
  </si>
  <si>
    <t xml:space="preserve">ICIS Asia Low Index </t>
  </si>
  <si>
    <t xml:space="preserve">Constant as per formulae </t>
  </si>
  <si>
    <t xml:space="preserve">Tax </t>
  </si>
  <si>
    <t xml:space="preserve">Formulae </t>
  </si>
  <si>
    <t xml:space="preserve">Formuale </t>
  </si>
  <si>
    <t xml:space="preserve">ICIS </t>
  </si>
  <si>
    <t xml:space="preserve">OF </t>
  </si>
  <si>
    <t xml:space="preserve">IT </t>
  </si>
  <si>
    <t xml:space="preserve">Current Month </t>
  </si>
  <si>
    <t xml:space="preserve">Forward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</si>
</sst>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(* #,##0.00_);_(* \(#,##0.00\);_(* &quot;-&quot;??_);_(@_)"/>
    <numFmt numFmtId="164" formatCode="_-* #,##0.00_-;\-* #,##0.00_-;_-* &quot;-&quot;??_-;_-@_-"/>
    <numFmt numFmtId="165" formatCode="_-* #,##0.00\ _€_-;\-* #,##0.00\ _€_-;_-* &quot;-&quot;??\ _€_-;_-@_-"/>
    <numFmt numFmtId="166" formatCode="0.0%"/>
    <numFmt numFmtId="167" formatCode="#,##0.0"/>
    <numFmt numFmtId="168" formatCode="_-* #,##0.0_-;\-* #,##0.0_-;_-* &quot;-&quot;??_-;_-@_-"/>
    <numFmt numFmtId="169" formatCode="_-* #,##0_-;\-* #,##0_-;_-* &quot;-&quot;??_-;_-@_-"/>
    <numFmt numFmtId="170" formatCode="_ * #,##0.00_ ;_ * \-#,##0.00_ ;_ * &quot;-&quot;??_ ;_ @_ "/>
    <numFmt numFmtId="171" formatCode="0.000"/>
    <numFmt numFmtId="172" formatCode="0.0000"/>
    <numFmt numFmtId="173" formatCode="_-* #,##0.0000_-;\-* #,##0.0000_-;_-* &quot;-&quot;??_-;_-@_-"/>
    <numFmt numFmtId="174" formatCode="_-* #,##0.000_-;\-* #,##0.000_-;_-* &quot;-&quot;??_-;_-@_-"/>
    <numFmt numFmtId="175" formatCode="_-* #,##0.00_-;\-* #,##0.00_-;_-* &quot;-&quot;?_-;_-@_-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0"/>
      <color theme="0"/>
      <name val="Century Gothic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b/>
      <sz val="11"/>
      <color rgb="FFFF0000"/>
      <name val="Calibri"/>
      <family val="2"/>
      <scheme val="minor"/>
    </font>
    <font>
      <b/>
      <sz val="9"/>
      <color theme="0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5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3" fillId="0" borderId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9" fillId="0" borderId="0"/>
    <xf numFmtId="0" fontId="8" fillId="0" borderId="0"/>
    <xf numFmtId="0" fontId="23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27" fillId="0" borderId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33" fillId="0" borderId="0"/>
  </cellStyleXfs>
  <cellXfs count="20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0" fillId="2" borderId="0" xfId="0" applyFill="1"/>
    <xf numFmtId="2" fontId="6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0" fontId="2" fillId="2" borderId="0" xfId="1" applyFont="1" applyFill="1"/>
    <xf numFmtId="0" fontId="6" fillId="2" borderId="0" xfId="0" applyFont="1" applyFill="1" applyAlignment="1">
      <alignment horizontal="left"/>
    </xf>
    <xf numFmtId="0" fontId="7" fillId="2" borderId="0" xfId="0" applyFont="1" applyFill="1"/>
    <xf numFmtId="0" fontId="2" fillId="2" borderId="0" xfId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8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4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8" fillId="0" borderId="3" xfId="0" applyFont="1" applyBorder="1" applyAlignment="1">
      <alignment horizontal="left"/>
    </xf>
    <xf numFmtId="14" fontId="18" fillId="0" borderId="3" xfId="8" quotePrefix="1" applyNumberFormat="1" applyFont="1" applyBorder="1" applyAlignment="1">
      <alignment horizontal="center"/>
    </xf>
    <xf numFmtId="0" fontId="18" fillId="0" borderId="4" xfId="0" applyFont="1" applyBorder="1"/>
    <xf numFmtId="164" fontId="17" fillId="0" borderId="4" xfId="8" applyFont="1" applyBorder="1" applyAlignment="1">
      <alignment horizontal="center"/>
    </xf>
    <xf numFmtId="14" fontId="17" fillId="0" borderId="3" xfId="8" quotePrefix="1" applyNumberFormat="1" applyFont="1" applyBorder="1" applyAlignment="1">
      <alignment horizontal="center"/>
    </xf>
    <xf numFmtId="164" fontId="17" fillId="0" borderId="3" xfId="8" applyFont="1" applyBorder="1" applyAlignment="1">
      <alignment horizontal="center"/>
    </xf>
    <xf numFmtId="167" fontId="0" fillId="0" borderId="7" xfId="8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169" fontId="0" fillId="0" borderId="1" xfId="8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1" applyFont="1" applyFill="1" applyAlignment="1">
      <alignment vertical="center"/>
    </xf>
    <xf numFmtId="164" fontId="0" fillId="0" borderId="1" xfId="8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9" fontId="15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/>
    </xf>
    <xf numFmtId="4" fontId="0" fillId="0" borderId="7" xfId="8" applyNumberFormat="1" applyFont="1" applyFill="1" applyBorder="1" applyAlignment="1">
      <alignment horizontal="center" vertical="center"/>
    </xf>
    <xf numFmtId="168" fontId="0" fillId="0" borderId="1" xfId="8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166" fontId="0" fillId="0" borderId="2" xfId="4" applyNumberFormat="1" applyFont="1" applyBorder="1" applyAlignment="1">
      <alignment horizontal="center" vertical="center"/>
    </xf>
    <xf numFmtId="164" fontId="0" fillId="0" borderId="1" xfId="8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7" fontId="1" fillId="0" borderId="8" xfId="0" applyNumberFormat="1" applyFont="1" applyBorder="1" applyAlignment="1">
      <alignment horizontal="center" vertical="center"/>
    </xf>
    <xf numFmtId="164" fontId="0" fillId="2" borderId="0" xfId="8" applyFont="1" applyFill="1" applyBorder="1" applyAlignment="1">
      <alignment vertical="center"/>
    </xf>
    <xf numFmtId="164" fontId="0" fillId="2" borderId="8" xfId="8" applyFont="1" applyFill="1" applyBorder="1" applyAlignment="1">
      <alignment vertical="center"/>
    </xf>
    <xf numFmtId="0" fontId="1" fillId="0" borderId="0" xfId="0" applyFont="1"/>
    <xf numFmtId="0" fontId="1" fillId="9" borderId="0" xfId="0" applyFont="1" applyFill="1" applyAlignment="1">
      <alignment horizontal="center" vertical="center"/>
    </xf>
    <xf numFmtId="0" fontId="1" fillId="3" borderId="0" xfId="0" applyFont="1" applyFill="1"/>
    <xf numFmtId="4" fontId="0" fillId="0" borderId="1" xfId="12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43" fontId="29" fillId="0" borderId="0" xfId="14" applyFont="1"/>
    <xf numFmtId="0" fontId="28" fillId="0" borderId="0" xfId="14" applyNumberFormat="1" applyFont="1"/>
    <xf numFmtId="4" fontId="1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4" fontId="29" fillId="0" borderId="0" xfId="0" applyNumberFormat="1" applyFont="1"/>
    <xf numFmtId="164" fontId="29" fillId="0" borderId="0" xfId="0" applyNumberFormat="1" applyFont="1"/>
    <xf numFmtId="0" fontId="1" fillId="0" borderId="0" xfId="5" applyFont="1" applyAlignment="1">
      <alignment vertical="center"/>
    </xf>
    <xf numFmtId="0" fontId="0" fillId="0" borderId="8" xfId="0" applyBorder="1"/>
    <xf numFmtId="0" fontId="0" fillId="0" borderId="8" xfId="0" applyBorder="1" applyAlignment="1">
      <alignment vertical="center"/>
    </xf>
    <xf numFmtId="0" fontId="23" fillId="0" borderId="0" xfId="7" applyAlignment="1">
      <alignment vertical="center"/>
    </xf>
    <xf numFmtId="164" fontId="0" fillId="0" borderId="0" xfId="12" applyFont="1" applyBorder="1" applyAlignment="1">
      <alignment horizontal="left" vertical="center"/>
    </xf>
    <xf numFmtId="0" fontId="0" fillId="0" borderId="0" xfId="0" applyAlignment="1">
      <alignment horizontal="center"/>
    </xf>
    <xf numFmtId="164" fontId="0" fillId="9" borderId="0" xfId="1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9" borderId="0" xfId="0" applyNumberFormat="1" applyFill="1" applyAlignment="1">
      <alignment horizontal="center" vertical="center"/>
    </xf>
    <xf numFmtId="171" fontId="0" fillId="9" borderId="0" xfId="0" applyNumberFormat="1" applyFill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8" xfId="12" applyFont="1" applyBorder="1" applyAlignment="1">
      <alignment horizontal="left" vertical="center"/>
    </xf>
    <xf numFmtId="4" fontId="0" fillId="0" borderId="8" xfId="0" applyNumberFormat="1" applyBorder="1" applyAlignment="1">
      <alignment horizontal="center" vertical="center"/>
    </xf>
    <xf numFmtId="17" fontId="0" fillId="2" borderId="8" xfId="0" applyNumberFormat="1" applyFill="1" applyBorder="1" applyAlignment="1">
      <alignment horizontal="center" vertical="center"/>
    </xf>
    <xf numFmtId="17" fontId="0" fillId="2" borderId="8" xfId="0" applyNumberFormat="1" applyFill="1" applyBorder="1" applyAlignment="1">
      <alignment vertical="center"/>
    </xf>
    <xf numFmtId="17" fontId="0" fillId="2" borderId="0" xfId="0" applyNumberFormat="1" applyFill="1" applyAlignment="1">
      <alignment horizontal="center" vertical="center"/>
    </xf>
    <xf numFmtId="17" fontId="0" fillId="2" borderId="0" xfId="0" applyNumberFormat="1" applyFill="1" applyAlignment="1">
      <alignment vertical="center"/>
    </xf>
    <xf numFmtId="164" fontId="0" fillId="0" borderId="0" xfId="9" applyNumberFormat="1" applyFont="1" applyAlignment="1">
      <alignment horizontal="left" vertical="center"/>
    </xf>
    <xf numFmtId="164" fontId="1" fillId="0" borderId="0" xfId="9" applyNumberFormat="1" applyFont="1" applyAlignment="1">
      <alignment horizontal="left" vertical="center"/>
    </xf>
    <xf numFmtId="0" fontId="1" fillId="0" borderId="0" xfId="9" applyFont="1" applyAlignment="1">
      <alignment horizontal="center" vertical="center"/>
    </xf>
    <xf numFmtId="0" fontId="0" fillId="2" borderId="8" xfId="9" applyFont="1" applyFill="1" applyBorder="1" applyAlignment="1">
      <alignment horizontal="center" vertical="center"/>
    </xf>
    <xf numFmtId="0" fontId="1" fillId="2" borderId="1" xfId="9" applyFont="1" applyFill="1" applyBorder="1" applyAlignment="1">
      <alignment horizontal="left" vertical="center"/>
    </xf>
    <xf numFmtId="4" fontId="1" fillId="3" borderId="1" xfId="9" applyNumberFormat="1" applyFont="1" applyFill="1" applyBorder="1" applyAlignment="1">
      <alignment horizontal="center" vertical="center"/>
    </xf>
    <xf numFmtId="4" fontId="0" fillId="0" borderId="1" xfId="9" applyNumberFormat="1" applyFont="1" applyBorder="1" applyAlignment="1">
      <alignment horizontal="center" vertical="center"/>
    </xf>
    <xf numFmtId="0" fontId="0" fillId="0" borderId="1" xfId="9" applyFont="1" applyBorder="1" applyAlignment="1">
      <alignment horizontal="left" vertical="center"/>
    </xf>
    <xf numFmtId="0" fontId="0" fillId="0" borderId="8" xfId="5" applyFont="1" applyBorder="1" applyAlignment="1">
      <alignment vertical="center"/>
    </xf>
    <xf numFmtId="0" fontId="1" fillId="0" borderId="1" xfId="9" applyFont="1" applyBorder="1" applyAlignment="1">
      <alignment horizontal="left" vertical="center"/>
    </xf>
    <xf numFmtId="0" fontId="0" fillId="2" borderId="8" xfId="9" applyFont="1" applyFill="1" applyBorder="1" applyAlignment="1">
      <alignment horizontal="left" vertical="center"/>
    </xf>
    <xf numFmtId="164" fontId="1" fillId="0" borderId="8" xfId="9" applyNumberFormat="1" applyFont="1" applyBorder="1" applyAlignment="1">
      <alignment horizontal="left" vertical="center"/>
    </xf>
    <xf numFmtId="0" fontId="1" fillId="3" borderId="1" xfId="9" applyFont="1" applyFill="1" applyBorder="1" applyAlignment="1">
      <alignment horizontal="left" vertical="center"/>
    </xf>
    <xf numFmtId="164" fontId="0" fillId="0" borderId="8" xfId="9" applyNumberFormat="1" applyFont="1" applyBorder="1" applyAlignment="1">
      <alignment horizontal="left" vertical="center"/>
    </xf>
    <xf numFmtId="0" fontId="0" fillId="0" borderId="0" xfId="5" applyFont="1" applyAlignment="1">
      <alignment vertical="center"/>
    </xf>
    <xf numFmtId="0" fontId="0" fillId="0" borderId="0" xfId="13" applyFont="1"/>
    <xf numFmtId="17" fontId="1" fillId="9" borderId="0" xfId="0" applyNumberFormat="1" applyFont="1" applyFill="1" applyAlignment="1">
      <alignment horizontal="center" vertical="center"/>
    </xf>
    <xf numFmtId="172" fontId="19" fillId="3" borderId="0" xfId="0" applyNumberFormat="1" applyFont="1" applyFill="1" applyAlignment="1" applyProtection="1">
      <alignment horizontal="center" vertical="center" wrapText="1"/>
      <protection locked="0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4" fillId="12" borderId="0" xfId="0" applyFont="1" applyFill="1" applyAlignment="1">
      <alignment vertical="center"/>
    </xf>
    <xf numFmtId="0" fontId="24" fillId="12" borderId="8" xfId="0" applyFont="1" applyFill="1" applyBorder="1" applyAlignment="1">
      <alignment vertical="center"/>
    </xf>
    <xf numFmtId="0" fontId="16" fillId="12" borderId="0" xfId="0" applyFont="1" applyFill="1" applyAlignment="1">
      <alignment vertical="center"/>
    </xf>
    <xf numFmtId="0" fontId="25" fillId="12" borderId="0" xfId="0" applyFont="1" applyFill="1" applyAlignment="1">
      <alignment vertical="center"/>
    </xf>
    <xf numFmtId="0" fontId="25" fillId="12" borderId="8" xfId="0" applyFont="1" applyFill="1" applyBorder="1" applyAlignment="1">
      <alignment vertical="center"/>
    </xf>
    <xf numFmtId="0" fontId="16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26" fillId="12" borderId="0" xfId="0" applyFont="1" applyFill="1" applyAlignment="1">
      <alignment horizontal="center" vertical="center"/>
    </xf>
    <xf numFmtId="14" fontId="24" fillId="12" borderId="0" xfId="0" applyNumberFormat="1" applyFont="1" applyFill="1" applyAlignment="1">
      <alignment vertical="center"/>
    </xf>
    <xf numFmtId="0" fontId="24" fillId="12" borderId="0" xfId="0" applyFont="1" applyFill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31" fillId="2" borderId="8" xfId="9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8" fillId="0" borderId="0" xfId="9" applyFont="1" applyAlignment="1">
      <alignment horizontal="left"/>
    </xf>
    <xf numFmtId="0" fontId="1" fillId="0" borderId="0" xfId="9" applyFont="1" applyAlignment="1">
      <alignment horizontal="left"/>
    </xf>
    <xf numFmtId="43" fontId="33" fillId="9" borderId="0" xfId="14" applyFont="1" applyFill="1" applyAlignment="1">
      <alignment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left" vertical="center"/>
    </xf>
    <xf numFmtId="0" fontId="34" fillId="0" borderId="0" xfId="21" applyFont="1" applyAlignment="1">
      <alignment horizontal="right" vertical="center"/>
    </xf>
    <xf numFmtId="0" fontId="0" fillId="9" borderId="0" xfId="0" applyFill="1" applyAlignment="1">
      <alignment horizontal="center" vertical="center"/>
    </xf>
    <xf numFmtId="10" fontId="1" fillId="3" borderId="0" xfId="4" applyNumberFormat="1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5" fillId="11" borderId="0" xfId="0" applyFont="1" applyFill="1" applyAlignment="1">
      <alignment horizontal="center" vertical="center" wrapText="1"/>
    </xf>
    <xf numFmtId="0" fontId="36" fillId="11" borderId="0" xfId="0" applyFont="1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1" fillId="0" borderId="0" xfId="0" applyFont="1"/>
    <xf numFmtId="0" fontId="19" fillId="10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173" fontId="1" fillId="9" borderId="0" xfId="11" applyNumberFormat="1" applyFont="1" applyFill="1" applyBorder="1" applyAlignment="1">
      <alignment horizontal="center" vertical="center"/>
    </xf>
    <xf numFmtId="0" fontId="10" fillId="0" borderId="0" xfId="5" applyFont="1"/>
    <xf numFmtId="9" fontId="13" fillId="0" borderId="1" xfId="4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166" fontId="1" fillId="9" borderId="0" xfId="4" applyNumberFormat="1" applyFont="1" applyFill="1" applyBorder="1" applyAlignment="1">
      <alignment horizontal="center" vertical="center"/>
    </xf>
    <xf numFmtId="17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9" fontId="13" fillId="0" borderId="1" xfId="4" applyFont="1" applyBorder="1" applyAlignment="1">
      <alignment horizontal="center" vertical="center" wrapText="1"/>
    </xf>
    <xf numFmtId="175" fontId="0" fillId="0" borderId="1" xfId="8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4" fillId="14" borderId="1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/>
    <xf numFmtId="2" fontId="37" fillId="0" borderId="1" xfId="0" applyNumberFormat="1" applyFont="1" applyBorder="1" applyAlignment="1">
      <alignment horizontal="center" vertical="center" wrapText="1" readingOrder="1"/>
    </xf>
    <xf numFmtId="2" fontId="0" fillId="0" borderId="1" xfId="0" applyNumberFormat="1" applyBorder="1" applyAlignment="1">
      <alignment horizontal="center"/>
    </xf>
    <xf numFmtId="171" fontId="24" fillId="14" borderId="1" xfId="0" applyNumberFormat="1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0" fillId="15" borderId="0" xfId="0" applyFill="1"/>
    <xf numFmtId="170" fontId="38" fillId="16" borderId="1" xfId="1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22">
    <cellStyle name="Comma" xfId="8" xr:uid="{1BAA7AF7-7045-4CC9-AB94-77D308CEA477}"/>
    <cellStyle name="Comma 2" xfId="16" xr:uid="{9F630F63-1B0F-4196-B92F-18C313D48223}"/>
    <cellStyle name="Hyperlink" xfId="7" builtinId="8"/>
    <cellStyle name="Millares 2" xfId="2" xr:uid="{00000000-0005-0000-0000-000000000000}"/>
    <cellStyle name="Millares 2 2" xfId="14" xr:uid="{B14DD086-95A4-4012-BD85-C1FE9AB8171B}"/>
    <cellStyle name="Millares 2 2 2" xfId="19" xr:uid="{E5E954C6-A39A-4DBB-A3AB-D1CA5A316D02}"/>
    <cellStyle name="Millares 2 3" xfId="11" xr:uid="{B1CD62AB-7FFE-4980-BC82-AEA9D0E3C11D}"/>
    <cellStyle name="Millares 2 4" xfId="15" xr:uid="{FB673A79-621D-4C6F-B99A-9344FD183ADE}"/>
    <cellStyle name="Millares 3" xfId="10" xr:uid="{57CE9F60-FEC0-42EB-AC72-0AE529F0629C}"/>
    <cellStyle name="Millares 3 4" xfId="12" xr:uid="{C2B605D7-9E56-4E31-887E-A8FDCFBE0DB7}"/>
    <cellStyle name="Millares 3 4 2" xfId="18" xr:uid="{392E65F7-1111-46C5-9183-0F840EFD8AFC}"/>
    <cellStyle name="Millares 4" xfId="17" xr:uid="{E3231069-E7CD-4FC0-B165-6AC2E53907E1}"/>
    <cellStyle name="Normal" xfId="0" builtinId="0"/>
    <cellStyle name="Normal 2" xfId="13" xr:uid="{343D8629-8B3D-40E7-BCBE-DBAF6E0FA7C7}"/>
    <cellStyle name="Normal 2 3 7" xfId="9" xr:uid="{D58C2ABB-85A6-4020-9A67-77CC2BC5AE0A}"/>
    <cellStyle name="Normal 22" xfId="3" xr:uid="{00000000-0005-0000-0000-000002000000}"/>
    <cellStyle name="Normal 3" xfId="5" xr:uid="{5C1DEAE1-19EE-4D64-BFCA-DD5FD7045A0A}"/>
    <cellStyle name="Normal 3 2" xfId="20" xr:uid="{92E0E752-FCAC-4159-BF31-6B0698CB6F40}"/>
    <cellStyle name="Normal 3 3" xfId="6" xr:uid="{AA5AE4B8-8D93-494C-92B5-CAD068E051BD}"/>
    <cellStyle name="Normal 3 4" xfId="21" xr:uid="{3DFC0D0A-A0DA-4A04-A1A8-E96EFB1DD32A}"/>
    <cellStyle name="Normal_Fórmula Polinómica ACTUALIZADO" xfId="1" xr:uid="{00000000-0005-0000-0000-000003000000}"/>
    <cellStyle name="Percent" xfId="4" builtinId="5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ill>
        <patternFill patternType="solid">
          <fgColor rgb="FFFFFF00"/>
          <bgColor rgb="FF000000"/>
        </patternFill>
      </fill>
    </dxf>
  </dxfs>
  <tableStyles count="1" defaultTableStyle="TableStyleMedium2" defaultPivotStyle="PivotStyleLight16">
    <tableStyle name="Invisible" pivot="0" table="0" count="0" xr9:uid="{AC254CA3-901A-4165-A714-2B36673E712F}"/>
  </tableStyles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18143</xdr:colOff>
      <xdr:row>1</xdr:row>
      <xdr:rowOff>54428</xdr:rowOff>
    </xdr:from>
    <xdr:to>
      <xdr:col>2</xdr:col>
      <xdr:colOff>827675</xdr:colOff>
      <xdr:row>3</xdr:row>
      <xdr:rowOff>86796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4C72E1-FB53-49D7-AC88-B29465BC8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3793" y="238578"/>
          <a:ext cx="809532" cy="400668"/>
        </a:xfrm>
        <a:prstGeom prst="rect">
          <a:avLst/>
        </a:prstGeom>
      </xdr:spPr>
    </xdr:pic>
    <xdr:clientData/>
  </xdr:twoCellAnchor>
  <xdr:twoCellAnchor editAs="oneCell">
    <xdr:from>
      <xdr:col>2</xdr:col>
      <xdr:colOff>943429</xdr:colOff>
      <xdr:row>1</xdr:row>
      <xdr:rowOff>90714</xdr:rowOff>
    </xdr:from>
    <xdr:to>
      <xdr:col>4</xdr:col>
      <xdr:colOff>65730</xdr:colOff>
      <xdr:row>3</xdr:row>
      <xdr:rowOff>28609</xdr:rowOff>
    </xdr:to>
    <xdr:pic>
      <xdr:nvPicPr>
        <xdr:cNvPr id="3" name="Imagen 2" descr="Inicio | Backus">
          <a:extLst>
            <a:ext uri="{FF2B5EF4-FFF2-40B4-BE49-F238E27FC236}">
              <a16:creationId xmlns:a16="http://schemas.microsoft.com/office/drawing/2014/main" id="{EDDA6A11-6261-401C-93D5-4D3B5CCF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9079" y="274864"/>
          <a:ext cx="1084451" cy="306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18143</xdr:colOff>
      <xdr:row>1</xdr:row>
      <xdr:rowOff>54428</xdr:rowOff>
    </xdr:from>
    <xdr:to>
      <xdr:col>2</xdr:col>
      <xdr:colOff>827675</xdr:colOff>
      <xdr:row>3</xdr:row>
      <xdr:rowOff>86796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62F99C-D1A9-407D-9694-52D896B1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857" y="417285"/>
          <a:ext cx="806357" cy="398400"/>
        </a:xfrm>
        <a:prstGeom prst="rect">
          <a:avLst/>
        </a:prstGeom>
      </xdr:spPr>
    </xdr:pic>
    <xdr:clientData/>
  </xdr:twoCellAnchor>
  <xdr:twoCellAnchor editAs="oneCell">
    <xdr:from>
      <xdr:col>2</xdr:col>
      <xdr:colOff>943429</xdr:colOff>
      <xdr:row>1</xdr:row>
      <xdr:rowOff>90714</xdr:rowOff>
    </xdr:from>
    <xdr:to>
      <xdr:col>4</xdr:col>
      <xdr:colOff>65730</xdr:colOff>
      <xdr:row>3</xdr:row>
      <xdr:rowOff>28609</xdr:rowOff>
    </xdr:to>
    <xdr:pic>
      <xdr:nvPicPr>
        <xdr:cNvPr id="3" name="Imagen 2" descr="Inicio | Backus">
          <a:extLst>
            <a:ext uri="{FF2B5EF4-FFF2-40B4-BE49-F238E27FC236}">
              <a16:creationId xmlns:a16="http://schemas.microsoft.com/office/drawing/2014/main" id="{AB5B5760-2433-4A5E-A0C6-0796584A7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3143" y="453571"/>
          <a:ext cx="1125726" cy="297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3806</xdr:colOff>
      <xdr:row>1</xdr:row>
      <xdr:rowOff>94157</xdr:rowOff>
    </xdr:from>
    <xdr:to>
      <xdr:col>2</xdr:col>
      <xdr:colOff>809085</xdr:colOff>
      <xdr:row>3</xdr:row>
      <xdr:rowOff>124257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34B8E0-8B96-40AE-85A6-C0E43063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14" y="94157"/>
          <a:ext cx="808454" cy="392709"/>
        </a:xfrm>
        <a:prstGeom prst="rect">
          <a:avLst/>
        </a:prstGeom>
      </xdr:spPr>
    </xdr:pic>
    <xdr:clientData/>
  </xdr:twoCellAnchor>
  <xdr:twoCellAnchor editAs="oneCell">
    <xdr:from>
      <xdr:col>4</xdr:col>
      <xdr:colOff>105997</xdr:colOff>
      <xdr:row>1</xdr:row>
      <xdr:rowOff>97117</xdr:rowOff>
    </xdr:from>
    <xdr:to>
      <xdr:col>5</xdr:col>
      <xdr:colOff>293869</xdr:colOff>
      <xdr:row>3</xdr:row>
      <xdr:rowOff>26394</xdr:rowOff>
    </xdr:to>
    <xdr:pic>
      <xdr:nvPicPr>
        <xdr:cNvPr id="3" name="Imagen 2" descr="Inicio | Backus">
          <a:extLst>
            <a:ext uri="{FF2B5EF4-FFF2-40B4-BE49-F238E27FC236}">
              <a16:creationId xmlns:a16="http://schemas.microsoft.com/office/drawing/2014/main" id="{139AB3F9-EA11-4196-879A-DFC95236E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035" y="97117"/>
          <a:ext cx="1125575" cy="291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109613</xdr:colOff>
      <xdr:row>1</xdr:row>
      <xdr:rowOff>18143</xdr:rowOff>
    </xdr:from>
    <xdr:to>
      <xdr:col>2</xdr:col>
      <xdr:colOff>911434</xdr:colOff>
      <xdr:row>3</xdr:row>
      <xdr:rowOff>50511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31A0A3-C1A9-4E6F-B3BD-068FD99F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551" y="203351"/>
          <a:ext cx="801821" cy="405960"/>
        </a:xfrm>
        <a:prstGeom prst="rect">
          <a:avLst/>
        </a:prstGeom>
      </xdr:spPr>
    </xdr:pic>
    <xdr:clientData/>
  </xdr:twoCellAnchor>
  <xdr:twoCellAnchor editAs="oneCell">
    <xdr:from>
      <xdr:col>2</xdr:col>
      <xdr:colOff>1387929</xdr:colOff>
      <xdr:row>1</xdr:row>
      <xdr:rowOff>54428</xdr:rowOff>
    </xdr:from>
    <xdr:to>
      <xdr:col>4</xdr:col>
      <xdr:colOff>67997</xdr:colOff>
      <xdr:row>2</xdr:row>
      <xdr:rowOff>170578</xdr:rowOff>
    </xdr:to>
    <xdr:pic>
      <xdr:nvPicPr>
        <xdr:cNvPr id="3" name="Imagen 2" descr="Inicio | Backus">
          <a:extLst>
            <a:ext uri="{FF2B5EF4-FFF2-40B4-BE49-F238E27FC236}">
              <a16:creationId xmlns:a16="http://schemas.microsoft.com/office/drawing/2014/main" id="{50D8CD9E-5BFA-4F17-A2CD-4913DA8F4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215" y="235857"/>
          <a:ext cx="1125726" cy="297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14</xdr:row>
      <xdr:rowOff>9525</xdr:rowOff>
    </xdr:from>
    <xdr:to>
      <xdr:col>16</xdr:col>
      <xdr:colOff>190500</xdr:colOff>
      <xdr:row>20</xdr:row>
      <xdr:rowOff>6382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EC1FE-46FA-5BBF-E083-69DE9C5A6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3009900"/>
          <a:ext cx="1924050" cy="1444657"/>
        </a:xfrm>
        <a:prstGeom prst="rect">
          <a:avLst/>
        </a:prstGeom>
      </xdr:spPr>
    </xdr:pic>
    <xdr:clientData/>
  </xdr:twoCellAnchor>
  <xdr:twoCellAnchor editAs="oneCell">
    <xdr:from>
      <xdr:col>31</xdr:col>
      <xdr:colOff>28575</xdr:colOff>
      <xdr:row>9</xdr:row>
      <xdr:rowOff>38100</xdr:rowOff>
    </xdr:from>
    <xdr:to>
      <xdr:col>35</xdr:col>
      <xdr:colOff>1819936</xdr:colOff>
      <xdr:row>15</xdr:row>
      <xdr:rowOff>285961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7570E48-7D6B-2735-6E93-C298E263A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65075" y="1952625"/>
          <a:ext cx="4734586" cy="1514686"/>
        </a:xfrm>
        <a:prstGeom prst="rect">
          <a:avLst/>
        </a:prstGeom>
      </xdr:spPr>
    </xdr:pic>
    <xdr:clientData/>
  </xdr:twoCellAnchor>
  <xdr:twoCellAnchor editAs="oneCell">
    <xdr:from>
      <xdr:col>31</xdr:col>
      <xdr:colOff>85724</xdr:colOff>
      <xdr:row>15</xdr:row>
      <xdr:rowOff>180976</xdr:rowOff>
    </xdr:from>
    <xdr:to>
      <xdr:col>35</xdr:col>
      <xdr:colOff>1857936</xdr:colOff>
      <xdr:row>21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B9D8ECF-8FB4-B2A2-0F0E-72B8A45F0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22224" y="3362326"/>
          <a:ext cx="4715437" cy="1323974"/>
        </a:xfrm>
        <a:prstGeom prst="rect">
          <a:avLst/>
        </a:prstGeom>
      </xdr:spPr>
    </xdr:pic>
    <xdr:clientData/>
  </xdr:twoCellAnchor>
  <xdr:twoCellAnchor editAs="oneCell">
    <xdr:from>
      <xdr:col>35</xdr:col>
      <xdr:colOff>2338387</xdr:colOff>
      <xdr:row>24</xdr:row>
      <xdr:rowOff>0</xdr:rowOff>
    </xdr:from>
    <xdr:to>
      <xdr:col>43</xdr:col>
      <xdr:colOff>610522</xdr:colOff>
      <xdr:row>26</xdr:row>
      <xdr:rowOff>163586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7E001C8-7580-7DF3-F5C9-279ED7206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43575" y="5032375"/>
          <a:ext cx="6725572" cy="5287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966304</xdr:colOff>
      <xdr:row>0</xdr:row>
      <xdr:rowOff>0</xdr:rowOff>
    </xdr:from>
    <xdr:to>
      <xdr:col>8</xdr:col>
      <xdr:colOff>755927</xdr:colOff>
      <xdr:row>2</xdr:row>
      <xdr:rowOff>42455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08624-8694-4F95-BCAA-66CBF93D2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3261" y="0"/>
          <a:ext cx="2572579" cy="4068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FECBCA-5127-4CFD-BDEF-D4DB072751CB}" name="Resumen_Inputs10" displayName="Resumen_Inputs10" ref="B4:Z11" totalsRowShown="0" dataDxfId="106" dataCellStyle="Millares 2 2">
  <autoFilter ref="B4:Z11" xr:uid="{7384A3D7-CE9A-4106-807B-5B7A1C7607CE}"/>
  <tableColumns count="25">
    <tableColumn id="1" xr3:uid="{C7DCCA47-1512-4816-BD1E-C76507A7F4E3}" name="Pais" dataDxfId="105">
      <calculatedColumnFormula>"Perú"</calculatedColumnFormula>
    </tableColumn>
    <tableColumn id="35" xr3:uid="{FAAFD53F-ADF9-49C1-89C8-8772A8BED676}" name="Linea" dataDxfId="104">
      <calculatedColumnFormula>"SMI"</calculatedColumnFormula>
    </tableColumn>
    <tableColumn id="2" xr3:uid="{2A744700-A784-47A1-9F79-D904578ECE11}" name="Cliente" dataDxfId="103">
      <calculatedColumnFormula>"ABINVEV"</calculatedColumnFormula>
    </tableColumn>
    <tableColumn id="3" xr3:uid="{6C8EBD34-46E6-499E-A75E-DD69609367A1}" name="Periodo" dataDxfId="102">
      <calculatedColumnFormula>Inputs!$D$6</calculatedColumnFormula>
    </tableColumn>
    <tableColumn id="28" xr3:uid="{DFB6A3FC-6784-4517-A86A-C149D5F519DF}" name="Año" dataDxfId="101">
      <calculatedColumnFormula>Inputs!$C$6</calculatedColumnFormula>
    </tableColumn>
    <tableColumn id="4" xr3:uid="{4662C9D9-6A09-4B1D-BC6F-3DC6AE0F13DB}" name="Mes" dataDxfId="100">
      <calculatedColumnFormula>Inputs!$D$9</calculatedColumnFormula>
    </tableColumn>
    <tableColumn id="5" xr3:uid="{9C0DBBA1-7D8C-40A2-A625-32F1BDC77101}" name="Tipo Producto" dataDxfId="99"/>
    <tableColumn id="7" xr3:uid="{66102757-8E1E-424A-924D-9457CF761560}" name="Input" dataDxfId="98"/>
    <tableColumn id="8" xr3:uid="{FF165603-CB81-4C74-A0AA-0EFA11B669B2}" name="Tipo Resina" dataDxfId="97"/>
    <tableColumn id="18" xr3:uid="{D0A5B44F-B2C5-4C15-B9F7-4325C41C3F14}" name="BD" dataDxfId="96"/>
    <tableColumn id="10" xr3:uid="{E6C1788C-A7CD-4886-B5E1-E19E7ACBCCF6}" name="Fuente" dataDxfId="95">
      <calculatedColumnFormula>Inputs!$G$5</calculatedColumnFormula>
    </tableColumn>
    <tableColumn id="12" xr3:uid="{29D3F223-822F-4241-88CB-987BF21BFAAC}" name="Esquema" dataDxfId="94"/>
    <tableColumn id="14" xr3:uid="{488D90D6-06B8-4992-80FF-498E78452462}" name="Precio FOB" dataDxfId="93">
      <calculatedColumnFormula>Inputs!H9</calculatedColumnFormula>
    </tableColumn>
    <tableColumn id="15" xr3:uid="{1E2FC249-D680-46AC-88DC-ECA763516D8E}" name="Precio CIF" dataDxfId="92">
      <calculatedColumnFormula>Inputs!H11</calculatedColumnFormula>
    </tableColumn>
    <tableColumn id="16" xr3:uid="{46E7CFC3-AF0A-4EB4-87AB-2A1CD20F578A}" name="Precio DDP" dataDxfId="91">
      <calculatedColumnFormula>Inputs!H13</calculatedColumnFormula>
    </tableColumn>
    <tableColumn id="23" xr3:uid="{8DD0B41B-B69E-46DA-9387-4868B073765B}" name="Precio Paca" dataDxfId="90">
      <calculatedColumnFormula>Inputs!$P$6</calculatedColumnFormula>
    </tableColumn>
    <tableColumn id="24" xr3:uid="{AAEA859A-78AF-48FC-B92F-947EA7DC43E2}" name="Precio Conversion" dataDxfId="89">
      <calculatedColumnFormula>Inputs!$P$9</calculatedColumnFormula>
    </tableColumn>
    <tableColumn id="25" xr3:uid="{B32F4BC0-F01D-4F25-B233-B79D8EC1B966}" name="Precio RPET" dataDxfId="88">
      <calculatedColumnFormula>Inputs!$P$10</calculatedColumnFormula>
    </tableColumn>
    <tableColumn id="26" xr3:uid="{554AA075-2460-4515-AE6C-E6B5086B12E6}" name="Precio" dataDxfId="87">
      <calculatedColumnFormula>Inputs!$L$10</calculatedColumnFormula>
    </tableColumn>
    <tableColumn id="20" xr3:uid="{FB84FB8B-8240-400C-A45C-BF5935E1E7B6}" name="Moneda"/>
    <tableColumn id="21" xr3:uid="{491157FC-F446-441F-B757-8FFE5A1F184F}" name="Origen"/>
    <tableColumn id="22" xr3:uid="{48ABF458-EC33-405D-AA0F-23DC7853AB3A}" name="Destino" dataDxfId="86">
      <calculatedColumnFormula>Inputs!$L$5</calculatedColumnFormula>
    </tableColumn>
    <tableColumn id="31" xr3:uid="{0B153D5E-085C-4D8A-B406-95640AA6207E}" name="UM" dataDxfId="85" dataCellStyle="Millares 2 2">
      <calculatedColumnFormula>"US$ / TM"</calculatedColumnFormula>
    </tableColumn>
    <tableColumn id="32" xr3:uid="{3A53B8AD-C4E0-451F-853D-98031BE16F6B}" name="TC" dataDxfId="84">
      <calculatedColumnFormula>1</calculatedColumnFormula>
    </tableColumn>
    <tableColumn id="34" xr3:uid="{A1AA8CEF-6201-4D5D-9D5E-D7D0725E3EF1}" name="OBS" dataDxfId="8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81AC94-6D9E-43E8-8C4A-97107EAD03B1}" name="Input_Resina11" displayName="Input_Resina11" ref="B14:R15" totalsRowShown="0" dataDxfId="82" dataCellStyle="Millares 2 2">
  <autoFilter ref="B14:R15" xr:uid="{76B75A99-EB3D-49DC-95AF-A6A3A47884C1}"/>
  <tableColumns count="17">
    <tableColumn id="1" xr3:uid="{7313590B-CE01-4321-AD01-C80F08AE3D77}" name="Pais" dataDxfId="81">
      <calculatedColumnFormula>"Perú"</calculatedColumnFormula>
    </tableColumn>
    <tableColumn id="35" xr3:uid="{08AA3729-5F25-4E29-80A2-FD5365307EB9}" name="Linea" dataDxfId="80">
      <calculatedColumnFormula>"SMI"</calculatedColumnFormula>
    </tableColumn>
    <tableColumn id="2" xr3:uid="{DEAA6028-6104-4AEB-83CB-85E4E5CDF264}" name="Cliente" dataDxfId="79">
      <calculatedColumnFormula>"ABINVEV"</calculatedColumnFormula>
    </tableColumn>
    <tableColumn id="3" xr3:uid="{CD380F9C-AEB9-41DC-BCBA-25E060C79261}" name="Periodo" dataDxfId="78">
      <calculatedColumnFormula>Inputs!$D$6</calculatedColumnFormula>
    </tableColumn>
    <tableColumn id="28" xr3:uid="{E07B4485-2D83-4C52-9DB4-E402B5D8BDA5}" name="Año" dataDxfId="77">
      <calculatedColumnFormula>Inputs!$C$6</calculatedColumnFormula>
    </tableColumn>
    <tableColumn id="4" xr3:uid="{1A5E9546-BB5F-4C69-BA65-03594B62217F}" name="Mes" dataDxfId="76">
      <calculatedColumnFormula>Inputs!$D$9</calculatedColumnFormula>
    </tableColumn>
    <tableColumn id="5" xr3:uid="{48CDD1C6-D7B7-49DD-9F05-B921F6AF6446}" name="Tipo Producto" dataDxfId="75">
      <calculatedColumnFormula>"Containers"</calculatedColumnFormula>
    </tableColumn>
    <tableColumn id="7" xr3:uid="{75D590AC-8604-4975-9E69-8EEC176B1DDA}" name="Input" dataDxfId="74">
      <calculatedColumnFormula>"RESINA"</calculatedColumnFormula>
    </tableColumn>
    <tableColumn id="8" xr3:uid="{9B0387D7-5F27-4261-B71F-DAE987EF4B26}" name="Tipo Resina" dataDxfId="73"/>
    <tableColumn id="18" xr3:uid="{5756674A-55DD-4625-8A40-F175F9AFD825}" name="BD" dataDxfId="72"/>
    <tableColumn id="10" xr3:uid="{64E60EAF-2AF9-4D97-A7A7-B95F89DC5C86}" name="Fuente" dataDxfId="71">
      <calculatedColumnFormula>Inputs!$G$5</calculatedColumnFormula>
    </tableColumn>
    <tableColumn id="12" xr3:uid="{FA3D3B39-78B8-47DD-82B2-5E3C28DEF3CE}" name="Esquema" dataDxfId="70"/>
    <tableColumn id="14" xr3:uid="{5A00F07A-4D85-466B-AAF1-FA766D94F28C}" name="Precio FOB" dataDxfId="69">
      <calculatedColumnFormula>Inputs!$H$9</calculatedColumnFormula>
    </tableColumn>
    <tableColumn id="15" xr3:uid="{2DE2B9A8-A48B-46C8-B527-801D41884AD6}" name="Precio CIF" dataDxfId="68">
      <calculatedColumnFormula>Inputs!$H$11</calculatedColumnFormula>
    </tableColumn>
    <tableColumn id="16" xr3:uid="{A900E832-E002-4882-9DEE-B80BB3DAD79D}" name="Precio DDP" dataDxfId="67">
      <calculatedColumnFormula>Inputs!$H$13</calculatedColumnFormula>
    </tableColumn>
    <tableColumn id="31" xr3:uid="{8BD77E17-C67B-4AE5-AE3D-DB8AFD69C87F}" name="UM" dataDxfId="66" dataCellStyle="Millares 2 2">
      <calculatedColumnFormula>"USD / TM"</calculatedColumnFormula>
    </tableColumn>
    <tableColumn id="20" xr3:uid="{E328A061-508C-455F-966F-AC2973DD0A1B}" name="OBS" dataDxfId="65" dataCellStyle="Millares 2 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53A8D8-A103-446C-B08F-C7E38CB2B8FC}" name="Input_RPET12" displayName="Input_RPET12" ref="B18:R19" totalsRowShown="0" dataDxfId="64" dataCellStyle="Millares 2 2">
  <autoFilter ref="B18:R19" xr:uid="{5F6D124C-FE9E-4D3E-9E04-7BADA162505E}"/>
  <tableColumns count="17">
    <tableColumn id="1" xr3:uid="{9472CEEE-94CD-417E-99D5-CE6824968B2C}" name="Pais" dataDxfId="63">
      <calculatedColumnFormula>"Perú"</calculatedColumnFormula>
    </tableColumn>
    <tableColumn id="35" xr3:uid="{1C094B85-9F74-43D3-8E82-4E869E82D3BE}" name="Linea" dataDxfId="62">
      <calculatedColumnFormula>"SMI"</calculatedColumnFormula>
    </tableColumn>
    <tableColumn id="2" xr3:uid="{2AD7805D-7C17-4318-BFB9-C6CE907B5E6F}" name="Cliente" dataDxfId="61">
      <calculatedColumnFormula>"ABINVEV"</calculatedColumnFormula>
    </tableColumn>
    <tableColumn id="3" xr3:uid="{06228EF5-45B9-4ED8-B96B-0D60CC075E24}" name="Periodo" dataDxfId="60">
      <calculatedColumnFormula>Inputs!$D$6</calculatedColumnFormula>
    </tableColumn>
    <tableColumn id="28" xr3:uid="{9B9ABB7C-C40A-4478-9D6B-BCF7991D2FE7}" name="Año" dataDxfId="59">
      <calculatedColumnFormula>Inputs!$C$6</calculatedColumnFormula>
    </tableColumn>
    <tableColumn id="4" xr3:uid="{74BA4059-6B02-4327-AB1D-72A8832E9013}" name="Mes" dataDxfId="58">
      <calculatedColumnFormula>Inputs!$D$9</calculatedColumnFormula>
    </tableColumn>
    <tableColumn id="5" xr3:uid="{EF993201-A05A-4EBC-ABE3-C3391D2C12D1}" name="Tipo Producto" dataDxfId="57">
      <calculatedColumnFormula>"Containers"</calculatedColumnFormula>
    </tableColumn>
    <tableColumn id="7" xr3:uid="{05417CD6-5F8B-4161-B9CD-5C6B4B10D322}" name="Input" dataDxfId="56">
      <calculatedColumnFormula>"RESINA"</calculatedColumnFormula>
    </tableColumn>
    <tableColumn id="8" xr3:uid="{F44D9058-5A86-4E29-A89F-ED21E3988D03}" name="Tipo Resina" dataDxfId="55"/>
    <tableColumn id="18" xr3:uid="{F1574E27-953B-4799-8520-4F59CD3D3BD0}" name="BD" dataDxfId="54"/>
    <tableColumn id="10" xr3:uid="{3F710730-EE0D-42B7-A607-2E91FB4AACE6}" name="Fuente" dataDxfId="53"/>
    <tableColumn id="12" xr3:uid="{86B0ED19-92F0-43D6-A185-67B2925F76A0}" name="Esquema" dataDxfId="52"/>
    <tableColumn id="14" xr3:uid="{8F24A3D5-25FA-40B1-B9DB-A960C7B8EE25}" name="Precio Paca" dataDxfId="51">
      <calculatedColumnFormula>Inputs!$P$6</calculatedColumnFormula>
    </tableColumn>
    <tableColumn id="15" xr3:uid="{12C5D637-E47E-4C79-A7C1-6F4DBF0DE3CF}" name="Precio Conversion" dataDxfId="50">
      <calculatedColumnFormula>Inputs!$P$9</calculatedColumnFormula>
    </tableColumn>
    <tableColumn id="16" xr3:uid="{D518C4B3-3FFF-42A4-B830-6B0BE731B84C}" name="Precio RPET" dataDxfId="49">
      <calculatedColumnFormula>Inputs!$P$10</calculatedColumnFormula>
    </tableColumn>
    <tableColumn id="31" xr3:uid="{3C391575-9DF7-4805-B55C-4744A774D505}" name="UM" dataDxfId="48" dataCellStyle="Millares 2 2">
      <calculatedColumnFormula>"USD / TM"</calculatedColumnFormula>
    </tableColumn>
    <tableColumn id="20" xr3:uid="{127EC624-E15C-452E-8D8F-03CB80582548}" name="OBS" dataDxfId="47" dataCellStyle="Millares 2 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4950E0-2213-4D8B-B236-90C43324CF27}" name="Input_TipoCambio13" displayName="Input_TipoCambio13" ref="B22:O23" totalsRowShown="0" dataDxfId="46" dataCellStyle="Millares 2 2">
  <autoFilter ref="B22:O23" xr:uid="{A6A1099E-7B67-4E16-ABE4-39C4378CFBE9}"/>
  <tableColumns count="14">
    <tableColumn id="1" xr3:uid="{37B96FED-2F47-4040-8300-81CC6513DE3F}" name="Pais" dataDxfId="45">
      <calculatedColumnFormula>"Perú"</calculatedColumnFormula>
    </tableColumn>
    <tableColumn id="35" xr3:uid="{8D983954-6D23-4A35-BAD9-940C9C6F5CDF}" name="Linea" dataDxfId="44">
      <calculatedColumnFormula>"SMI"</calculatedColumnFormula>
    </tableColumn>
    <tableColumn id="2" xr3:uid="{8314221D-E800-4B33-AA46-B5245870859D}" name="Cliente" dataDxfId="43">
      <calculatedColumnFormula>"ABINVEV"</calculatedColumnFormula>
    </tableColumn>
    <tableColumn id="3" xr3:uid="{E132A27A-8952-4BB1-A505-9BDC5827385D}" name="Periodo" dataDxfId="42">
      <calculatedColumnFormula>Inputs!$D$6</calculatedColumnFormula>
    </tableColumn>
    <tableColumn id="28" xr3:uid="{5D675EA3-2CD6-408E-B160-240C1ABC61FB}" name="Año" dataDxfId="41">
      <calculatedColumnFormula>Inputs!$C$6</calculatedColumnFormula>
    </tableColumn>
    <tableColumn id="4" xr3:uid="{D96514BD-A047-4B8E-AE1A-24B91CAE413D}" name="Mes" dataDxfId="40">
      <calculatedColumnFormula>Inputs!$D$9</calculatedColumnFormula>
    </tableColumn>
    <tableColumn id="5" xr3:uid="{7B26ED22-6C74-47F9-B5D5-F20A02423F34}" name="Tipo Producto" dataDxfId="39">
      <calculatedColumnFormula>"Containers"</calculatedColumnFormula>
    </tableColumn>
    <tableColumn id="7" xr3:uid="{ADD198C4-1827-40B9-8295-DED9F6E6521A}" name="Input" dataDxfId="38">
      <calculatedColumnFormula>"TIPO CAMBIO"</calculatedColumnFormula>
    </tableColumn>
    <tableColumn id="8" xr3:uid="{2509BDC8-DC0B-439D-AAEF-4E5FDA1BB00B}" name="Moneda" dataDxfId="37"/>
    <tableColumn id="18" xr3:uid="{8772BDA9-175D-477A-9703-A322FE0FE1E0}" name="BD" dataDxfId="36"/>
    <tableColumn id="10" xr3:uid="{22DB1A01-EA5B-4ED6-BDD5-96BD6E6B5514}" name="Fuente" dataDxfId="35"/>
    <tableColumn id="12" xr3:uid="{5574CC07-EE67-4B5A-B3E9-41FD0C9A7D0C}" name="Esquema" dataDxfId="34"/>
    <tableColumn id="14" xr3:uid="{0F563D8E-BD94-4AB0-B4A0-BD784CCAC26A}" name="Precio" dataDxfId="33">
      <calculatedColumnFormula>Inputs!$AC$6</calculatedColumnFormula>
    </tableColumn>
    <tableColumn id="20" xr3:uid="{A096DC5E-022F-41CB-9322-16D916FD33F2}" name="OBS" dataDxfId="32" dataCellStyle="Millares 2 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5BA5338-DD8D-418B-8F5B-C07B3F486929}" name="Input_FleteInterno14" displayName="Input_FleteInterno14" ref="B26:P29" totalsRowShown="0" dataDxfId="31" dataCellStyle="Millares 2 2">
  <autoFilter ref="B26:P29" xr:uid="{0B5FABE3-CD1A-4B37-8766-599A4B6B5517}"/>
  <tableColumns count="15">
    <tableColumn id="1" xr3:uid="{A308BC37-3ACE-4684-931D-0F7EC70A036A}" name="Pais" dataDxfId="30">
      <calculatedColumnFormula>"Perú"</calculatedColumnFormula>
    </tableColumn>
    <tableColumn id="35" xr3:uid="{9D17AC3F-C639-48E3-B813-A49EFCED564B}" name="Linea" dataDxfId="29">
      <calculatedColumnFormula>"SMI"</calculatedColumnFormula>
    </tableColumn>
    <tableColumn id="2" xr3:uid="{009703D0-C40C-491C-AC92-2C4BDC3DC6DB}" name="Cliente" dataDxfId="28">
      <calculatedColumnFormula>"ABINVEV"</calculatedColumnFormula>
    </tableColumn>
    <tableColumn id="3" xr3:uid="{820AA39B-473D-4F81-BF1E-8ADCA9C09484}" name="Periodo" dataDxfId="27">
      <calculatedColumnFormula>Inputs!$D$6</calculatedColumnFormula>
    </tableColumn>
    <tableColumn id="28" xr3:uid="{8A0821C4-62E7-4983-BD32-9FE383A6C562}" name="Año" dataDxfId="26">
      <calculatedColumnFormula>Inputs!$C$6</calculatedColumnFormula>
    </tableColumn>
    <tableColumn id="4" xr3:uid="{73F8544C-45AE-4350-800C-997078100701}" name="Mes" dataDxfId="25">
      <calculatedColumnFormula>Inputs!$D$9</calculatedColumnFormula>
    </tableColumn>
    <tableColumn id="5" xr3:uid="{04D94786-50D7-4052-8BFC-280A2259E95C}" name="Tipo Producto" dataDxfId="24">
      <calculatedColumnFormula>"Containers"</calculatedColumnFormula>
    </tableColumn>
    <tableColumn id="7" xr3:uid="{C13490E2-16D9-44FC-835E-B16B5B624122}" name="Input" dataDxfId="23">
      <calculatedColumnFormula>"FLETE INTERNO"</calculatedColumnFormula>
    </tableColumn>
    <tableColumn id="21" xr3:uid="{ED65CCDD-AE74-4E34-99DA-ECC38173C698}" name="Origen" dataDxfId="22"/>
    <tableColumn id="8" xr3:uid="{7F79E91C-BCA4-41D0-8DCE-C60359FA5444}" name="Destino" dataDxfId="21"/>
    <tableColumn id="18" xr3:uid="{B9801BE0-E589-4B4B-8827-4BE76F9FE156}" name="BD" dataDxfId="20"/>
    <tableColumn id="10" xr3:uid="{ED373CD2-2CBB-4E2E-9A2A-AF8703B0ADB3}" name="Fuente" dataDxfId="19"/>
    <tableColumn id="12" xr3:uid="{86AC93F4-044C-4B8B-88F7-C643C16041EE}" name="Esquema" dataDxfId="18"/>
    <tableColumn id="14" xr3:uid="{2B7C849D-1B3A-4534-9B4E-6F2D988AC4DA}" name="Precio" dataDxfId="17"/>
    <tableColumn id="20" xr3:uid="{3394A3C5-5BAD-4B24-98A7-5716FD056BBB}" name="OBS" dataDxfId="16" dataCellStyle="Millares 2 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CE8130E-071E-4578-937B-FBBC111B808C}" name="Input_FleteExterno15" displayName="Input_FleteExterno15" ref="B32:P33" totalsRowShown="0" dataDxfId="15" dataCellStyle="Millares 2 2">
  <autoFilter ref="B32:P33" xr:uid="{0C912546-5443-4D70-A129-23A16DFFB25F}"/>
  <tableColumns count="15">
    <tableColumn id="1" xr3:uid="{6890DFF2-A78B-4909-961C-5366F120EE54}" name="Pais" dataDxfId="14">
      <calculatedColumnFormula>"Perú"</calculatedColumnFormula>
    </tableColumn>
    <tableColumn id="35" xr3:uid="{86DA2B45-7BB7-4B5A-A4A1-0EAB6001D6BD}" name="Linea" dataDxfId="13">
      <calculatedColumnFormula>"SMI"</calculatedColumnFormula>
    </tableColumn>
    <tableColumn id="2" xr3:uid="{6E81A00B-53C3-40D9-A681-FE71CB3CA3B2}" name="Cliente" dataDxfId="12">
      <calculatedColumnFormula>"ABINVEV"</calculatedColumnFormula>
    </tableColumn>
    <tableColumn id="3" xr3:uid="{5D1C84B3-9233-4456-AE37-9D5E4278C72C}" name="Periodo" dataDxfId="11">
      <calculatedColumnFormula>Inputs!$D$6</calculatedColumnFormula>
    </tableColumn>
    <tableColumn id="28" xr3:uid="{EAF6B8D1-77EC-436F-BEF5-F1EDCC2B1C17}" name="Año" dataDxfId="10">
      <calculatedColumnFormula>Inputs!$C$6</calculatedColumnFormula>
    </tableColumn>
    <tableColumn id="4" xr3:uid="{E7881701-F0D0-4224-AC8E-253D38A17CDB}" name="Mes" dataDxfId="9">
      <calculatedColumnFormula>Inputs!$D$9</calculatedColumnFormula>
    </tableColumn>
    <tableColumn id="5" xr3:uid="{043462EB-D3C1-4D0A-81FC-4048F1BA91FF}" name="Tipo Producto" dataDxfId="8">
      <calculatedColumnFormula>"Containers"</calculatedColumnFormula>
    </tableColumn>
    <tableColumn id="7" xr3:uid="{99ECB17C-7BAA-42B5-B7BB-CEA41E66B752}" name="Input" dataDxfId="7">
      <calculatedColumnFormula>"FLETE EXTERNO"</calculatedColumnFormula>
    </tableColumn>
    <tableColumn id="21" xr3:uid="{7AB4D5DF-C41E-44C8-8961-1498392B44BA}" name="Origen" dataDxfId="6"/>
    <tableColumn id="8" xr3:uid="{D786ED7C-3CB2-4412-B612-95D5333D0C47}" name="Destino" dataDxfId="5"/>
    <tableColumn id="18" xr3:uid="{ABFC56C9-FCA7-4AB1-9B0E-5ED5B8E6B586}" name="BD" dataDxfId="4"/>
    <tableColumn id="10" xr3:uid="{FDADBDD6-AEAA-41AA-BFD6-DE04C763C4EE}" name="Fuente" dataDxfId="3"/>
    <tableColumn id="12" xr3:uid="{06D07AC1-AA9F-4BCF-B819-AAF5DB16E7C5}" name="Esquema" dataDxfId="2"/>
    <tableColumn id="14" xr3:uid="{EE910EF0-98F3-463E-8991-C113129798BF}" name="Precio" dataDxfId="1">
      <calculatedColumnFormula>Inputs!$L$10</calculatedColumnFormula>
    </tableColumn>
    <tableColumn id="20" xr3:uid="{4252D91E-669A-4D8A-AF64-406AACAA2940}" name="OBS" dataDxfId="0" dataCellStyle="Millares 2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bls.gov/cpi/tables/supplemental-files/" TargetMode="External"/><Relationship Id="rId1" Type="http://schemas.openxmlformats.org/officeDocument/2006/relationships/hyperlink" Target="https://www.sbs.gob.pe/app/pp/seriesHistoricas2/paso3_TipodeCambio_Descarga.aspx?secu=03&amp;paso=3&amp;opc=1" TargetMode="External"/><Relationship Id="rId5" Type="http://schemas.openxmlformats.org/officeDocument/2006/relationships/drawing" Target="../drawings/drawing5.xml"/><Relationship Id="rId4" Type="http://schemas.openxmlformats.org/officeDocument/2006/relationships/customProperty" Target="../customProperty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893D-B551-4F5F-9B33-CB91767CFA3E}">
  <sheetPr>
    <pageSetUpPr fitToPage="1"/>
  </sheetPr>
  <dimension ref="A1:S36"/>
  <sheetViews>
    <sheetView showGridLines="0" topLeftCell="A13" zoomScale="80" zoomScaleNormal="80" zoomScaleSheetLayoutView="100" workbookViewId="0">
      <selection activeCell="D7" sqref="D7"/>
    </sheetView>
  </sheetViews>
  <sheetFormatPr defaultColWidth="11.453125" defaultRowHeight="14.5" x14ac:dyDescent="0.35"/>
  <cols>
    <col min="1" max="1" width="11.453125" style="2"/>
    <col min="2" max="2" width="17.54296875" style="2" customWidth="1"/>
    <col min="3" max="3" width="13.54296875" style="2" customWidth="1"/>
    <col min="4" max="4" width="14.54296875" style="2" customWidth="1"/>
    <col min="5" max="7" width="13.453125" style="2" customWidth="1"/>
    <col min="8" max="8" width="16" style="2" customWidth="1"/>
    <col min="9" max="9" width="13.453125" style="2" customWidth="1"/>
    <col min="10" max="10" width="13.54296875" style="2" customWidth="1"/>
    <col min="11" max="11" width="15" style="2" customWidth="1"/>
    <col min="12" max="12" width="8.453125" style="2" customWidth="1"/>
    <col min="13" max="13" width="11.453125" style="2" customWidth="1"/>
    <col min="14" max="14" width="11.453125" style="2"/>
    <col min="15" max="15" width="19.453125" style="2" bestFit="1" customWidth="1"/>
    <col min="16" max="16384" width="11.453125" style="2"/>
  </cols>
  <sheetData>
    <row r="1" spans="3:11" x14ac:dyDescent="0.35">
      <c r="G1" s="2" t="s">
        <v>0</v>
      </c>
      <c r="H1" s="2" t="s">
        <v>1</v>
      </c>
      <c r="J1" s="2" t="s">
        <v>2</v>
      </c>
    </row>
    <row r="5" spans="3:11" x14ac:dyDescent="0.35">
      <c r="C5" s="27" t="s">
        <v>3</v>
      </c>
      <c r="D5" s="28" t="s">
        <v>4</v>
      </c>
    </row>
    <row r="6" spans="3:11" x14ac:dyDescent="0.35">
      <c r="C6" s="29" t="s">
        <v>5</v>
      </c>
      <c r="D6" s="30" t="s">
        <v>6</v>
      </c>
    </row>
    <row r="7" spans="3:11" x14ac:dyDescent="0.35">
      <c r="C7" s="27" t="s">
        <v>7</v>
      </c>
      <c r="D7" s="31" t="s">
        <v>223</v>
      </c>
    </row>
    <row r="8" spans="3:11" x14ac:dyDescent="0.35">
      <c r="C8" s="27" t="s">
        <v>8</v>
      </c>
      <c r="D8" s="32" t="s">
        <v>9</v>
      </c>
    </row>
    <row r="10" spans="3:11" x14ac:dyDescent="0.35">
      <c r="D10" s="38"/>
      <c r="E10" s="38"/>
      <c r="F10" s="38"/>
      <c r="G10" s="38" t="s">
        <v>10</v>
      </c>
      <c r="H10" s="38"/>
      <c r="I10" s="38"/>
      <c r="J10" s="1"/>
    </row>
    <row r="11" spans="3:11" x14ac:dyDescent="0.35">
      <c r="D11" s="39"/>
      <c r="E11" s="39"/>
      <c r="F11" s="39"/>
      <c r="G11" s="39"/>
      <c r="H11" s="39"/>
      <c r="I11" s="39"/>
      <c r="J11" s="11"/>
    </row>
    <row r="12" spans="3:11" x14ac:dyDescent="0.35">
      <c r="C12" s="189" t="s">
        <v>11</v>
      </c>
      <c r="D12" s="189"/>
      <c r="E12" s="12" t="s">
        <v>12</v>
      </c>
    </row>
    <row r="13" spans="3:11" ht="15.5" x14ac:dyDescent="0.35">
      <c r="C13" s="190" t="s">
        <v>13</v>
      </c>
      <c r="D13" s="191"/>
      <c r="E13" s="55">
        <f>Inputs!H13</f>
        <v>1048.5</v>
      </c>
      <c r="F13" s="4"/>
      <c r="G13" s="5"/>
      <c r="I13" s="25"/>
      <c r="J13" s="25"/>
      <c r="K13" s="14"/>
    </row>
    <row r="14" spans="3:11" ht="15" x14ac:dyDescent="0.3">
      <c r="C14" s="192" t="s">
        <v>14</v>
      </c>
      <c r="D14" s="193"/>
      <c r="E14" s="55">
        <f>Inputs!P10</f>
        <v>1418.1079708497446</v>
      </c>
      <c r="F14" s="10"/>
      <c r="G14" s="14"/>
      <c r="I14" s="25"/>
      <c r="J14" s="25"/>
      <c r="K14" s="14"/>
    </row>
    <row r="15" spans="3:11" ht="15" x14ac:dyDescent="0.3">
      <c r="C15" s="9"/>
      <c r="D15" s="4"/>
      <c r="E15" s="10"/>
      <c r="F15" s="10"/>
      <c r="H15" s="24"/>
      <c r="I15" s="26"/>
      <c r="J15" s="24"/>
      <c r="K15" s="14"/>
    </row>
    <row r="16" spans="3:11" ht="15" x14ac:dyDescent="0.3">
      <c r="C16" s="9"/>
      <c r="D16" s="4"/>
      <c r="E16" s="10"/>
      <c r="F16" s="10"/>
      <c r="H16" s="24"/>
      <c r="I16" s="26" t="s">
        <v>15</v>
      </c>
      <c r="J16" s="24"/>
      <c r="K16" s="14"/>
    </row>
    <row r="17" spans="1:19" ht="15.5" x14ac:dyDescent="0.35">
      <c r="C17" s="3"/>
      <c r="E17" s="4"/>
      <c r="F17" s="4"/>
      <c r="G17" s="5"/>
      <c r="H17" s="6"/>
      <c r="I17" s="7"/>
      <c r="J17" s="6"/>
      <c r="P17" s="57" t="s">
        <v>16</v>
      </c>
      <c r="Q17" s="36">
        <f>Inputs!X9</f>
        <v>2076.16</v>
      </c>
    </row>
    <row r="18" spans="1:19" x14ac:dyDescent="0.35">
      <c r="S18" s="2" t="s">
        <v>17</v>
      </c>
    </row>
    <row r="19" spans="1:19" ht="57.65" customHeight="1" x14ac:dyDescent="0.35">
      <c r="A19" s="184"/>
      <c r="B19" s="44" t="s">
        <v>18</v>
      </c>
      <c r="C19" s="41" t="s">
        <v>19</v>
      </c>
      <c r="D19" s="41" t="s">
        <v>20</v>
      </c>
      <c r="E19" s="45" t="s">
        <v>21</v>
      </c>
      <c r="F19" s="41" t="s">
        <v>22</v>
      </c>
      <c r="G19" s="41" t="s">
        <v>23</v>
      </c>
      <c r="H19" s="45" t="s">
        <v>24</v>
      </c>
      <c r="I19" s="41" t="s">
        <v>25</v>
      </c>
      <c r="J19" s="46" t="s">
        <v>26</v>
      </c>
      <c r="K19" s="42" t="s">
        <v>27</v>
      </c>
      <c r="L19" s="46" t="s">
        <v>28</v>
      </c>
      <c r="M19" s="42" t="s">
        <v>29</v>
      </c>
      <c r="O19" s="47" t="s">
        <v>30</v>
      </c>
      <c r="P19" s="47" t="s">
        <v>31</v>
      </c>
      <c r="Q19" s="48" t="s">
        <v>32</v>
      </c>
      <c r="S19" s="43" t="s">
        <v>24</v>
      </c>
    </row>
    <row r="20" spans="1:19" x14ac:dyDescent="0.35">
      <c r="A20" s="184" t="str">
        <f t="shared" ref="A20:A33" si="0">D20&amp;E20</f>
        <v>17.7Clear</v>
      </c>
      <c r="B20" s="34" t="str">
        <f>D20&amp;E20&amp;F20</f>
        <v>17.7Clear0.25</v>
      </c>
      <c r="C20" s="187">
        <v>330</v>
      </c>
      <c r="D20" s="12">
        <v>17.7</v>
      </c>
      <c r="E20" s="17" t="s">
        <v>33</v>
      </c>
      <c r="F20" s="53">
        <v>0.25</v>
      </c>
      <c r="G20" s="18">
        <f t="shared" ref="G20:G32" si="1">+($E$13/1000*(1-F20)+$E$14/1000*F20)*D20*(1+0.5%)</f>
        <v>20.294935097365169</v>
      </c>
      <c r="H20" s="140">
        <f>S20*(1+(Inputs!AH$8/Inputs!AH$7-1)*50%)</f>
        <v>7.2369856215727122</v>
      </c>
      <c r="I20" s="58">
        <f t="shared" ref="I20:I33" si="2">+H20+G20</f>
        <v>27.531920718937883</v>
      </c>
      <c r="J20" s="54"/>
      <c r="K20" s="58">
        <f t="shared" ref="K20:K22" si="3">J20+I20</f>
        <v>27.531920718937883</v>
      </c>
      <c r="L20" s="54">
        <f t="shared" ref="L20:L33" si="4">Q20</f>
        <v>2.2181196581196581</v>
      </c>
      <c r="M20" s="58">
        <f>SUM(K20:L20)</f>
        <v>29.750040377057541</v>
      </c>
      <c r="O20" s="56">
        <v>19.5</v>
      </c>
      <c r="P20" s="34">
        <v>48</v>
      </c>
      <c r="Q20" s="40">
        <f t="shared" ref="Q20:Q33" si="5">$Q$17/(O20*P20)</f>
        <v>2.2181196581196581</v>
      </c>
      <c r="S20" s="140">
        <v>7.2369856215727122</v>
      </c>
    </row>
    <row r="21" spans="1:19" x14ac:dyDescent="0.35">
      <c r="A21" s="184" t="str">
        <f t="shared" si="0"/>
        <v>17.7Clear</v>
      </c>
      <c r="B21" s="34" t="str">
        <f t="shared" ref="B21:B33" si="6">D21&amp;E21&amp;F21</f>
        <v>17.7Clear0.6</v>
      </c>
      <c r="C21" s="194"/>
      <c r="D21" s="12">
        <v>17.7</v>
      </c>
      <c r="E21" s="17" t="s">
        <v>33</v>
      </c>
      <c r="F21" s="53">
        <v>0.6</v>
      </c>
      <c r="G21" s="18">
        <f t="shared" si="1"/>
        <v>22.596105083676406</v>
      </c>
      <c r="H21" s="140">
        <f>S21*(1+(Inputs!AH$8/Inputs!AH$7-1)*50%)</f>
        <v>7.2369856215727122</v>
      </c>
      <c r="I21" s="58">
        <f t="shared" si="2"/>
        <v>29.83309070524912</v>
      </c>
      <c r="J21" s="54"/>
      <c r="K21" s="58">
        <f t="shared" si="3"/>
        <v>29.83309070524912</v>
      </c>
      <c r="L21" s="54">
        <f t="shared" si="4"/>
        <v>2.2181196581196581</v>
      </c>
      <c r="M21" s="58">
        <f t="shared" ref="M21:M33" si="7">SUM(K21:L21)</f>
        <v>32.051210363368781</v>
      </c>
      <c r="O21" s="56">
        <v>19.5</v>
      </c>
      <c r="P21" s="34">
        <v>48</v>
      </c>
      <c r="Q21" s="40">
        <f t="shared" si="5"/>
        <v>2.2181196581196581</v>
      </c>
      <c r="S21" s="140">
        <v>7.2369856215727122</v>
      </c>
    </row>
    <row r="22" spans="1:19" x14ac:dyDescent="0.35">
      <c r="A22" s="184" t="str">
        <f t="shared" si="0"/>
        <v>17.7Clear</v>
      </c>
      <c r="B22" s="34" t="str">
        <f t="shared" si="6"/>
        <v>17.7Clear0.15</v>
      </c>
      <c r="C22" s="188"/>
      <c r="D22" s="12">
        <v>17.7</v>
      </c>
      <c r="E22" s="17" t="s">
        <v>33</v>
      </c>
      <c r="F22" s="53">
        <v>0.15</v>
      </c>
      <c r="G22" s="18">
        <f t="shared" si="1"/>
        <v>19.637457958419098</v>
      </c>
      <c r="H22" s="140">
        <f>S22*(1+(Inputs!AH$8/Inputs!AH$7-1)*50%)</f>
        <v>7.2369856215727122</v>
      </c>
      <c r="I22" s="58">
        <f t="shared" si="2"/>
        <v>26.874443579991812</v>
      </c>
      <c r="J22" s="54"/>
      <c r="K22" s="58">
        <f t="shared" si="3"/>
        <v>26.874443579991812</v>
      </c>
      <c r="L22" s="54">
        <f t="shared" si="4"/>
        <v>2.2181196581196581</v>
      </c>
      <c r="M22" s="58">
        <f t="shared" si="7"/>
        <v>29.09256323811147</v>
      </c>
      <c r="O22" s="56">
        <v>19.5</v>
      </c>
      <c r="P22" s="34">
        <v>48</v>
      </c>
      <c r="Q22" s="40">
        <f t="shared" si="5"/>
        <v>2.2181196581196581</v>
      </c>
      <c r="S22" s="140">
        <v>7.2369856215727122</v>
      </c>
    </row>
    <row r="23" spans="1:19" ht="15" customHeight="1" x14ac:dyDescent="0.35">
      <c r="A23" s="184" t="str">
        <f t="shared" si="0"/>
        <v>19.7Clear</v>
      </c>
      <c r="B23" s="34" t="str">
        <f t="shared" si="6"/>
        <v>19.7Clear0.25</v>
      </c>
      <c r="C23" s="195" t="s">
        <v>34</v>
      </c>
      <c r="D23" s="12">
        <v>19.7</v>
      </c>
      <c r="E23" s="17" t="s">
        <v>33</v>
      </c>
      <c r="F23" s="53">
        <v>0.25</v>
      </c>
      <c r="G23" s="18">
        <f t="shared" si="1"/>
        <v>22.588148102717167</v>
      </c>
      <c r="H23" s="140">
        <f>S23*(1+(Inputs!AH$8/Inputs!AH$7-1)*50%)</f>
        <v>7.2369856215727122</v>
      </c>
      <c r="I23" s="58">
        <f t="shared" si="2"/>
        <v>29.825133724289877</v>
      </c>
      <c r="J23" s="51">
        <v>0.4886237218402556</v>
      </c>
      <c r="K23" s="58">
        <f>J23+I23</f>
        <v>30.313757446130133</v>
      </c>
      <c r="L23" s="54">
        <f t="shared" si="4"/>
        <v>2.2181196581196581</v>
      </c>
      <c r="M23" s="58">
        <f t="shared" si="7"/>
        <v>32.531877104249787</v>
      </c>
      <c r="O23" s="56">
        <v>19.5</v>
      </c>
      <c r="P23" s="34">
        <v>48</v>
      </c>
      <c r="Q23" s="40">
        <f t="shared" si="5"/>
        <v>2.2181196581196581</v>
      </c>
      <c r="S23" s="140">
        <v>7.2369856215727122</v>
      </c>
    </row>
    <row r="24" spans="1:19" x14ac:dyDescent="0.35">
      <c r="A24" s="184" t="str">
        <f t="shared" si="0"/>
        <v>19.7Clear</v>
      </c>
      <c r="B24" s="34" t="str">
        <f t="shared" si="6"/>
        <v>19.7Clear0.5</v>
      </c>
      <c r="C24" s="196"/>
      <c r="D24" s="12">
        <v>19.7</v>
      </c>
      <c r="E24" s="17" t="s">
        <v>33</v>
      </c>
      <c r="F24" s="53">
        <v>0.5</v>
      </c>
      <c r="G24" s="18">
        <f t="shared" si="1"/>
        <v>24.41756895543433</v>
      </c>
      <c r="H24" s="140">
        <f>S24*(1+(Inputs!AH$8/Inputs!AH$7-1)*50%)</f>
        <v>7.2369856215727122</v>
      </c>
      <c r="I24" s="58">
        <f t="shared" si="2"/>
        <v>31.65455457700704</v>
      </c>
      <c r="J24" s="51">
        <v>0.4886237218402556</v>
      </c>
      <c r="K24" s="58">
        <f>J24+I24</f>
        <v>32.143178298847296</v>
      </c>
      <c r="L24" s="54">
        <f t="shared" si="4"/>
        <v>2.2181196581196581</v>
      </c>
      <c r="M24" s="58">
        <f t="shared" si="7"/>
        <v>34.361297956966951</v>
      </c>
      <c r="O24" s="56">
        <v>19.5</v>
      </c>
      <c r="P24" s="34">
        <v>48</v>
      </c>
      <c r="Q24" s="40">
        <f t="shared" si="5"/>
        <v>2.2181196581196581</v>
      </c>
      <c r="S24" s="140">
        <v>7.2369856215727122</v>
      </c>
    </row>
    <row r="25" spans="1:19" x14ac:dyDescent="0.35">
      <c r="A25" s="184" t="str">
        <f t="shared" si="0"/>
        <v>19.7Clear</v>
      </c>
      <c r="B25" s="34" t="str">
        <f t="shared" si="6"/>
        <v>19.7Clear0.6</v>
      </c>
      <c r="C25" s="196"/>
      <c r="D25" s="12">
        <v>19.7</v>
      </c>
      <c r="E25" s="17" t="s">
        <v>33</v>
      </c>
      <c r="F25" s="53">
        <v>0.6</v>
      </c>
      <c r="G25" s="18">
        <f t="shared" si="1"/>
        <v>25.1493372965212</v>
      </c>
      <c r="H25" s="140">
        <f>S25*(1+(Inputs!AH$8/Inputs!AH$7-1)*50%)</f>
        <v>7.2369856215727122</v>
      </c>
      <c r="I25" s="58">
        <f t="shared" si="2"/>
        <v>32.38632291809391</v>
      </c>
      <c r="J25" s="51">
        <v>0.4886237218402556</v>
      </c>
      <c r="K25" s="58">
        <f>J25+I25</f>
        <v>32.874946639934166</v>
      </c>
      <c r="L25" s="54">
        <f t="shared" si="4"/>
        <v>2.2181196581196581</v>
      </c>
      <c r="M25" s="58">
        <f t="shared" si="7"/>
        <v>35.093066298053827</v>
      </c>
      <c r="O25" s="56">
        <v>19.5</v>
      </c>
      <c r="P25" s="34">
        <v>48</v>
      </c>
      <c r="Q25" s="40">
        <f t="shared" si="5"/>
        <v>2.2181196581196581</v>
      </c>
      <c r="S25" s="140">
        <v>7.2369856215727122</v>
      </c>
    </row>
    <row r="26" spans="1:19" x14ac:dyDescent="0.35">
      <c r="A26" s="184" t="str">
        <f t="shared" si="0"/>
        <v>19.7Brown</v>
      </c>
      <c r="B26" s="34" t="str">
        <f t="shared" si="6"/>
        <v>19.7Brown0.5</v>
      </c>
      <c r="C26" s="196"/>
      <c r="D26" s="12">
        <v>19.7</v>
      </c>
      <c r="E26" s="17" t="s">
        <v>35</v>
      </c>
      <c r="F26" s="53">
        <v>0.5</v>
      </c>
      <c r="G26" s="18">
        <f t="shared" si="1"/>
        <v>24.41756895543433</v>
      </c>
      <c r="H26" s="140">
        <f>S26*(1+(Inputs!AH$8/Inputs!AH$7-1)*50%)</f>
        <v>8.8522419006681883</v>
      </c>
      <c r="I26" s="58">
        <f t="shared" si="2"/>
        <v>33.269810856102517</v>
      </c>
      <c r="J26" s="51"/>
      <c r="K26" s="58">
        <f t="shared" ref="K26:K33" si="8">J26+I26</f>
        <v>33.269810856102517</v>
      </c>
      <c r="L26" s="54">
        <f t="shared" si="4"/>
        <v>2.2181196581196581</v>
      </c>
      <c r="M26" s="58">
        <f t="shared" si="7"/>
        <v>35.487930514222171</v>
      </c>
      <c r="O26" s="56">
        <v>19.5</v>
      </c>
      <c r="P26" s="34">
        <v>48</v>
      </c>
      <c r="Q26" s="40">
        <f t="shared" si="5"/>
        <v>2.2181196581196581</v>
      </c>
      <c r="S26" s="140">
        <v>8.8522419006681883</v>
      </c>
    </row>
    <row r="27" spans="1:19" x14ac:dyDescent="0.35">
      <c r="A27" s="184" t="str">
        <f t="shared" si="0"/>
        <v>19.7Brown</v>
      </c>
      <c r="B27" s="34" t="str">
        <f t="shared" si="6"/>
        <v>19.7Brown0.6</v>
      </c>
      <c r="C27" s="196"/>
      <c r="D27" s="12">
        <v>19.7</v>
      </c>
      <c r="E27" s="17" t="s">
        <v>35</v>
      </c>
      <c r="F27" s="53">
        <v>0.6</v>
      </c>
      <c r="G27" s="18">
        <f t="shared" si="1"/>
        <v>25.1493372965212</v>
      </c>
      <c r="H27" s="140">
        <f>S27*(1+(Inputs!AH$8/Inputs!AH$7-1)*50%)</f>
        <v>8.8522419006681883</v>
      </c>
      <c r="I27" s="58">
        <f t="shared" si="2"/>
        <v>34.001579197189386</v>
      </c>
      <c r="J27" s="51"/>
      <c r="K27" s="58">
        <f t="shared" si="8"/>
        <v>34.001579197189386</v>
      </c>
      <c r="L27" s="54">
        <f t="shared" si="4"/>
        <v>2.2181196581196581</v>
      </c>
      <c r="M27" s="58">
        <f t="shared" si="7"/>
        <v>36.219698855309048</v>
      </c>
      <c r="O27" s="56">
        <v>19.5</v>
      </c>
      <c r="P27" s="34">
        <v>48</v>
      </c>
      <c r="Q27" s="40">
        <f t="shared" si="5"/>
        <v>2.2181196581196581</v>
      </c>
      <c r="S27" s="140">
        <v>8.8522419006681883</v>
      </c>
    </row>
    <row r="28" spans="1:19" x14ac:dyDescent="0.35">
      <c r="A28" s="184" t="str">
        <f t="shared" si="0"/>
        <v>19.7Brown</v>
      </c>
      <c r="B28" s="34" t="str">
        <f t="shared" si="6"/>
        <v>19.7Brown1</v>
      </c>
      <c r="C28" s="197"/>
      <c r="D28" s="12">
        <v>19.7</v>
      </c>
      <c r="E28" s="17" t="s">
        <v>35</v>
      </c>
      <c r="F28" s="53">
        <v>1</v>
      </c>
      <c r="G28" s="18">
        <f t="shared" si="1"/>
        <v>28.076410660868664</v>
      </c>
      <c r="H28" s="140">
        <f>S28*(1+(Inputs!AH$8/Inputs!AH$7-1)*50%)</f>
        <v>8.8522419006681883</v>
      </c>
      <c r="I28" s="58">
        <f t="shared" si="2"/>
        <v>36.92865256153685</v>
      </c>
      <c r="J28" s="51"/>
      <c r="K28" s="58">
        <f t="shared" si="8"/>
        <v>36.92865256153685</v>
      </c>
      <c r="L28" s="54">
        <f t="shared" si="4"/>
        <v>2.2181196581196581</v>
      </c>
      <c r="M28" s="58">
        <f t="shared" si="7"/>
        <v>39.146772219656512</v>
      </c>
      <c r="O28" s="56">
        <v>19.5</v>
      </c>
      <c r="P28" s="34">
        <v>48</v>
      </c>
      <c r="Q28" s="40">
        <f t="shared" si="5"/>
        <v>2.2181196581196581</v>
      </c>
      <c r="S28" s="140">
        <v>8.8522419006681883</v>
      </c>
    </row>
    <row r="29" spans="1:19" x14ac:dyDescent="0.35">
      <c r="A29" s="184" t="str">
        <f t="shared" si="0"/>
        <v>33.7Clear</v>
      </c>
      <c r="B29" s="34" t="str">
        <f t="shared" si="6"/>
        <v>33.7Clear0.25</v>
      </c>
      <c r="C29" s="12">
        <v>1000</v>
      </c>
      <c r="D29" s="12">
        <v>33.700000000000003</v>
      </c>
      <c r="E29" s="17" t="s">
        <v>33</v>
      </c>
      <c r="F29" s="53">
        <v>0.25</v>
      </c>
      <c r="G29" s="18">
        <f t="shared" si="1"/>
        <v>38.640639140181143</v>
      </c>
      <c r="H29" s="140">
        <f>S29*(1+(Inputs!AH$8/Inputs!AH$7-1)*50%)</f>
        <v>10.551240217498677</v>
      </c>
      <c r="I29" s="58">
        <f t="shared" si="2"/>
        <v>49.191879357679824</v>
      </c>
      <c r="J29" s="51"/>
      <c r="K29" s="58">
        <f t="shared" si="8"/>
        <v>49.191879357679824</v>
      </c>
      <c r="L29" s="54">
        <f t="shared" si="4"/>
        <v>3.7611594202898546</v>
      </c>
      <c r="M29" s="58">
        <f t="shared" si="7"/>
        <v>52.953038777969681</v>
      </c>
      <c r="O29" s="56">
        <v>11.5</v>
      </c>
      <c r="P29" s="34">
        <v>48</v>
      </c>
      <c r="Q29" s="40">
        <f t="shared" si="5"/>
        <v>3.7611594202898546</v>
      </c>
      <c r="S29" s="140">
        <v>10.551240217498677</v>
      </c>
    </row>
    <row r="30" spans="1:19" x14ac:dyDescent="0.35">
      <c r="A30" s="184" t="str">
        <f t="shared" si="0"/>
        <v>45.7Clear</v>
      </c>
      <c r="B30" s="34" t="str">
        <f t="shared" si="6"/>
        <v>45.7Clear0.25</v>
      </c>
      <c r="C30" s="187">
        <v>2000</v>
      </c>
      <c r="D30" s="12">
        <v>45.7</v>
      </c>
      <c r="E30" s="17" t="s">
        <v>33</v>
      </c>
      <c r="F30" s="53">
        <v>0.25</v>
      </c>
      <c r="G30" s="18">
        <f t="shared" si="1"/>
        <v>52.399917172293122</v>
      </c>
      <c r="H30" s="140">
        <f>S30*(1+(Inputs!AH$8/Inputs!AH$7-1)*50%)</f>
        <v>14.668165848375462</v>
      </c>
      <c r="I30" s="58">
        <f t="shared" si="2"/>
        <v>67.068083020668581</v>
      </c>
      <c r="J30" s="51"/>
      <c r="K30" s="58">
        <f t="shared" si="8"/>
        <v>67.068083020668581</v>
      </c>
      <c r="L30" s="54">
        <f t="shared" si="4"/>
        <v>5.1492063492063487</v>
      </c>
      <c r="M30" s="58">
        <f t="shared" si="7"/>
        <v>72.217289369874933</v>
      </c>
      <c r="O30" s="56">
        <v>8.4</v>
      </c>
      <c r="P30" s="34">
        <v>48</v>
      </c>
      <c r="Q30" s="40">
        <f t="shared" si="5"/>
        <v>5.1492063492063487</v>
      </c>
      <c r="S30" s="140">
        <v>14.668165848375462</v>
      </c>
    </row>
    <row r="31" spans="1:19" x14ac:dyDescent="0.35">
      <c r="A31" s="184" t="str">
        <f t="shared" si="0"/>
        <v>45.7Clear</v>
      </c>
      <c r="B31" s="34" t="str">
        <f t="shared" si="6"/>
        <v>45.7Clear0.5</v>
      </c>
      <c r="C31" s="188"/>
      <c r="D31" s="12">
        <v>45.7</v>
      </c>
      <c r="E31" s="17" t="s">
        <v>33</v>
      </c>
      <c r="F31" s="53">
        <v>0.5</v>
      </c>
      <c r="G31" s="18">
        <f t="shared" si="1"/>
        <v>56.643802094586242</v>
      </c>
      <c r="H31" s="140">
        <f>S31*(1+(Inputs!AH$8/Inputs!AH$7-1)*50%)</f>
        <v>14.668165848375462</v>
      </c>
      <c r="I31" s="58">
        <f t="shared" si="2"/>
        <v>71.311967942961701</v>
      </c>
      <c r="J31" s="51"/>
      <c r="K31" s="58">
        <f t="shared" si="8"/>
        <v>71.311967942961701</v>
      </c>
      <c r="L31" s="54">
        <f t="shared" si="4"/>
        <v>5.1492063492063487</v>
      </c>
      <c r="M31" s="58">
        <f t="shared" si="7"/>
        <v>76.461174292168053</v>
      </c>
      <c r="O31" s="56">
        <v>8.4</v>
      </c>
      <c r="P31" s="34">
        <v>48</v>
      </c>
      <c r="Q31" s="40">
        <f t="shared" si="5"/>
        <v>5.1492063492063487</v>
      </c>
      <c r="S31" s="140">
        <v>14.668165848375462</v>
      </c>
    </row>
    <row r="32" spans="1:19" x14ac:dyDescent="0.35">
      <c r="A32" s="184" t="str">
        <f t="shared" si="0"/>
        <v>51.2Clear</v>
      </c>
      <c r="B32" s="34" t="str">
        <f t="shared" si="6"/>
        <v>51.2Clear0.25</v>
      </c>
      <c r="C32" s="187">
        <v>3000</v>
      </c>
      <c r="D32" s="12">
        <v>51.2</v>
      </c>
      <c r="E32" s="17" t="s">
        <v>33</v>
      </c>
      <c r="F32" s="53">
        <v>0.25</v>
      </c>
      <c r="G32" s="18">
        <f t="shared" si="1"/>
        <v>58.706252937011115</v>
      </c>
      <c r="H32" s="140">
        <f>S32*(1+(Inputs!AH$8/Inputs!AH$7-1)*50%)</f>
        <v>12.25</v>
      </c>
      <c r="I32" s="58">
        <f t="shared" si="2"/>
        <v>70.956252937011115</v>
      </c>
      <c r="J32" s="51"/>
      <c r="K32" s="58">
        <f t="shared" si="8"/>
        <v>70.956252937011115</v>
      </c>
      <c r="L32" s="54">
        <f t="shared" si="4"/>
        <v>5.845045045045044</v>
      </c>
      <c r="M32" s="58">
        <f t="shared" si="7"/>
        <v>76.801297982056155</v>
      </c>
      <c r="O32" s="56">
        <v>7.4</v>
      </c>
      <c r="P32" s="34">
        <v>48</v>
      </c>
      <c r="Q32" s="40">
        <f t="shared" si="5"/>
        <v>5.845045045045044</v>
      </c>
      <c r="S32" s="174">
        <v>12.25</v>
      </c>
    </row>
    <row r="33" spans="1:19" x14ac:dyDescent="0.35">
      <c r="A33" s="184" t="str">
        <f t="shared" si="0"/>
        <v>54.7Clear</v>
      </c>
      <c r="B33" s="34" t="str">
        <f t="shared" si="6"/>
        <v>54.7Clear0.25</v>
      </c>
      <c r="C33" s="188"/>
      <c r="D33" s="12">
        <v>54.7</v>
      </c>
      <c r="E33" s="17" t="s">
        <v>33</v>
      </c>
      <c r="F33" s="53">
        <v>0.25</v>
      </c>
      <c r="G33" s="18">
        <f>+($E$13/1000*(1-F33)+$E$14/1000*F33)*D33*(1+0.5%)</f>
        <v>62.719375696377107</v>
      </c>
      <c r="H33" s="140">
        <f>S33*(1+(Inputs!AH$8/Inputs!AH$7-1)*50%)</f>
        <v>13</v>
      </c>
      <c r="I33" s="58">
        <f t="shared" si="2"/>
        <v>75.719375696377114</v>
      </c>
      <c r="J33" s="51"/>
      <c r="K33" s="58">
        <f t="shared" si="8"/>
        <v>75.719375696377114</v>
      </c>
      <c r="L33" s="54">
        <f t="shared" si="4"/>
        <v>5.845045045045044</v>
      </c>
      <c r="M33" s="58">
        <f t="shared" si="7"/>
        <v>81.564420741422154</v>
      </c>
      <c r="O33" s="56">
        <v>7.4</v>
      </c>
      <c r="P33" s="34">
        <v>48</v>
      </c>
      <c r="Q33" s="40">
        <f t="shared" si="5"/>
        <v>5.845045045045044</v>
      </c>
      <c r="S33" s="174">
        <v>13</v>
      </c>
    </row>
    <row r="34" spans="1:19" x14ac:dyDescent="0.35">
      <c r="A34" s="184"/>
    </row>
    <row r="35" spans="1:19" x14ac:dyDescent="0.35">
      <c r="A35" s="184"/>
    </row>
    <row r="36" spans="1:19" x14ac:dyDescent="0.35">
      <c r="A36" s="184"/>
    </row>
  </sheetData>
  <mergeCells count="7">
    <mergeCell ref="C32:C33"/>
    <mergeCell ref="C12:D12"/>
    <mergeCell ref="C13:D13"/>
    <mergeCell ref="C14:D14"/>
    <mergeCell ref="C20:C22"/>
    <mergeCell ref="C23:C28"/>
    <mergeCell ref="C30:C31"/>
  </mergeCells>
  <dataValidations count="1">
    <dataValidation type="list" allowBlank="1" showInputMessage="1" showErrorMessage="1" sqref="D6" xr:uid="{7FE20E79-FE9D-48BF-9653-219B6049DDC6}">
      <formula1>"Perú, Colombia, Ecuador, México, Costa Rica, Panamá, Argentina, Chile, Costa Rica, Guatemala"</formula1>
    </dataValidation>
  </dataValidations>
  <pageMargins left="0.7" right="0.7" top="0.75" bottom="0.75" header="0.3" footer="0.3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V39"/>
  <sheetViews>
    <sheetView showGridLines="0" topLeftCell="N4" zoomScale="80" zoomScaleNormal="80" zoomScaleSheetLayoutView="100" workbookViewId="0">
      <selection activeCell="S17" sqref="S17"/>
    </sheetView>
  </sheetViews>
  <sheetFormatPr defaultColWidth="11.453125" defaultRowHeight="14.5" x14ac:dyDescent="0.35"/>
  <cols>
    <col min="1" max="1" width="11.453125" style="2"/>
    <col min="2" max="2" width="17.54296875" style="2" customWidth="1"/>
    <col min="3" max="3" width="13.54296875" style="2" customWidth="1"/>
    <col min="4" max="4" width="14.54296875" style="2" customWidth="1"/>
    <col min="5" max="7" width="13.453125" style="2" customWidth="1"/>
    <col min="8" max="8" width="16" style="2" customWidth="1"/>
    <col min="9" max="9" width="13.453125" style="2" customWidth="1"/>
    <col min="10" max="10" width="13.54296875" style="2" customWidth="1"/>
    <col min="11" max="11" width="15" style="2" customWidth="1"/>
    <col min="12" max="12" width="8.453125" style="2" customWidth="1"/>
    <col min="13" max="13" width="11.453125" style="2" customWidth="1"/>
    <col min="14" max="14" width="11.453125" style="2"/>
    <col min="15" max="15" width="19.453125" style="2" bestFit="1" customWidth="1"/>
    <col min="16" max="16384" width="11.453125" style="2"/>
  </cols>
  <sheetData>
    <row r="1" spans="3:11" x14ac:dyDescent="0.35">
      <c r="G1" s="2" t="s">
        <v>0</v>
      </c>
      <c r="H1" s="2" t="s">
        <v>1</v>
      </c>
      <c r="J1" s="2" t="s">
        <v>2</v>
      </c>
    </row>
    <row r="5" spans="3:11" x14ac:dyDescent="0.35">
      <c r="C5" s="27" t="s">
        <v>3</v>
      </c>
      <c r="D5" s="28" t="s">
        <v>4</v>
      </c>
    </row>
    <row r="6" spans="3:11" x14ac:dyDescent="0.35">
      <c r="C6" s="29" t="s">
        <v>5</v>
      </c>
      <c r="D6" s="30" t="s">
        <v>6</v>
      </c>
    </row>
    <row r="7" spans="3:11" x14ac:dyDescent="0.35">
      <c r="C7" s="27" t="s">
        <v>7</v>
      </c>
      <c r="D7" s="31" t="str">
        <f>+'Motupe Preformas'!D7</f>
        <v>Abril 26</v>
      </c>
    </row>
    <row r="8" spans="3:11" x14ac:dyDescent="0.35">
      <c r="C8" s="27" t="s">
        <v>8</v>
      </c>
      <c r="D8" s="32" t="s">
        <v>9</v>
      </c>
    </row>
    <row r="10" spans="3:11" x14ac:dyDescent="0.35">
      <c r="D10" s="38"/>
      <c r="E10" s="38"/>
      <c r="F10" s="38"/>
      <c r="G10" s="38" t="s">
        <v>36</v>
      </c>
      <c r="H10" s="38"/>
      <c r="I10" s="38"/>
      <c r="J10" s="1"/>
    </row>
    <row r="11" spans="3:11" x14ac:dyDescent="0.35">
      <c r="D11" s="39"/>
      <c r="E11" s="39"/>
      <c r="F11" s="39"/>
      <c r="G11" s="39"/>
      <c r="H11" s="39"/>
      <c r="I11" s="39"/>
      <c r="J11" s="11"/>
    </row>
    <row r="12" spans="3:11" x14ac:dyDescent="0.35">
      <c r="C12" s="189" t="s">
        <v>11</v>
      </c>
      <c r="D12" s="189"/>
      <c r="E12" s="12" t="s">
        <v>12</v>
      </c>
    </row>
    <row r="13" spans="3:11" ht="15.5" x14ac:dyDescent="0.35">
      <c r="C13" s="190" t="s">
        <v>13</v>
      </c>
      <c r="D13" s="191"/>
      <c r="E13" s="55">
        <f>Inputs!H13</f>
        <v>1048.5</v>
      </c>
      <c r="F13" s="4"/>
      <c r="G13" s="5"/>
      <c r="I13" s="25"/>
      <c r="J13" s="25"/>
      <c r="K13" s="14"/>
    </row>
    <row r="14" spans="3:11" ht="15" x14ac:dyDescent="0.3">
      <c r="C14" s="192" t="s">
        <v>14</v>
      </c>
      <c r="D14" s="193"/>
      <c r="E14" s="55">
        <f>Inputs!P10</f>
        <v>1418.1079708497446</v>
      </c>
      <c r="F14" s="10"/>
      <c r="G14" s="14"/>
      <c r="I14" s="25"/>
      <c r="J14" s="25"/>
      <c r="K14" s="14"/>
    </row>
    <row r="15" spans="3:11" ht="15" x14ac:dyDescent="0.3">
      <c r="C15" s="9"/>
      <c r="D15" s="4"/>
      <c r="E15" s="10"/>
      <c r="F15" s="10"/>
      <c r="H15" s="24"/>
      <c r="I15" s="26"/>
      <c r="J15" s="24"/>
      <c r="K15" s="14"/>
    </row>
    <row r="16" spans="3:11" ht="15" x14ac:dyDescent="0.3">
      <c r="C16" s="9"/>
      <c r="D16" s="4"/>
      <c r="E16" s="10"/>
      <c r="F16" s="10"/>
      <c r="H16" s="24"/>
      <c r="I16" s="26" t="s">
        <v>15</v>
      </c>
      <c r="J16" s="24"/>
      <c r="K16" s="14"/>
    </row>
    <row r="17" spans="1:22" ht="15.5" x14ac:dyDescent="0.35">
      <c r="C17" s="3"/>
      <c r="E17" s="4"/>
      <c r="F17" s="4"/>
      <c r="G17" s="5"/>
      <c r="H17" s="6"/>
      <c r="I17" s="7"/>
      <c r="J17" s="6"/>
      <c r="P17" s="57" t="s">
        <v>16</v>
      </c>
      <c r="Q17" s="36">
        <f>Inputs!X7</f>
        <v>133.16</v>
      </c>
    </row>
    <row r="18" spans="1:22" x14ac:dyDescent="0.35">
      <c r="V18" s="2" t="s">
        <v>17</v>
      </c>
    </row>
    <row r="19" spans="1:22" ht="57.65" customHeight="1" x14ac:dyDescent="0.35">
      <c r="A19" s="184"/>
      <c r="B19" s="44" t="s">
        <v>18</v>
      </c>
      <c r="C19" s="41" t="s">
        <v>19</v>
      </c>
      <c r="D19" s="41" t="s">
        <v>20</v>
      </c>
      <c r="E19" s="45" t="s">
        <v>21</v>
      </c>
      <c r="F19" s="41" t="s">
        <v>22</v>
      </c>
      <c r="G19" s="41" t="s">
        <v>23</v>
      </c>
      <c r="H19" s="45" t="s">
        <v>24</v>
      </c>
      <c r="I19" s="41" t="s">
        <v>25</v>
      </c>
      <c r="J19" s="46" t="s">
        <v>26</v>
      </c>
      <c r="K19" s="42" t="s">
        <v>27</v>
      </c>
      <c r="L19" s="46" t="s">
        <v>28</v>
      </c>
      <c r="M19" s="42" t="s">
        <v>29</v>
      </c>
      <c r="O19" s="47" t="s">
        <v>30</v>
      </c>
      <c r="P19" s="47" t="s">
        <v>31</v>
      </c>
      <c r="Q19" s="48" t="s">
        <v>32</v>
      </c>
      <c r="V19" s="43" t="s">
        <v>24</v>
      </c>
    </row>
    <row r="20" spans="1:22" x14ac:dyDescent="0.35">
      <c r="A20" s="184" t="str">
        <f t="shared" ref="A20:A39" si="0">D20&amp;E20</f>
        <v>17.7Clear</v>
      </c>
      <c r="B20" s="34" t="str">
        <f>D20&amp;E20&amp;F20</f>
        <v>17.7Clear0.25</v>
      </c>
      <c r="C20" s="187">
        <v>330</v>
      </c>
      <c r="D20" s="12">
        <v>17.7</v>
      </c>
      <c r="E20" s="17" t="s">
        <v>33</v>
      </c>
      <c r="F20" s="53">
        <v>0.25</v>
      </c>
      <c r="G20" s="18">
        <f t="shared" ref="G20:G34" si="1">+($E$13/1000*(1-F20)+$E$14/1000*F20)*D20*(1+0.5%)</f>
        <v>20.294935097365169</v>
      </c>
      <c r="H20" s="140">
        <f>V20*(1+(Inputs!AH$8/Inputs!AH$7-1)*50%)</f>
        <v>7.2369856215727122</v>
      </c>
      <c r="I20" s="58">
        <f t="shared" ref="I20:I27" si="2">+H20+G20</f>
        <v>27.531920718937883</v>
      </c>
      <c r="J20" s="54"/>
      <c r="K20" s="58">
        <f t="shared" ref="K20" si="3">J20+I20</f>
        <v>27.531920718937883</v>
      </c>
      <c r="L20" s="54">
        <f t="shared" ref="L20:L39" si="4">Q20</f>
        <v>0.17071794871794871</v>
      </c>
      <c r="M20" s="58">
        <f>SUM(K20:L20)</f>
        <v>27.702638667655833</v>
      </c>
      <c r="O20" s="56">
        <v>19.5</v>
      </c>
      <c r="P20" s="34">
        <v>40</v>
      </c>
      <c r="Q20" s="40">
        <f t="shared" ref="Q20:Q39" si="5">$Q$17/(O20*P20)</f>
        <v>0.17071794871794871</v>
      </c>
      <c r="V20" s="140">
        <v>7.2369856215727122</v>
      </c>
    </row>
    <row r="21" spans="1:22" x14ac:dyDescent="0.35">
      <c r="A21" s="184" t="str">
        <f t="shared" si="0"/>
        <v>17.7Clear</v>
      </c>
      <c r="B21" s="34" t="str">
        <f>D21&amp;E21&amp;F21</f>
        <v>17.7Clear0</v>
      </c>
      <c r="C21" s="194"/>
      <c r="D21" s="12">
        <v>17.7</v>
      </c>
      <c r="E21" s="17" t="s">
        <v>33</v>
      </c>
      <c r="F21" s="53">
        <v>0</v>
      </c>
      <c r="G21" s="18">
        <f t="shared" ref="G21" si="6">+($E$13/1000*(1-F21)+$E$14/1000*F21)*D21*(1+0.5%)</f>
        <v>18.651242249999999</v>
      </c>
      <c r="H21" s="140">
        <f>V21*(1+(Inputs!AH$8/Inputs!AH$7-1)*50%)</f>
        <v>7.2369856215727122</v>
      </c>
      <c r="I21" s="58">
        <f t="shared" ref="I21" si="7">+H21+G21</f>
        <v>25.88822787157271</v>
      </c>
      <c r="J21" s="54"/>
      <c r="K21" s="58">
        <f t="shared" ref="K21" si="8">J21+I21</f>
        <v>25.88822787157271</v>
      </c>
      <c r="L21" s="54">
        <f t="shared" ref="L21" si="9">Q21</f>
        <v>0.17071794871794871</v>
      </c>
      <c r="M21" s="58">
        <f>SUM(K21:L21)</f>
        <v>26.05894582029066</v>
      </c>
      <c r="O21" s="56">
        <v>19.5</v>
      </c>
      <c r="P21" s="34">
        <v>40</v>
      </c>
      <c r="Q21" s="40">
        <f t="shared" ref="Q21" si="10">$Q$17/(O21*P21)</f>
        <v>0.17071794871794871</v>
      </c>
      <c r="V21" s="140">
        <v>7.2369856215727122</v>
      </c>
    </row>
    <row r="22" spans="1:22" x14ac:dyDescent="0.35">
      <c r="A22" s="184" t="str">
        <f t="shared" si="0"/>
        <v>17.7Clear</v>
      </c>
      <c r="B22" s="34" t="str">
        <f t="shared" ref="B22:B39" si="11">D22&amp;E22&amp;F22</f>
        <v>17.7Clear0.6</v>
      </c>
      <c r="C22" s="194"/>
      <c r="D22" s="12">
        <v>17.7</v>
      </c>
      <c r="E22" s="17" t="s">
        <v>33</v>
      </c>
      <c r="F22" s="53">
        <v>0.6</v>
      </c>
      <c r="G22" s="18">
        <f t="shared" si="1"/>
        <v>22.596105083676406</v>
      </c>
      <c r="H22" s="140">
        <f>V22*(1+(Inputs!AH$8/Inputs!AH$7-1)*50%)</f>
        <v>7.2369856215727122</v>
      </c>
      <c r="I22" s="58">
        <f t="shared" si="2"/>
        <v>29.83309070524912</v>
      </c>
      <c r="J22" s="54"/>
      <c r="K22" s="58">
        <f t="shared" ref="K22" si="12">J22+I22</f>
        <v>29.83309070524912</v>
      </c>
      <c r="L22" s="54">
        <f t="shared" si="4"/>
        <v>0.17071794871794871</v>
      </c>
      <c r="M22" s="58">
        <f t="shared" ref="M22:M39" si="13">SUM(K22:L22)</f>
        <v>30.00380865396707</v>
      </c>
      <c r="O22" s="56">
        <v>19.5</v>
      </c>
      <c r="P22" s="34">
        <v>40</v>
      </c>
      <c r="Q22" s="40">
        <f t="shared" si="5"/>
        <v>0.17071794871794871</v>
      </c>
      <c r="V22" s="140">
        <v>7.2369856215727122</v>
      </c>
    </row>
    <row r="23" spans="1:22" x14ac:dyDescent="0.35">
      <c r="A23" s="184" t="str">
        <f t="shared" si="0"/>
        <v>17.7Clear</v>
      </c>
      <c r="B23" s="34" t="str">
        <f t="shared" si="11"/>
        <v>17.7Clear0.15</v>
      </c>
      <c r="C23" s="188"/>
      <c r="D23" s="12">
        <v>17.7</v>
      </c>
      <c r="E23" s="17" t="s">
        <v>33</v>
      </c>
      <c r="F23" s="53">
        <v>0.15</v>
      </c>
      <c r="G23" s="18">
        <f t="shared" ref="G23" si="14">+($E$13/1000*(1-F23)+$E$14/1000*F23)*D23*(1+0.5%)</f>
        <v>19.637457958419098</v>
      </c>
      <c r="H23" s="140">
        <f>V23*(1+(Inputs!AH$8/Inputs!AH$7-1)*50%)</f>
        <v>7.2369856215727122</v>
      </c>
      <c r="I23" s="58">
        <f t="shared" si="2"/>
        <v>26.874443579991812</v>
      </c>
      <c r="J23" s="54"/>
      <c r="K23" s="58">
        <f t="shared" ref="K23" si="15">J23+I23</f>
        <v>26.874443579991812</v>
      </c>
      <c r="L23" s="54">
        <f t="shared" si="4"/>
        <v>0.17071794871794871</v>
      </c>
      <c r="M23" s="58">
        <f t="shared" si="13"/>
        <v>27.045161528709762</v>
      </c>
      <c r="O23" s="56">
        <v>19.5</v>
      </c>
      <c r="P23" s="34">
        <v>40</v>
      </c>
      <c r="Q23" s="40">
        <f t="shared" si="5"/>
        <v>0.17071794871794871</v>
      </c>
      <c r="V23" s="140">
        <v>7.2369856215727122</v>
      </c>
    </row>
    <row r="24" spans="1:22" ht="15" customHeight="1" x14ac:dyDescent="0.35">
      <c r="A24" s="184" t="str">
        <f t="shared" si="0"/>
        <v>19.7Clear</v>
      </c>
      <c r="B24" s="34" t="str">
        <f t="shared" si="11"/>
        <v>19.7Clear0.25</v>
      </c>
      <c r="C24" s="195" t="s">
        <v>34</v>
      </c>
      <c r="D24" s="12">
        <v>19.7</v>
      </c>
      <c r="E24" s="17" t="s">
        <v>33</v>
      </c>
      <c r="F24" s="53">
        <v>0.25</v>
      </c>
      <c r="G24" s="18">
        <f t="shared" si="1"/>
        <v>22.588148102717167</v>
      </c>
      <c r="H24" s="140">
        <f>V24*(1+(Inputs!AH$8/Inputs!AH$7-1)*50%)</f>
        <v>7.2369856215727122</v>
      </c>
      <c r="I24" s="58">
        <f t="shared" si="2"/>
        <v>29.825133724289877</v>
      </c>
      <c r="J24" s="51">
        <v>0.4886237218402556</v>
      </c>
      <c r="K24" s="58">
        <f>J24+I24</f>
        <v>30.313757446130133</v>
      </c>
      <c r="L24" s="54">
        <f t="shared" si="4"/>
        <v>0.17071794871794871</v>
      </c>
      <c r="M24" s="58">
        <f t="shared" si="13"/>
        <v>30.484475394848083</v>
      </c>
      <c r="O24" s="56">
        <v>19.5</v>
      </c>
      <c r="P24" s="34">
        <v>40</v>
      </c>
      <c r="Q24" s="40">
        <f t="shared" si="5"/>
        <v>0.17071794871794871</v>
      </c>
      <c r="V24" s="140">
        <v>7.2369856215727122</v>
      </c>
    </row>
    <row r="25" spans="1:22" ht="15" customHeight="1" x14ac:dyDescent="0.35">
      <c r="A25" s="184" t="str">
        <f t="shared" ref="A25" si="16">D25&amp;E25</f>
        <v>19.7Clear</v>
      </c>
      <c r="B25" s="34" t="str">
        <f t="shared" ref="B25" si="17">D25&amp;E25&amp;F25</f>
        <v>19.7Clear0.15</v>
      </c>
      <c r="C25" s="196"/>
      <c r="D25" s="12">
        <v>19.7</v>
      </c>
      <c r="E25" s="17" t="s">
        <v>33</v>
      </c>
      <c r="F25" s="53">
        <v>0.15</v>
      </c>
      <c r="G25" s="18">
        <f t="shared" ref="G25" si="18">+($E$13/1000*(1-F25)+$E$14/1000*F25)*D25*(1+0.5%)</f>
        <v>21.856379761630297</v>
      </c>
      <c r="H25" s="140">
        <f>V25*(1+(Inputs!AH$8/Inputs!AH$7-1)*50%)</f>
        <v>7.2369856215727122</v>
      </c>
      <c r="I25" s="58">
        <f t="shared" ref="I25" si="19">+H25+G25</f>
        <v>29.093365383203007</v>
      </c>
      <c r="J25" s="51">
        <v>0.4886237218402556</v>
      </c>
      <c r="K25" s="58">
        <f>J25+I25</f>
        <v>29.581989105043263</v>
      </c>
      <c r="L25" s="54">
        <f t="shared" ref="L25" si="20">Q25</f>
        <v>0.17071794871794871</v>
      </c>
      <c r="M25" s="58">
        <f t="shared" ref="M25" si="21">SUM(K25:L25)</f>
        <v>29.752707053761213</v>
      </c>
      <c r="O25" s="56">
        <v>19.5</v>
      </c>
      <c r="P25" s="34">
        <v>40</v>
      </c>
      <c r="Q25" s="40">
        <f t="shared" ref="Q25" si="22">$Q$17/(O25*P25)</f>
        <v>0.17071794871794871</v>
      </c>
      <c r="V25" s="140">
        <v>7.2369856215727122</v>
      </c>
    </row>
    <row r="26" spans="1:22" x14ac:dyDescent="0.35">
      <c r="A26" s="184" t="str">
        <f t="shared" si="0"/>
        <v>19.7Clear</v>
      </c>
      <c r="B26" s="34" t="str">
        <f t="shared" si="11"/>
        <v>19.7Clear0.5</v>
      </c>
      <c r="C26" s="196"/>
      <c r="D26" s="12">
        <v>19.7</v>
      </c>
      <c r="E26" s="17" t="s">
        <v>33</v>
      </c>
      <c r="F26" s="53">
        <v>0.5</v>
      </c>
      <c r="G26" s="18">
        <f t="shared" si="1"/>
        <v>24.41756895543433</v>
      </c>
      <c r="H26" s="140">
        <f>V26*(1+(Inputs!AH$8/Inputs!AH$7-1)*50%)</f>
        <v>7.2369856215727122</v>
      </c>
      <c r="I26" s="58">
        <f t="shared" si="2"/>
        <v>31.65455457700704</v>
      </c>
      <c r="J26" s="51">
        <v>0.4886237218402556</v>
      </c>
      <c r="K26" s="58">
        <f>J26+I26</f>
        <v>32.143178298847296</v>
      </c>
      <c r="L26" s="54">
        <f t="shared" si="4"/>
        <v>0.17071794871794871</v>
      </c>
      <c r="M26" s="58">
        <f t="shared" si="13"/>
        <v>32.313896247565246</v>
      </c>
      <c r="O26" s="56">
        <v>19.5</v>
      </c>
      <c r="P26" s="34">
        <v>40</v>
      </c>
      <c r="Q26" s="40">
        <f t="shared" si="5"/>
        <v>0.17071794871794871</v>
      </c>
      <c r="V26" s="140">
        <v>7.2369856215727122</v>
      </c>
    </row>
    <row r="27" spans="1:22" x14ac:dyDescent="0.35">
      <c r="A27" s="184" t="str">
        <f t="shared" si="0"/>
        <v>19.7Clear</v>
      </c>
      <c r="B27" s="34" t="str">
        <f t="shared" si="11"/>
        <v>19.7Clear0.6</v>
      </c>
      <c r="C27" s="196"/>
      <c r="D27" s="12">
        <v>19.7</v>
      </c>
      <c r="E27" s="17" t="s">
        <v>33</v>
      </c>
      <c r="F27" s="53">
        <v>0.6</v>
      </c>
      <c r="G27" s="18">
        <f t="shared" ref="G27" si="23">+($E$13/1000*(1-F27)+$E$14/1000*F27)*D27*(1+0.5%)</f>
        <v>25.1493372965212</v>
      </c>
      <c r="H27" s="140">
        <f>V27*(1+(Inputs!AH$8/Inputs!AH$7-1)*50%)</f>
        <v>7.2369856215727122</v>
      </c>
      <c r="I27" s="58">
        <f t="shared" si="2"/>
        <v>32.38632291809391</v>
      </c>
      <c r="J27" s="51">
        <v>0.4886237218402556</v>
      </c>
      <c r="K27" s="58">
        <f>J27+I27</f>
        <v>32.874946639934166</v>
      </c>
      <c r="L27" s="54">
        <f t="shared" si="4"/>
        <v>0.17071794871794871</v>
      </c>
      <c r="M27" s="58">
        <f t="shared" si="13"/>
        <v>33.045664588652116</v>
      </c>
      <c r="O27" s="56">
        <v>19.5</v>
      </c>
      <c r="P27" s="34">
        <v>40</v>
      </c>
      <c r="Q27" s="40">
        <f t="shared" si="5"/>
        <v>0.17071794871794871</v>
      </c>
      <c r="V27" s="140">
        <v>7.2369856215727122</v>
      </c>
    </row>
    <row r="28" spans="1:22" x14ac:dyDescent="0.35">
      <c r="A28" s="184" t="str">
        <f t="shared" si="0"/>
        <v>19.7Brown</v>
      </c>
      <c r="B28" s="34" t="str">
        <f t="shared" si="11"/>
        <v>19.7Brown0.5</v>
      </c>
      <c r="C28" s="196"/>
      <c r="D28" s="12">
        <v>19.7</v>
      </c>
      <c r="E28" s="17" t="s">
        <v>35</v>
      </c>
      <c r="F28" s="53">
        <v>0.5</v>
      </c>
      <c r="G28" s="18">
        <f t="shared" si="1"/>
        <v>24.41756895543433</v>
      </c>
      <c r="H28" s="140">
        <f>V28*(1+(Inputs!AH$8/Inputs!AH$7-1)*50%)</f>
        <v>8.8522419006681883</v>
      </c>
      <c r="I28" s="58">
        <f t="shared" ref="I28:I34" si="24">+H28+G28</f>
        <v>33.269810856102517</v>
      </c>
      <c r="J28" s="51"/>
      <c r="K28" s="58">
        <f t="shared" ref="K28:K34" si="25">J28+I28</f>
        <v>33.269810856102517</v>
      </c>
      <c r="L28" s="54">
        <f t="shared" si="4"/>
        <v>0.17071794871794871</v>
      </c>
      <c r="M28" s="58">
        <f t="shared" si="13"/>
        <v>33.440528804820467</v>
      </c>
      <c r="O28" s="56">
        <v>19.5</v>
      </c>
      <c r="P28" s="34">
        <v>40</v>
      </c>
      <c r="Q28" s="40">
        <f t="shared" si="5"/>
        <v>0.17071794871794871</v>
      </c>
      <c r="V28" s="140">
        <v>8.8522419006681883</v>
      </c>
    </row>
    <row r="29" spans="1:22" x14ac:dyDescent="0.35">
      <c r="A29" s="184" t="str">
        <f t="shared" si="0"/>
        <v>19.7Brown</v>
      </c>
      <c r="B29" s="34" t="str">
        <f t="shared" si="11"/>
        <v>19.7Brown0.6</v>
      </c>
      <c r="C29" s="196"/>
      <c r="D29" s="12">
        <v>19.7</v>
      </c>
      <c r="E29" s="17" t="s">
        <v>35</v>
      </c>
      <c r="F29" s="53">
        <v>0.6</v>
      </c>
      <c r="G29" s="18">
        <f t="shared" si="1"/>
        <v>25.1493372965212</v>
      </c>
      <c r="H29" s="140">
        <f>V29*(1+(Inputs!AH$8/Inputs!AH$7-1)*50%)</f>
        <v>8.8522419006681883</v>
      </c>
      <c r="I29" s="58">
        <f t="shared" si="24"/>
        <v>34.001579197189386</v>
      </c>
      <c r="J29" s="51"/>
      <c r="K29" s="58">
        <f t="shared" si="25"/>
        <v>34.001579197189386</v>
      </c>
      <c r="L29" s="54">
        <f t="shared" si="4"/>
        <v>0.17071794871794871</v>
      </c>
      <c r="M29" s="58">
        <f t="shared" si="13"/>
        <v>34.172297145907336</v>
      </c>
      <c r="O29" s="56">
        <v>19.5</v>
      </c>
      <c r="P29" s="34">
        <v>40</v>
      </c>
      <c r="Q29" s="40">
        <f t="shared" si="5"/>
        <v>0.17071794871794871</v>
      </c>
      <c r="V29" s="140">
        <v>8.8522419006681883</v>
      </c>
    </row>
    <row r="30" spans="1:22" x14ac:dyDescent="0.35">
      <c r="A30" s="184" t="str">
        <f t="shared" si="0"/>
        <v>19.7Brown</v>
      </c>
      <c r="B30" s="34" t="str">
        <f t="shared" si="11"/>
        <v>19.7Brown1</v>
      </c>
      <c r="C30" s="197"/>
      <c r="D30" s="12">
        <v>19.7</v>
      </c>
      <c r="E30" s="17" t="s">
        <v>35</v>
      </c>
      <c r="F30" s="53">
        <v>1</v>
      </c>
      <c r="G30" s="18">
        <f t="shared" ref="G30" si="26">+($E$13/1000*(1-F30)+$E$14/1000*F30)*D30*(1+0.5%)</f>
        <v>28.076410660868664</v>
      </c>
      <c r="H30" s="140">
        <f>V30*(1+(Inputs!AH$8/Inputs!AH$7-1)*50%)</f>
        <v>8.8522419006681883</v>
      </c>
      <c r="I30" s="58">
        <f t="shared" ref="I30" si="27">+H30+G30</f>
        <v>36.92865256153685</v>
      </c>
      <c r="J30" s="51"/>
      <c r="K30" s="58">
        <f t="shared" ref="K30" si="28">J30+I30</f>
        <v>36.92865256153685</v>
      </c>
      <c r="L30" s="54">
        <f t="shared" si="4"/>
        <v>0.17071794871794871</v>
      </c>
      <c r="M30" s="58">
        <f t="shared" si="13"/>
        <v>37.099370510254801</v>
      </c>
      <c r="O30" s="56">
        <v>19.5</v>
      </c>
      <c r="P30" s="34">
        <v>40</v>
      </c>
      <c r="Q30" s="40">
        <f t="shared" si="5"/>
        <v>0.17071794871794871</v>
      </c>
      <c r="V30" s="140">
        <v>8.8522419006681883</v>
      </c>
    </row>
    <row r="31" spans="1:22" x14ac:dyDescent="0.35">
      <c r="A31" s="184" t="str">
        <f t="shared" si="0"/>
        <v>33.7Clear</v>
      </c>
      <c r="B31" s="34" t="str">
        <f t="shared" si="11"/>
        <v>33.7Clear0.25</v>
      </c>
      <c r="C31" s="12">
        <v>1000</v>
      </c>
      <c r="D31" s="12">
        <v>33.700000000000003</v>
      </c>
      <c r="E31" s="17" t="s">
        <v>33</v>
      </c>
      <c r="F31" s="53">
        <v>0.25</v>
      </c>
      <c r="G31" s="18">
        <f t="shared" si="1"/>
        <v>38.640639140181143</v>
      </c>
      <c r="H31" s="140">
        <f>V31*(1+(Inputs!AH$8/Inputs!AH$7-1)*50%)</f>
        <v>10.551240217498677</v>
      </c>
      <c r="I31" s="58">
        <f t="shared" si="24"/>
        <v>49.191879357679824</v>
      </c>
      <c r="J31" s="51"/>
      <c r="K31" s="58">
        <f t="shared" si="25"/>
        <v>49.191879357679824</v>
      </c>
      <c r="L31" s="54">
        <f t="shared" si="4"/>
        <v>0.28947826086956518</v>
      </c>
      <c r="M31" s="58">
        <f t="shared" si="13"/>
        <v>49.481357618549389</v>
      </c>
      <c r="O31" s="56">
        <v>11.5</v>
      </c>
      <c r="P31" s="34">
        <v>40</v>
      </c>
      <c r="Q31" s="40">
        <f t="shared" si="5"/>
        <v>0.28947826086956518</v>
      </c>
      <c r="V31" s="140">
        <v>10.551240217498677</v>
      </c>
    </row>
    <row r="32" spans="1:22" x14ac:dyDescent="0.35">
      <c r="A32" s="184" t="str">
        <f t="shared" ref="A32:A33" si="29">D32&amp;E32</f>
        <v>33.7Clear</v>
      </c>
      <c r="B32" s="34" t="str">
        <f t="shared" ref="B32:B33" si="30">D32&amp;E32&amp;F32</f>
        <v>33.7Clear0.15</v>
      </c>
      <c r="C32" s="12">
        <v>1000</v>
      </c>
      <c r="D32" s="12">
        <v>33.700000000000003</v>
      </c>
      <c r="E32" s="17" t="s">
        <v>33</v>
      </c>
      <c r="F32" s="53">
        <v>0.15</v>
      </c>
      <c r="G32" s="18">
        <f t="shared" ref="G32:G33" si="31">+($E$13/1000*(1-F32)+$E$14/1000*F32)*D32*(1+0.5%)</f>
        <v>37.388832384108682</v>
      </c>
      <c r="H32" s="140">
        <f>V32*(1+(Inputs!AH$8/Inputs!AH$7-1)*50%)</f>
        <v>10.551240217498677</v>
      </c>
      <c r="I32" s="58">
        <f t="shared" ref="I32:I33" si="32">+H32+G32</f>
        <v>47.940072601607355</v>
      </c>
      <c r="J32" s="51"/>
      <c r="K32" s="58">
        <f t="shared" ref="K32:K33" si="33">J32+I32</f>
        <v>47.940072601607355</v>
      </c>
      <c r="L32" s="54">
        <f t="shared" ref="L32:L33" si="34">Q32</f>
        <v>0.28947826086956518</v>
      </c>
      <c r="M32" s="58">
        <f t="shared" ref="M32:M33" si="35">SUM(K32:L32)</f>
        <v>48.22955086247692</v>
      </c>
      <c r="O32" s="56">
        <v>11.5</v>
      </c>
      <c r="P32" s="34">
        <v>40</v>
      </c>
      <c r="Q32" s="40">
        <f t="shared" ref="Q32:Q33" si="36">$Q$17/(O32*P32)</f>
        <v>0.28947826086956518</v>
      </c>
      <c r="V32" s="140">
        <v>10.551240217498677</v>
      </c>
    </row>
    <row r="33" spans="1:22" x14ac:dyDescent="0.35">
      <c r="A33" s="184" t="str">
        <f t="shared" si="29"/>
        <v>45.7Clear</v>
      </c>
      <c r="B33" s="34" t="str">
        <f t="shared" si="30"/>
        <v>45.7Clear0.15</v>
      </c>
      <c r="C33" s="187">
        <v>2000</v>
      </c>
      <c r="D33" s="12">
        <v>45.7</v>
      </c>
      <c r="E33" s="17" t="s">
        <v>33</v>
      </c>
      <c r="F33" s="53">
        <v>0.15</v>
      </c>
      <c r="G33" s="18">
        <f t="shared" si="31"/>
        <v>50.702363203375867</v>
      </c>
      <c r="H33" s="140">
        <f>V33*(1+(Inputs!AH$8/Inputs!AH$7-1)*50%)</f>
        <v>14.668165848375462</v>
      </c>
      <c r="I33" s="58">
        <f t="shared" si="32"/>
        <v>65.370529051751333</v>
      </c>
      <c r="J33" s="51"/>
      <c r="K33" s="58">
        <f t="shared" si="33"/>
        <v>65.370529051751333</v>
      </c>
      <c r="L33" s="54">
        <f t="shared" si="34"/>
        <v>0.39630952380952378</v>
      </c>
      <c r="M33" s="58">
        <f t="shared" si="35"/>
        <v>65.766838575560854</v>
      </c>
      <c r="O33" s="56">
        <v>8.4</v>
      </c>
      <c r="P33" s="34">
        <v>40</v>
      </c>
      <c r="Q33" s="40">
        <f t="shared" si="36"/>
        <v>0.39630952380952378</v>
      </c>
      <c r="V33" s="140">
        <v>14.668165848375462</v>
      </c>
    </row>
    <row r="34" spans="1:22" x14ac:dyDescent="0.35">
      <c r="A34" s="184" t="str">
        <f t="shared" si="0"/>
        <v>45.7Clear</v>
      </c>
      <c r="B34" s="34" t="str">
        <f t="shared" si="11"/>
        <v>45.7Clear0.25</v>
      </c>
      <c r="C34" s="194"/>
      <c r="D34" s="12">
        <v>45.7</v>
      </c>
      <c r="E34" s="17" t="s">
        <v>33</v>
      </c>
      <c r="F34" s="53">
        <v>0.25</v>
      </c>
      <c r="G34" s="18">
        <f t="shared" si="1"/>
        <v>52.399917172293122</v>
      </c>
      <c r="H34" s="140">
        <f>V34*(1+(Inputs!AH$8/Inputs!AH$7-1)*50%)</f>
        <v>14.668165848375462</v>
      </c>
      <c r="I34" s="58">
        <f t="shared" si="24"/>
        <v>67.068083020668581</v>
      </c>
      <c r="J34" s="51"/>
      <c r="K34" s="58">
        <f t="shared" si="25"/>
        <v>67.068083020668581</v>
      </c>
      <c r="L34" s="54">
        <f t="shared" si="4"/>
        <v>0.39630952380952378</v>
      </c>
      <c r="M34" s="58">
        <f t="shared" si="13"/>
        <v>67.464392544478102</v>
      </c>
      <c r="O34" s="56">
        <v>8.4</v>
      </c>
      <c r="P34" s="34">
        <v>40</v>
      </c>
      <c r="Q34" s="40">
        <f t="shared" si="5"/>
        <v>0.39630952380952378</v>
      </c>
      <c r="V34" s="140">
        <v>14.668165848375462</v>
      </c>
    </row>
    <row r="35" spans="1:22" x14ac:dyDescent="0.35">
      <c r="A35" s="184" t="str">
        <f t="shared" si="0"/>
        <v>45.7Clear</v>
      </c>
      <c r="B35" s="34" t="str">
        <f t="shared" si="11"/>
        <v>45.7Clear0.5</v>
      </c>
      <c r="C35" s="188"/>
      <c r="D35" s="12">
        <v>45.7</v>
      </c>
      <c r="E35" s="17" t="s">
        <v>33</v>
      </c>
      <c r="F35" s="53">
        <v>0.5</v>
      </c>
      <c r="G35" s="18">
        <f t="shared" ref="G35:G37" si="37">+($E$13/1000*(1-F35)+$E$14/1000*F35)*D35*(1+0.5%)</f>
        <v>56.643802094586242</v>
      </c>
      <c r="H35" s="140">
        <f>V35*(1+(Inputs!AH$8/Inputs!AH$7-1)*50%)</f>
        <v>14.668165848375462</v>
      </c>
      <c r="I35" s="58">
        <f t="shared" ref="I35:I39" si="38">+H35+G35</f>
        <v>71.311967942961701</v>
      </c>
      <c r="J35" s="51"/>
      <c r="K35" s="58">
        <f t="shared" ref="K35:K39" si="39">J35+I35</f>
        <v>71.311967942961701</v>
      </c>
      <c r="L35" s="54">
        <f t="shared" si="4"/>
        <v>0.39630952380952378</v>
      </c>
      <c r="M35" s="58">
        <f t="shared" si="13"/>
        <v>71.708277466771221</v>
      </c>
      <c r="O35" s="56">
        <v>8.4</v>
      </c>
      <c r="P35" s="34">
        <v>40</v>
      </c>
      <c r="Q35" s="40">
        <f t="shared" si="5"/>
        <v>0.39630952380952378</v>
      </c>
      <c r="V35" s="140">
        <v>14.668165848375462</v>
      </c>
    </row>
    <row r="36" spans="1:22" x14ac:dyDescent="0.35">
      <c r="A36" s="184" t="str">
        <f t="shared" ref="A36" si="40">D36&amp;E36</f>
        <v>51.2Clear</v>
      </c>
      <c r="B36" s="34" t="str">
        <f t="shared" ref="B36" si="41">D36&amp;E36&amp;F36</f>
        <v>51.2Clear0.15</v>
      </c>
      <c r="C36" s="187">
        <v>3000</v>
      </c>
      <c r="D36" s="12">
        <v>51.2</v>
      </c>
      <c r="E36" s="17" t="s">
        <v>33</v>
      </c>
      <c r="F36" s="53">
        <v>0.15</v>
      </c>
      <c r="G36" s="18">
        <f t="shared" ref="G36" si="42">+($E$13/1000*(1-F36)+$E$14/1000*F36)*D36*(1+0.5%)</f>
        <v>56.80439816220666</v>
      </c>
      <c r="H36" s="140">
        <f>V36*(1+(Inputs!AH$8/Inputs!AH$7-1)*50%)</f>
        <v>12.25</v>
      </c>
      <c r="I36" s="58">
        <f t="shared" ref="I36" si="43">+H36+G36</f>
        <v>69.054398162206667</v>
      </c>
      <c r="J36" s="51"/>
      <c r="K36" s="58">
        <f t="shared" ref="K36" si="44">J36+I36</f>
        <v>69.054398162206667</v>
      </c>
      <c r="L36" s="54">
        <f t="shared" ref="L36" si="45">Q36</f>
        <v>0.44986486486486488</v>
      </c>
      <c r="M36" s="58">
        <f t="shared" ref="M36" si="46">SUM(K36:L36)</f>
        <v>69.504263027071531</v>
      </c>
      <c r="O36" s="56">
        <v>7.4</v>
      </c>
      <c r="P36" s="34">
        <v>40</v>
      </c>
      <c r="Q36" s="40">
        <f t="shared" ref="Q36" si="47">$Q$17/(O36*P36)</f>
        <v>0.44986486486486488</v>
      </c>
      <c r="V36" s="174">
        <v>12.25</v>
      </c>
    </row>
    <row r="37" spans="1:22" x14ac:dyDescent="0.35">
      <c r="A37" s="184" t="str">
        <f t="shared" si="0"/>
        <v>51.2Clear</v>
      </c>
      <c r="B37" s="34" t="str">
        <f t="shared" si="11"/>
        <v>51.2Clear0.25</v>
      </c>
      <c r="C37" s="194"/>
      <c r="D37" s="12">
        <v>51.2</v>
      </c>
      <c r="E37" s="17" t="s">
        <v>33</v>
      </c>
      <c r="F37" s="53">
        <v>0.25</v>
      </c>
      <c r="G37" s="18">
        <f t="shared" si="37"/>
        <v>58.706252937011115</v>
      </c>
      <c r="H37" s="140">
        <f>V37*(1+(Inputs!AH$8/Inputs!AH$7-1)*50%)</f>
        <v>12.25</v>
      </c>
      <c r="I37" s="58">
        <f t="shared" si="38"/>
        <v>70.956252937011115</v>
      </c>
      <c r="J37" s="51"/>
      <c r="K37" s="58">
        <f t="shared" si="39"/>
        <v>70.956252937011115</v>
      </c>
      <c r="L37" s="54">
        <f t="shared" si="4"/>
        <v>0.44986486486486488</v>
      </c>
      <c r="M37" s="58">
        <f t="shared" si="13"/>
        <v>71.406117801875979</v>
      </c>
      <c r="O37" s="56">
        <v>7.4</v>
      </c>
      <c r="P37" s="34">
        <v>40</v>
      </c>
      <c r="Q37" s="40">
        <f t="shared" si="5"/>
        <v>0.44986486486486488</v>
      </c>
      <c r="V37" s="174">
        <v>12.25</v>
      </c>
    </row>
    <row r="38" spans="1:22" x14ac:dyDescent="0.35">
      <c r="A38" s="184" t="str">
        <f t="shared" ref="A38" si="48">D38&amp;E38</f>
        <v>54.7Clear</v>
      </c>
      <c r="B38" s="34" t="str">
        <f t="shared" ref="B38" si="49">D38&amp;E38&amp;F38</f>
        <v>54.7Clear0.15</v>
      </c>
      <c r="C38" s="194"/>
      <c r="D38" s="12">
        <v>54.7</v>
      </c>
      <c r="E38" s="17" t="s">
        <v>33</v>
      </c>
      <c r="F38" s="53">
        <v>0.15</v>
      </c>
      <c r="G38" s="18">
        <f t="shared" ref="G38" si="50">+($E$13/1000*(1-F38)+$E$14/1000*F38)*D38*(1+0.5%)</f>
        <v>60.687511317826264</v>
      </c>
      <c r="H38" s="140">
        <f>V38*(1+(Inputs!AH$8/Inputs!AH$7-1)*50%)</f>
        <v>13</v>
      </c>
      <c r="I38" s="58">
        <f t="shared" ref="I38" si="51">+H38+G38</f>
        <v>73.687511317826264</v>
      </c>
      <c r="J38" s="51"/>
      <c r="K38" s="58">
        <f t="shared" ref="K38" si="52">J38+I38</f>
        <v>73.687511317826264</v>
      </c>
      <c r="L38" s="54">
        <f t="shared" ref="L38" si="53">Q38</f>
        <v>0.44986486486486488</v>
      </c>
      <c r="M38" s="58">
        <f t="shared" ref="M38" si="54">SUM(K38:L38)</f>
        <v>74.137376182691128</v>
      </c>
      <c r="O38" s="56">
        <v>7.4</v>
      </c>
      <c r="P38" s="34">
        <v>40</v>
      </c>
      <c r="Q38" s="40">
        <f t="shared" ref="Q38" si="55">$Q$17/(O38*P38)</f>
        <v>0.44986486486486488</v>
      </c>
      <c r="V38" s="174">
        <v>13</v>
      </c>
    </row>
    <row r="39" spans="1:22" x14ac:dyDescent="0.35">
      <c r="A39" s="184" t="str">
        <f t="shared" si="0"/>
        <v>54.7Clear</v>
      </c>
      <c r="B39" s="34" t="str">
        <f t="shared" si="11"/>
        <v>54.7Clear0.25</v>
      </c>
      <c r="C39" s="188"/>
      <c r="D39" s="12">
        <v>54.7</v>
      </c>
      <c r="E39" s="17" t="s">
        <v>33</v>
      </c>
      <c r="F39" s="53">
        <v>0.25</v>
      </c>
      <c r="G39" s="18">
        <f>+($E$13/1000*(1-F39)+$E$14/1000*F39)*D39*(1+0.5%)</f>
        <v>62.719375696377107</v>
      </c>
      <c r="H39" s="140">
        <f>V39*(1+(Inputs!AH$8/Inputs!AH$7-1)*50%)</f>
        <v>13</v>
      </c>
      <c r="I39" s="58">
        <f t="shared" si="38"/>
        <v>75.719375696377114</v>
      </c>
      <c r="J39" s="51"/>
      <c r="K39" s="58">
        <f t="shared" si="39"/>
        <v>75.719375696377114</v>
      </c>
      <c r="L39" s="54">
        <f t="shared" si="4"/>
        <v>0.44986486486486488</v>
      </c>
      <c r="M39" s="58">
        <f t="shared" si="13"/>
        <v>76.169240561241978</v>
      </c>
      <c r="O39" s="56">
        <v>7.4</v>
      </c>
      <c r="P39" s="34">
        <v>40</v>
      </c>
      <c r="Q39" s="40">
        <f t="shared" si="5"/>
        <v>0.44986486486486488</v>
      </c>
      <c r="V39" s="174">
        <v>13</v>
      </c>
    </row>
  </sheetData>
  <mergeCells count="7">
    <mergeCell ref="C33:C35"/>
    <mergeCell ref="C36:C39"/>
    <mergeCell ref="C12:D12"/>
    <mergeCell ref="C13:D13"/>
    <mergeCell ref="C14:D14"/>
    <mergeCell ref="C24:C30"/>
    <mergeCell ref="C20:C23"/>
  </mergeCells>
  <dataValidations disablePrompts="1" count="1">
    <dataValidation type="list" allowBlank="1" showInputMessage="1" showErrorMessage="1" sqref="D6" xr:uid="{0B50A91B-639C-4463-BB87-2845870C0882}">
      <formula1>"Perú, Colombia, Ecuador, México, Costa Rica, Panamá, Argentina, Chile, Costa Rica, Guatemala"</formula1>
    </dataValidation>
  </dataValidations>
  <pageMargins left="0.7" right="0.7" top="0.75" bottom="0.75" header="0.3" footer="0.3"/>
  <pageSetup paperSize="9" scale="69" orientation="portrait" r:id="rId1"/>
  <customProperties>
    <customPr name="IbpWorksheetKeyString_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A30"/>
  <sheetViews>
    <sheetView showGridLines="0" topLeftCell="A17" zoomScale="80" zoomScaleNormal="80" zoomScaleSheetLayoutView="100" workbookViewId="0">
      <selection activeCell="A3" sqref="A3"/>
    </sheetView>
  </sheetViews>
  <sheetFormatPr defaultColWidth="11.453125" defaultRowHeight="14.5" x14ac:dyDescent="0.35"/>
  <cols>
    <col min="1" max="1" width="10" style="2" bestFit="1" customWidth="1"/>
    <col min="2" max="2" width="13.453125" style="2" customWidth="1"/>
    <col min="3" max="3" width="15.453125" style="2" customWidth="1"/>
    <col min="4" max="5" width="13.453125" style="2" customWidth="1"/>
    <col min="6" max="6" width="11.54296875" style="2" customWidth="1"/>
    <col min="7" max="8" width="13.453125" style="2" customWidth="1"/>
    <col min="9" max="9" width="11.54296875" style="2" customWidth="1"/>
    <col min="10" max="10" width="16.453125" style="2" customWidth="1"/>
    <col min="11" max="11" width="14.54296875" style="2" customWidth="1"/>
    <col min="12" max="12" width="12.453125" style="2" customWidth="1"/>
    <col min="13" max="13" width="11.453125" style="2"/>
    <col min="14" max="14" width="7.54296875" style="2" customWidth="1"/>
    <col min="15" max="17" width="11.453125" style="2" customWidth="1"/>
    <col min="18" max="24" width="11.453125" style="2"/>
    <col min="25" max="25" width="13.1796875" style="2" customWidth="1"/>
    <col min="26" max="26" width="11.453125" style="2"/>
    <col min="27" max="27" width="13" style="2" customWidth="1"/>
    <col min="28" max="16384" width="11.453125" style="2"/>
  </cols>
  <sheetData>
    <row r="1" spans="3:18" x14ac:dyDescent="0.35">
      <c r="G1" s="2" t="s">
        <v>0</v>
      </c>
      <c r="H1" s="2" t="s">
        <v>1</v>
      </c>
      <c r="I1" s="2" t="s">
        <v>37</v>
      </c>
      <c r="J1" s="2" t="s">
        <v>38</v>
      </c>
      <c r="M1" s="2" t="s">
        <v>2</v>
      </c>
    </row>
    <row r="5" spans="3:18" x14ac:dyDescent="0.35">
      <c r="C5" s="27" t="s">
        <v>3</v>
      </c>
      <c r="D5" s="28" t="s">
        <v>4</v>
      </c>
    </row>
    <row r="6" spans="3:18" x14ac:dyDescent="0.35">
      <c r="C6" s="29" t="s">
        <v>5</v>
      </c>
      <c r="D6" s="30" t="s">
        <v>6</v>
      </c>
    </row>
    <row r="7" spans="3:18" x14ac:dyDescent="0.35">
      <c r="C7" s="27" t="s">
        <v>7</v>
      </c>
      <c r="D7" s="31" t="str">
        <f>'Ate Preformas'!D7</f>
        <v>Abril 26</v>
      </c>
    </row>
    <row r="8" spans="3:18" x14ac:dyDescent="0.35">
      <c r="C8" s="27" t="s">
        <v>8</v>
      </c>
      <c r="D8" s="32" t="s">
        <v>9</v>
      </c>
    </row>
    <row r="10" spans="3:18" x14ac:dyDescent="0.35">
      <c r="C10" s="198" t="s">
        <v>39</v>
      </c>
      <c r="D10" s="198"/>
      <c r="E10" s="198"/>
      <c r="F10" s="198"/>
      <c r="G10" s="198"/>
      <c r="H10" s="198"/>
      <c r="I10" s="198"/>
      <c r="J10" s="198"/>
    </row>
    <row r="11" spans="3:18" x14ac:dyDescent="0.35">
      <c r="C11" s="199"/>
      <c r="D11" s="199"/>
      <c r="E11" s="199"/>
      <c r="F11" s="199"/>
      <c r="G11" s="199"/>
      <c r="H11" s="199"/>
      <c r="I11" s="199"/>
      <c r="J11" s="199"/>
    </row>
    <row r="12" spans="3:18" x14ac:dyDescent="0.35">
      <c r="C12" s="11"/>
      <c r="D12" s="11"/>
      <c r="E12" s="11"/>
      <c r="F12" s="11"/>
      <c r="G12" s="11"/>
      <c r="H12" s="11"/>
      <c r="I12" s="11"/>
      <c r="J12" s="11"/>
    </row>
    <row r="13" spans="3:18" x14ac:dyDescent="0.35">
      <c r="C13" s="189" t="s">
        <v>11</v>
      </c>
      <c r="D13" s="189"/>
      <c r="E13" s="12" t="s">
        <v>12</v>
      </c>
    </row>
    <row r="14" spans="3:18" ht="15" x14ac:dyDescent="0.3">
      <c r="C14" s="190" t="s">
        <v>13</v>
      </c>
      <c r="D14" s="191"/>
      <c r="E14" s="33">
        <f>Inputs!H13</f>
        <v>1048.5</v>
      </c>
      <c r="J14" s="25"/>
    </row>
    <row r="15" spans="3:18" ht="15" x14ac:dyDescent="0.3">
      <c r="C15" s="192" t="s">
        <v>14</v>
      </c>
      <c r="D15" s="193"/>
      <c r="E15" s="33">
        <f>Inputs!P10</f>
        <v>1418.1079708497446</v>
      </c>
      <c r="J15" s="25"/>
    </row>
    <row r="16" spans="3:18" ht="15" x14ac:dyDescent="0.3">
      <c r="C16" s="9"/>
      <c r="I16" s="7"/>
      <c r="R16" s="20"/>
    </row>
    <row r="17" spans="1:27" ht="15.5" x14ac:dyDescent="0.35">
      <c r="E17" s="4"/>
      <c r="F17" s="4"/>
      <c r="G17" s="5"/>
      <c r="H17" s="6"/>
      <c r="I17" s="7"/>
      <c r="Q17" s="57" t="s">
        <v>16</v>
      </c>
      <c r="R17" s="40">
        <f>+Inputs!X9</f>
        <v>2076.16</v>
      </c>
    </row>
    <row r="18" spans="1:27" x14ac:dyDescent="0.35">
      <c r="W18" s="2" t="s">
        <v>17</v>
      </c>
      <c r="X18" s="2" t="s">
        <v>17</v>
      </c>
    </row>
    <row r="19" spans="1:27" ht="59.9" customHeight="1" x14ac:dyDescent="0.35">
      <c r="B19" s="44" t="s">
        <v>18</v>
      </c>
      <c r="C19" s="41" t="s">
        <v>19</v>
      </c>
      <c r="D19" s="41" t="s">
        <v>20</v>
      </c>
      <c r="E19" s="45" t="s">
        <v>21</v>
      </c>
      <c r="F19" s="41" t="s">
        <v>22</v>
      </c>
      <c r="G19" s="41" t="s">
        <v>40</v>
      </c>
      <c r="H19" s="45" t="s">
        <v>24</v>
      </c>
      <c r="I19" s="45" t="s">
        <v>41</v>
      </c>
      <c r="J19" s="45" t="s">
        <v>42</v>
      </c>
      <c r="K19" s="45" t="s">
        <v>43</v>
      </c>
      <c r="L19" s="42" t="s">
        <v>44</v>
      </c>
      <c r="M19" s="46" t="s">
        <v>26</v>
      </c>
      <c r="N19" s="42" t="s">
        <v>45</v>
      </c>
      <c r="P19" s="49" t="s">
        <v>30</v>
      </c>
      <c r="Q19" s="49" t="s">
        <v>31</v>
      </c>
      <c r="R19" s="50" t="s">
        <v>46</v>
      </c>
      <c r="W19" s="45" t="s">
        <v>24</v>
      </c>
      <c r="X19" s="45" t="s">
        <v>47</v>
      </c>
      <c r="Y19" s="45" t="s">
        <v>42</v>
      </c>
      <c r="AA19" s="45" t="s">
        <v>48</v>
      </c>
    </row>
    <row r="20" spans="1:27" ht="59.9" customHeight="1" x14ac:dyDescent="0.35">
      <c r="B20" s="34" t="str">
        <f>D20&amp;E20&amp;F20</f>
        <v>19.7Clear0.15</v>
      </c>
      <c r="C20" s="195" t="s">
        <v>34</v>
      </c>
      <c r="D20" s="12">
        <v>19.7</v>
      </c>
      <c r="E20" s="17" t="s">
        <v>33</v>
      </c>
      <c r="F20" s="164">
        <v>0.15</v>
      </c>
      <c r="G20" s="18">
        <f t="shared" ref="G20" si="0">+($E$14/1000*(1-F20)+$E$15/1000*F20)*D20*(1+0.5%)</f>
        <v>21.856379761630297</v>
      </c>
      <c r="H20" s="140">
        <f>W20*(1+(Inputs!$AH$8/Inputs!$AH$7-1)*50%)</f>
        <v>7.2369856215727122</v>
      </c>
      <c r="I20" s="18">
        <f t="shared" ref="I20" si="1">+R20</f>
        <v>1.4188642833146214</v>
      </c>
      <c r="J20" s="140">
        <f>Y20*(1+(Inputs!$AH$8/Inputs!$AH$7-1)*50%)</f>
        <v>8.6815098731556226</v>
      </c>
      <c r="K20" s="140">
        <f>VLOOKUP($C20,Inputs!$AN$14:$AQ$18,3,0)</f>
        <v>2.0124962373433268</v>
      </c>
      <c r="L20" s="18">
        <f>SUM(G20:K20)</f>
        <v>41.20623577701658</v>
      </c>
      <c r="M20" s="51">
        <v>0.4886237218402556</v>
      </c>
      <c r="N20" s="58">
        <f>M20+L20</f>
        <v>41.694859498856836</v>
      </c>
      <c r="P20" s="56">
        <f>VLOOKUP(D20,'Ate Preformas'!$D$20:$R$39,10,0)</f>
        <v>30.484475394848083</v>
      </c>
      <c r="Q20" s="34">
        <v>48</v>
      </c>
      <c r="R20" s="40">
        <f t="shared" ref="R20" si="2">$R$17/(P20*Q20)</f>
        <v>1.4188642833146214</v>
      </c>
      <c r="W20" s="165">
        <v>7.2369856215727122</v>
      </c>
      <c r="X20" s="165">
        <v>10.4663391548892</v>
      </c>
      <c r="Y20" s="142">
        <f>+X20-AA20</f>
        <v>8.6815098731556226</v>
      </c>
      <c r="AA20" s="140">
        <f>VLOOKUP($C20,Inputs!$AN$14:$AQ$18,2,0)</f>
        <v>1.7848292817335774</v>
      </c>
    </row>
    <row r="21" spans="1:27" ht="30" customHeight="1" x14ac:dyDescent="0.35">
      <c r="B21" s="34" t="str">
        <f>D21&amp;E21&amp;F21</f>
        <v>19.7Clear0.25</v>
      </c>
      <c r="C21" s="196"/>
      <c r="D21" s="12">
        <v>19.7</v>
      </c>
      <c r="E21" s="17" t="s">
        <v>33</v>
      </c>
      <c r="F21" s="164">
        <v>0.25</v>
      </c>
      <c r="G21" s="18">
        <f t="shared" ref="G21:G28" si="3">+($E$14/1000*(1-F21)+$E$15/1000*F21)*D21*(1+0.5%)</f>
        <v>22.588148102717167</v>
      </c>
      <c r="H21" s="140">
        <f>W21*(1+(Inputs!$AH$8/Inputs!$AH$7-1)*50%)</f>
        <v>7.2369856215727122</v>
      </c>
      <c r="I21" s="18">
        <f t="shared" ref="I21:I30" si="4">+R21</f>
        <v>1.4188642833146214</v>
      </c>
      <c r="J21" s="140">
        <f>Y21*(1+(Inputs!$AH$8/Inputs!$AH$7-1)*50%)</f>
        <v>8.6815098731556226</v>
      </c>
      <c r="K21" s="140">
        <f>VLOOKUP($C20,Inputs!$AN$14:$AQ$18,3,0)</f>
        <v>2.0124962373433268</v>
      </c>
      <c r="L21" s="18">
        <f>SUM(G21:K21)</f>
        <v>41.93800411810345</v>
      </c>
      <c r="M21" s="51">
        <v>0.4886237218402556</v>
      </c>
      <c r="N21" s="58">
        <f>M21+L21</f>
        <v>42.426627839943706</v>
      </c>
      <c r="P21" s="56">
        <f>VLOOKUP(D21,'Ate Preformas'!$D$20:$R$39,10,0)</f>
        <v>30.484475394848083</v>
      </c>
      <c r="Q21" s="34">
        <v>48</v>
      </c>
      <c r="R21" s="40">
        <f t="shared" ref="R21:R30" si="5">$R$17/(P21*Q21)</f>
        <v>1.4188642833146214</v>
      </c>
      <c r="S21" s="20"/>
      <c r="W21" s="165">
        <v>7.2369856215727122</v>
      </c>
      <c r="X21" s="165">
        <v>10.4663391548892</v>
      </c>
      <c r="Y21" s="142">
        <f>+X21-AA21</f>
        <v>8.6815098731556226</v>
      </c>
      <c r="AA21" s="140">
        <f>VLOOKUP($C20,Inputs!$AN$14:$AQ$18,2,0)</f>
        <v>1.7848292817335774</v>
      </c>
    </row>
    <row r="22" spans="1:27" x14ac:dyDescent="0.35">
      <c r="A22" s="122" t="s">
        <v>49</v>
      </c>
      <c r="B22" s="34" t="str">
        <f>D22&amp;E22&amp;F22</f>
        <v>19.7Clear0.5</v>
      </c>
      <c r="C22" s="196"/>
      <c r="D22" s="12">
        <v>19.7</v>
      </c>
      <c r="E22" s="17" t="s">
        <v>33</v>
      </c>
      <c r="F22" s="164">
        <v>0.5</v>
      </c>
      <c r="G22" s="18">
        <f t="shared" si="3"/>
        <v>24.41756895543433</v>
      </c>
      <c r="H22" s="140">
        <f>W22*(1+(Inputs!$AH$8/Inputs!$AH$7-1)*50%)</f>
        <v>7.2369856215727122</v>
      </c>
      <c r="I22" s="18">
        <f t="shared" si="4"/>
        <v>1.4188642833146214</v>
      </c>
      <c r="J22" s="140">
        <f>Y22*(1+(Inputs!$AH$8/Inputs!$AH$7-1)*50%)</f>
        <v>8.6815098731556226</v>
      </c>
      <c r="K22" s="140">
        <f>K21</f>
        <v>2.0124962373433268</v>
      </c>
      <c r="L22" s="18">
        <f t="shared" ref="L22:L30" si="6">SUM(G22:K22)</f>
        <v>43.767424970820613</v>
      </c>
      <c r="M22" s="51">
        <v>0.4886237218402556</v>
      </c>
      <c r="N22" s="58">
        <f>M22+L22</f>
        <v>44.256048692660869</v>
      </c>
      <c r="P22" s="56">
        <f>VLOOKUP(D22,'Ate Preformas'!$D$20:$R$39,10,0)</f>
        <v>30.484475394848083</v>
      </c>
      <c r="Q22" s="34">
        <v>48</v>
      </c>
      <c r="R22" s="40">
        <f t="shared" si="5"/>
        <v>1.4188642833146214</v>
      </c>
      <c r="S22" s="20"/>
      <c r="W22" s="165">
        <v>7.2369856215727122</v>
      </c>
      <c r="X22" s="165">
        <v>10.4663391548892</v>
      </c>
      <c r="Y22" s="142">
        <f t="shared" ref="Y22:Y29" si="7">+X22-AA22</f>
        <v>8.6815098731556226</v>
      </c>
      <c r="AA22" s="140">
        <f>AA21</f>
        <v>1.7848292817335774</v>
      </c>
    </row>
    <row r="23" spans="1:27" x14ac:dyDescent="0.35">
      <c r="A23" s="122" t="s">
        <v>49</v>
      </c>
      <c r="B23" s="34" t="str">
        <f>D23&amp;E23&amp;F23</f>
        <v>19.7Clear0.6</v>
      </c>
      <c r="C23" s="197"/>
      <c r="D23" s="12">
        <v>19.7</v>
      </c>
      <c r="E23" s="17" t="s">
        <v>33</v>
      </c>
      <c r="F23" s="164">
        <v>0.6</v>
      </c>
      <c r="G23" s="18">
        <f t="shared" si="3"/>
        <v>25.1493372965212</v>
      </c>
      <c r="H23" s="140">
        <f>W23*(1+(Inputs!$AH$8/Inputs!$AH$7-1)*50%)</f>
        <v>7.2369856215727122</v>
      </c>
      <c r="I23" s="18">
        <f t="shared" si="4"/>
        <v>1.4188642833146214</v>
      </c>
      <c r="J23" s="140">
        <f>Y23*(1+(Inputs!$AH$8/Inputs!$AH$7-1)*50%)</f>
        <v>8.6815098731556226</v>
      </c>
      <c r="K23" s="140">
        <f>K21</f>
        <v>2.0124962373433268</v>
      </c>
      <c r="L23" s="18">
        <f t="shared" si="6"/>
        <v>44.499193311907476</v>
      </c>
      <c r="M23" s="51">
        <v>0.4886237218402556</v>
      </c>
      <c r="N23" s="58">
        <f>M23+L23</f>
        <v>44.987817033747731</v>
      </c>
      <c r="P23" s="56">
        <f>VLOOKUP(D23,'Ate Preformas'!$D$20:$R$39,10,0)</f>
        <v>30.484475394848083</v>
      </c>
      <c r="Q23" s="34">
        <v>48</v>
      </c>
      <c r="R23" s="40">
        <f t="shared" si="5"/>
        <v>1.4188642833146214</v>
      </c>
      <c r="S23" s="20"/>
      <c r="W23" s="165">
        <v>7.2369856215727122</v>
      </c>
      <c r="X23" s="165">
        <v>10.4663391548892</v>
      </c>
      <c r="Y23" s="142">
        <f t="shared" si="7"/>
        <v>8.6815098731556226</v>
      </c>
      <c r="AA23" s="140">
        <f>AA21</f>
        <v>1.7848292817335774</v>
      </c>
    </row>
    <row r="24" spans="1:27" x14ac:dyDescent="0.35">
      <c r="A24" s="122"/>
      <c r="B24" s="34" t="str">
        <f t="shared" ref="B24:B27" si="8">D24&amp;E24&amp;F24</f>
        <v>33.7Clear0.15</v>
      </c>
      <c r="C24" s="187">
        <v>1000</v>
      </c>
      <c r="D24" s="12">
        <v>33.700000000000003</v>
      </c>
      <c r="E24" s="17" t="s">
        <v>33</v>
      </c>
      <c r="F24" s="164">
        <v>0.15</v>
      </c>
      <c r="G24" s="18">
        <f t="shared" ref="G24" si="9">+($E$14/1000*(1-F24)+$E$15/1000*F24)*D24*(1+0.5%)</f>
        <v>37.388832384108682</v>
      </c>
      <c r="H24" s="140">
        <f>W24*(1+(Inputs!$AH$8/Inputs!$AH$7-1)*50%)</f>
        <v>10.551240217498677</v>
      </c>
      <c r="I24" s="18">
        <f t="shared" ref="I24" si="10">+R24</f>
        <v>0.87413392467466744</v>
      </c>
      <c r="J24" s="140">
        <f>Y24*(1+(Inputs!$AH$8/Inputs!$AH$7-1)*50%)</f>
        <v>8.833513950227406</v>
      </c>
      <c r="K24" s="140">
        <f>VLOOKUP($C24,Inputs!$AN$14:$AQ$18,3,0)</f>
        <v>2.9869412540090474</v>
      </c>
      <c r="L24" s="18">
        <f t="shared" ref="L24" si="11">SUM(G24:K24)</f>
        <v>60.634661730518474</v>
      </c>
      <c r="M24" s="51"/>
      <c r="N24" s="58">
        <f t="shared" ref="N24" si="12">M24+L24</f>
        <v>60.634661730518474</v>
      </c>
      <c r="P24" s="56">
        <f>VLOOKUP(D24,'Ate Preformas'!$D$20:$R$39,10,0)</f>
        <v>49.481357618549389</v>
      </c>
      <c r="Q24" s="34">
        <v>48</v>
      </c>
      <c r="R24" s="40">
        <f t="shared" ref="R24" si="13">$R$17/(P24*Q24)</f>
        <v>0.87413392467466744</v>
      </c>
      <c r="S24" s="20"/>
      <c r="W24" s="165">
        <v>10.551240217498677</v>
      </c>
      <c r="X24" s="165">
        <v>11.482552549182</v>
      </c>
      <c r="Y24" s="142">
        <f t="shared" ref="Y24" si="14">+X24-AA24</f>
        <v>8.833513950227406</v>
      </c>
      <c r="AA24" s="140">
        <f>VLOOKUP($C24,Inputs!$AN$14:$AQ$18,2,0)</f>
        <v>2.6490385989545939</v>
      </c>
    </row>
    <row r="25" spans="1:27" x14ac:dyDescent="0.35">
      <c r="B25" s="34" t="str">
        <f t="shared" si="8"/>
        <v>33.7Clear0.25</v>
      </c>
      <c r="C25" s="188"/>
      <c r="D25" s="12">
        <v>33.700000000000003</v>
      </c>
      <c r="E25" s="17" t="s">
        <v>33</v>
      </c>
      <c r="F25" s="164">
        <v>0.25</v>
      </c>
      <c r="G25" s="18">
        <f t="shared" si="3"/>
        <v>38.640639140181143</v>
      </c>
      <c r="H25" s="140">
        <f>W25*(1+(Inputs!$AH$8/Inputs!$AH$7-1)*50%)</f>
        <v>10.551240217498677</v>
      </c>
      <c r="I25" s="18">
        <f t="shared" si="4"/>
        <v>0.87413392467466744</v>
      </c>
      <c r="J25" s="140">
        <f>Y25*(1+(Inputs!$AH$8/Inputs!$AH$7-1)*50%)</f>
        <v>8.833513950227406</v>
      </c>
      <c r="K25" s="140">
        <f>VLOOKUP($C24,Inputs!$AN$14:$AQ$18,3,0)</f>
        <v>2.9869412540090474</v>
      </c>
      <c r="L25" s="18">
        <f t="shared" si="6"/>
        <v>61.886468486590942</v>
      </c>
      <c r="M25" s="51"/>
      <c r="N25" s="58">
        <f t="shared" ref="N25:N27" si="15">M25+L25</f>
        <v>61.886468486590942</v>
      </c>
      <c r="P25" s="56">
        <f>VLOOKUP(D25,'Ate Preformas'!$D$20:$R$39,10,0)</f>
        <v>49.481357618549389</v>
      </c>
      <c r="Q25" s="34">
        <v>48</v>
      </c>
      <c r="R25" s="40">
        <f t="shared" si="5"/>
        <v>0.87413392467466744</v>
      </c>
      <c r="S25" s="20"/>
      <c r="W25" s="165">
        <v>10.551240217498677</v>
      </c>
      <c r="X25" s="165">
        <v>11.482552549182</v>
      </c>
      <c r="Y25" s="142">
        <f t="shared" si="7"/>
        <v>8.833513950227406</v>
      </c>
      <c r="AA25" s="140">
        <f>VLOOKUP($C24,Inputs!$AN$14:$AQ$18,2,0)</f>
        <v>2.6490385989545939</v>
      </c>
    </row>
    <row r="26" spans="1:27" x14ac:dyDescent="0.35">
      <c r="B26" s="34" t="str">
        <f t="shared" si="8"/>
        <v>45.7Clear0.15</v>
      </c>
      <c r="C26" s="187">
        <v>2000</v>
      </c>
      <c r="D26" s="12">
        <v>45.7</v>
      </c>
      <c r="E26" s="17" t="s">
        <v>33</v>
      </c>
      <c r="F26" s="164">
        <v>0.15</v>
      </c>
      <c r="G26" s="18">
        <f t="shared" ref="G26" si="16">+($E$14/1000*(1-F26)+$E$15/1000*F26)*D26*(1+0.5%)</f>
        <v>50.702363203375867</v>
      </c>
      <c r="H26" s="140">
        <f>W26*(1+(Inputs!$AH$8/Inputs!$AH$7-1)*50%)</f>
        <v>14.668165848375462</v>
      </c>
      <c r="I26" s="18">
        <f t="shared" ref="I26" si="17">+R26</f>
        <v>0.65767694282033484</v>
      </c>
      <c r="J26" s="140">
        <f>Y26*(1+(Inputs!$AH$8/Inputs!$AH$7-1)*50%)</f>
        <v>7.102944587744477</v>
      </c>
      <c r="K26" s="140">
        <f>VLOOKUP($C26,Inputs!$AN$14:$AQ$18,3,0)</f>
        <v>4.9382563551798313</v>
      </c>
      <c r="L26" s="18">
        <f t="shared" ref="L26" si="18">SUM(G26:K26)</f>
        <v>78.06940693749597</v>
      </c>
      <c r="M26" s="51"/>
      <c r="N26" s="58">
        <f t="shared" ref="N26" si="19">M26+L26</f>
        <v>78.06940693749597</v>
      </c>
      <c r="P26" s="56">
        <f>VLOOKUP(D26,'Ate Preformas'!$D$20:$R$39,10,0)</f>
        <v>65.766838575560854</v>
      </c>
      <c r="Q26" s="34">
        <v>48</v>
      </c>
      <c r="R26" s="40">
        <f t="shared" ref="R26" si="20">$R$17/(P26*Q26)</f>
        <v>0.65767694282033484</v>
      </c>
      <c r="S26" s="20"/>
      <c r="W26" s="165">
        <v>14.668165848375462</v>
      </c>
      <c r="X26" s="165">
        <v>11.482552549182</v>
      </c>
      <c r="Y26" s="142">
        <f t="shared" ref="Y26" si="21">+X26-AA26</f>
        <v>7.102944587744477</v>
      </c>
      <c r="AA26" s="140">
        <f>VLOOKUP($C26,Inputs!$AN$14:$AQ$18,2,0)</f>
        <v>4.3796079614375225</v>
      </c>
    </row>
    <row r="27" spans="1:27" x14ac:dyDescent="0.35">
      <c r="B27" s="34" t="str">
        <f t="shared" si="8"/>
        <v>45.7Clear0.25</v>
      </c>
      <c r="C27" s="194"/>
      <c r="D27" s="12">
        <v>45.7</v>
      </c>
      <c r="E27" s="17" t="s">
        <v>33</v>
      </c>
      <c r="F27" s="164">
        <v>0.25</v>
      </c>
      <c r="G27" s="18">
        <f t="shared" si="3"/>
        <v>52.399917172293122</v>
      </c>
      <c r="H27" s="140">
        <f>W27*(1+(Inputs!$AH$8/Inputs!$AH$7-1)*50%)</f>
        <v>14.668165848375462</v>
      </c>
      <c r="I27" s="18">
        <f t="shared" si="4"/>
        <v>0.65767694282033484</v>
      </c>
      <c r="J27" s="140">
        <f>Y27*(1+(Inputs!$AH$8/Inputs!$AH$7-1)*50%)</f>
        <v>7.102944587744477</v>
      </c>
      <c r="K27" s="140">
        <f>VLOOKUP($C26,Inputs!$AN$14:$AQ$18,3,0)</f>
        <v>4.9382563551798313</v>
      </c>
      <c r="L27" s="18">
        <f t="shared" si="6"/>
        <v>79.766960906413217</v>
      </c>
      <c r="M27" s="51"/>
      <c r="N27" s="58">
        <f t="shared" si="15"/>
        <v>79.766960906413217</v>
      </c>
      <c r="P27" s="56">
        <f>VLOOKUP(D27,'Ate Preformas'!$D$20:$R$39,10,0)</f>
        <v>65.766838575560854</v>
      </c>
      <c r="Q27" s="34">
        <v>48</v>
      </c>
      <c r="R27" s="40">
        <f t="shared" si="5"/>
        <v>0.65767694282033484</v>
      </c>
      <c r="S27" s="20"/>
      <c r="W27" s="165">
        <v>14.668165848375462</v>
      </c>
      <c r="X27" s="165">
        <v>11.482552549182</v>
      </c>
      <c r="Y27" s="142">
        <f t="shared" si="7"/>
        <v>7.102944587744477</v>
      </c>
      <c r="AA27" s="140">
        <f>VLOOKUP($C26,Inputs!$AN$14:$AQ$18,2,0)</f>
        <v>4.3796079614375225</v>
      </c>
    </row>
    <row r="28" spans="1:27" x14ac:dyDescent="0.35">
      <c r="A28" s="122" t="s">
        <v>49</v>
      </c>
      <c r="B28" s="34" t="str">
        <f>D28&amp;E28&amp;F28</f>
        <v>45.7Clear0.5</v>
      </c>
      <c r="C28" s="188"/>
      <c r="D28" s="12">
        <v>45.7</v>
      </c>
      <c r="E28" s="17" t="s">
        <v>33</v>
      </c>
      <c r="F28" s="164">
        <v>0.5</v>
      </c>
      <c r="G28" s="18">
        <f t="shared" si="3"/>
        <v>56.643802094586242</v>
      </c>
      <c r="H28" s="140">
        <f>W28*(1+(Inputs!$AH$8/Inputs!$AH$7-1)*50%)</f>
        <v>14.668165848375462</v>
      </c>
      <c r="I28" s="18">
        <f t="shared" si="4"/>
        <v>0.65767694282033484</v>
      </c>
      <c r="J28" s="140">
        <f>Y28*(1+(Inputs!$AH$8/Inputs!$AH$7-1)*50%)</f>
        <v>7.102944587744477</v>
      </c>
      <c r="K28" s="140">
        <f>K27</f>
        <v>4.9382563551798313</v>
      </c>
      <c r="L28" s="18">
        <f t="shared" si="6"/>
        <v>84.010845828706337</v>
      </c>
      <c r="M28" s="51"/>
      <c r="N28" s="58">
        <f t="shared" ref="N28:N29" si="22">M28+L28</f>
        <v>84.010845828706337</v>
      </c>
      <c r="P28" s="56">
        <f>VLOOKUP(D28,'Ate Preformas'!$D$20:$R$39,10,0)</f>
        <v>65.766838575560854</v>
      </c>
      <c r="Q28" s="34">
        <v>48</v>
      </c>
      <c r="R28" s="40">
        <f t="shared" si="5"/>
        <v>0.65767694282033484</v>
      </c>
      <c r="S28" s="20"/>
      <c r="W28" s="165">
        <v>14.668165848375462</v>
      </c>
      <c r="X28" s="165">
        <v>11.482552549182</v>
      </c>
      <c r="Y28" s="142">
        <f t="shared" si="7"/>
        <v>7.102944587744477</v>
      </c>
      <c r="AA28" s="140">
        <f>AA27</f>
        <v>4.3796079614375225</v>
      </c>
    </row>
    <row r="29" spans="1:27" x14ac:dyDescent="0.35">
      <c r="B29" s="34" t="str">
        <f t="shared" ref="B29" si="23">D29&amp;E29&amp;F29</f>
        <v>54.7Clear0.25</v>
      </c>
      <c r="C29" s="12">
        <v>3000</v>
      </c>
      <c r="D29" s="12">
        <v>54.7</v>
      </c>
      <c r="E29" s="17" t="s">
        <v>33</v>
      </c>
      <c r="F29" s="170">
        <v>0.25</v>
      </c>
      <c r="G29" s="18">
        <f>+($E$14/1000*(1-F29)+$E$15/1000*F29)*D29*(1+0.5%)</f>
        <v>62.719375696377107</v>
      </c>
      <c r="H29" s="140">
        <f>W29*(1+(Inputs!$AH$8/Inputs!$AH$7-1)*50%)</f>
        <v>13</v>
      </c>
      <c r="I29" s="18">
        <f t="shared" si="4"/>
        <v>0.58342142061714475</v>
      </c>
      <c r="J29" s="140">
        <f>Y29*(1+(Inputs!$AH$8/Inputs!$AH$7-1)*50%)</f>
        <v>10.812007671198064</v>
      </c>
      <c r="K29" s="140">
        <f>VLOOKUP($C29,Inputs!$AN$14:$AQ$18,3,0)</f>
        <v>5.9061334105345749</v>
      </c>
      <c r="L29" s="18">
        <f t="shared" si="6"/>
        <v>93.020938198726896</v>
      </c>
      <c r="M29" s="51"/>
      <c r="N29" s="58">
        <f t="shared" si="22"/>
        <v>93.020938198726896</v>
      </c>
      <c r="P29" s="56">
        <f>VLOOKUP(D29,'Ate Preformas'!$D$20:$R$39,10,0)</f>
        <v>74.137376182691128</v>
      </c>
      <c r="Q29" s="34">
        <v>48</v>
      </c>
      <c r="R29" s="171">
        <f t="shared" si="5"/>
        <v>0.58342142061714475</v>
      </c>
      <c r="S29" s="20"/>
      <c r="W29" s="174">
        <v>13</v>
      </c>
      <c r="X29" s="165">
        <v>16.05</v>
      </c>
      <c r="Y29" s="142">
        <f t="shared" si="7"/>
        <v>10.812007671198064</v>
      </c>
      <c r="AA29" s="140">
        <f>VLOOKUP($C29,Inputs!$AN$14:$AQ$18,2,0)</f>
        <v>5.237992328801937</v>
      </c>
    </row>
    <row r="30" spans="1:27" x14ac:dyDescent="0.35">
      <c r="B30" s="34" t="str">
        <f t="shared" ref="B30" si="24">D30&amp;E30&amp;F30</f>
        <v>51.2Clear0.15</v>
      </c>
      <c r="C30" s="12">
        <v>3000</v>
      </c>
      <c r="D30" s="12">
        <v>51.2</v>
      </c>
      <c r="E30" s="17" t="s">
        <v>33</v>
      </c>
      <c r="F30" s="170">
        <v>0.15</v>
      </c>
      <c r="G30" s="18">
        <f>+($E$14/1000*(1-F30)+$E$15/1000*F30)*D30*(1+0.5%)</f>
        <v>56.80439816220666</v>
      </c>
      <c r="H30" s="140">
        <f>W30*(1+(Inputs!$AH$8/Inputs!$AH$7-1)*50%)</f>
        <v>12.25</v>
      </c>
      <c r="I30" s="18">
        <f t="shared" si="4"/>
        <v>0.62231194821080826</v>
      </c>
      <c r="J30" s="140">
        <f>Y30*(1+(Inputs!$AH$8/Inputs!$AH$7-1)*50%)</f>
        <v>10.812007671198064</v>
      </c>
      <c r="K30" s="140">
        <f>VLOOKUP($C30,Inputs!$AN$14:$AQ$18,3,0)</f>
        <v>5.9061334105345749</v>
      </c>
      <c r="L30" s="18">
        <f t="shared" si="6"/>
        <v>86.394851192150114</v>
      </c>
      <c r="M30" s="51"/>
      <c r="N30" s="58">
        <f t="shared" ref="N30" si="25">M30+L30</f>
        <v>86.394851192150114</v>
      </c>
      <c r="P30" s="56">
        <f>VLOOKUP(D30,'Ate Preformas'!$D$20:$R$39,10,0)</f>
        <v>69.504263027071531</v>
      </c>
      <c r="Q30" s="34">
        <v>48</v>
      </c>
      <c r="R30" s="171">
        <f t="shared" si="5"/>
        <v>0.62231194821080826</v>
      </c>
      <c r="S30" s="20"/>
      <c r="W30" s="174">
        <v>12.25</v>
      </c>
      <c r="X30" s="165">
        <v>16.05</v>
      </c>
      <c r="Y30" s="142">
        <f>+X30-AA30</f>
        <v>10.812007671198064</v>
      </c>
      <c r="AA30" s="140">
        <f>VLOOKUP($C30,Inputs!$AN$14:$AQ$18,2,0)</f>
        <v>5.237992328801937</v>
      </c>
    </row>
  </sheetData>
  <mergeCells count="8">
    <mergeCell ref="C26:C28"/>
    <mergeCell ref="C24:C25"/>
    <mergeCell ref="C20:C23"/>
    <mergeCell ref="C10:J10"/>
    <mergeCell ref="C11:J11"/>
    <mergeCell ref="C13:D13"/>
    <mergeCell ref="C14:D14"/>
    <mergeCell ref="C15:D15"/>
  </mergeCells>
  <dataValidations disablePrompts="1" count="1">
    <dataValidation type="list" allowBlank="1" showInputMessage="1" showErrorMessage="1" sqref="D6" xr:uid="{668AAD19-70F1-4B2A-9778-71BAC4AB1A67}">
      <formula1>"Perú, Colombia, Ecuador, México, Costa Rica, Panamá, Argentina, Chile, Costa Rica, Guatemala"</formula1>
    </dataValidation>
  </dataValidations>
  <pageMargins left="0.7" right="0.7" top="0.75" bottom="0.75" header="0.3" footer="0.3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FF00"/>
    <pageSetUpPr fitToPage="1"/>
  </sheetPr>
  <dimension ref="A1:AB29"/>
  <sheetViews>
    <sheetView showGridLines="0" topLeftCell="A15" zoomScale="80" zoomScaleNormal="80" zoomScaleSheetLayoutView="85" workbookViewId="0">
      <selection activeCell="F15" sqref="F15"/>
    </sheetView>
  </sheetViews>
  <sheetFormatPr defaultColWidth="11.453125" defaultRowHeight="14.5" x14ac:dyDescent="0.35"/>
  <cols>
    <col min="1" max="1" width="11.453125" style="2"/>
    <col min="2" max="2" width="14.453125" style="2" customWidth="1"/>
    <col min="3" max="3" width="19.54296875" style="2" customWidth="1"/>
    <col min="4" max="4" width="15.453125" style="2" bestFit="1" customWidth="1"/>
    <col min="5" max="8" width="13.453125" style="2" customWidth="1"/>
    <col min="9" max="9" width="15.54296875" style="2" customWidth="1"/>
    <col min="10" max="10" width="13.453125" style="2" customWidth="1"/>
    <col min="11" max="12" width="14.453125" style="2" customWidth="1"/>
    <col min="13" max="14" width="11.453125" style="2"/>
    <col min="15" max="15" width="11.453125" style="2" customWidth="1"/>
    <col min="16" max="16" width="13.54296875" style="2" bestFit="1" customWidth="1"/>
    <col min="17" max="18" width="10.453125" style="2" bestFit="1" customWidth="1"/>
    <col min="19" max="19" width="6.54296875" style="2" customWidth="1"/>
    <col min="20" max="23" width="11.453125" style="2"/>
    <col min="24" max="24" width="14.81640625" style="2" customWidth="1"/>
    <col min="25" max="25" width="13.54296875" style="2" customWidth="1"/>
    <col min="26" max="26" width="12.81640625" style="2" customWidth="1"/>
    <col min="27" max="27" width="11.453125" style="2"/>
    <col min="28" max="28" width="13.1796875" style="2" customWidth="1"/>
    <col min="29" max="16384" width="11.453125" style="2"/>
  </cols>
  <sheetData>
    <row r="1" spans="3:19" x14ac:dyDescent="0.35">
      <c r="G1" s="2" t="s">
        <v>0</v>
      </c>
      <c r="H1" s="2" t="s">
        <v>1</v>
      </c>
      <c r="I1" s="2" t="s">
        <v>37</v>
      </c>
      <c r="K1" s="2" t="s">
        <v>38</v>
      </c>
      <c r="N1" s="2" t="s">
        <v>2</v>
      </c>
    </row>
    <row r="5" spans="3:19" x14ac:dyDescent="0.35">
      <c r="C5" s="27" t="s">
        <v>3</v>
      </c>
      <c r="D5" s="28" t="s">
        <v>4</v>
      </c>
    </row>
    <row r="6" spans="3:19" x14ac:dyDescent="0.35">
      <c r="C6" s="29" t="s">
        <v>5</v>
      </c>
      <c r="D6" s="30" t="s">
        <v>6</v>
      </c>
    </row>
    <row r="7" spans="3:19" x14ac:dyDescent="0.35">
      <c r="C7" s="27" t="s">
        <v>7</v>
      </c>
      <c r="D7" s="31" t="str">
        <f>'Ate Preformas'!D7</f>
        <v>Abril 26</v>
      </c>
    </row>
    <row r="8" spans="3:19" x14ac:dyDescent="0.35">
      <c r="C8" s="27" t="s">
        <v>8</v>
      </c>
      <c r="D8" s="32" t="s">
        <v>9</v>
      </c>
    </row>
    <row r="10" spans="3:19" x14ac:dyDescent="0.35">
      <c r="D10" s="38"/>
      <c r="E10" s="38"/>
      <c r="F10" s="38"/>
      <c r="G10" s="38" t="s">
        <v>50</v>
      </c>
      <c r="H10" s="38"/>
      <c r="I10" s="38"/>
      <c r="J10" s="38"/>
      <c r="K10" s="38"/>
      <c r="M10" s="38"/>
    </row>
    <row r="11" spans="3:19" x14ac:dyDescent="0.3">
      <c r="E11" s="8"/>
      <c r="F11" s="8"/>
      <c r="G11" s="8"/>
      <c r="H11" s="8"/>
      <c r="I11" s="8"/>
      <c r="J11" s="8"/>
      <c r="K11" s="8"/>
      <c r="M11" s="8"/>
    </row>
    <row r="12" spans="3:19" x14ac:dyDescent="0.35">
      <c r="C12" s="189" t="s">
        <v>11</v>
      </c>
      <c r="D12" s="189"/>
      <c r="E12" s="12" t="s">
        <v>12</v>
      </c>
    </row>
    <row r="13" spans="3:19" ht="15.5" x14ac:dyDescent="0.35">
      <c r="C13" s="190" t="s">
        <v>13</v>
      </c>
      <c r="D13" s="191"/>
      <c r="E13" s="55">
        <f>Inputs!H13</f>
        <v>1048.5</v>
      </c>
      <c r="F13" s="4"/>
      <c r="G13" s="5"/>
      <c r="H13" s="6"/>
      <c r="J13" s="25"/>
      <c r="K13" s="25"/>
    </row>
    <row r="14" spans="3:19" ht="15" x14ac:dyDescent="0.3">
      <c r="C14" s="192" t="s">
        <v>14</v>
      </c>
      <c r="D14" s="193"/>
      <c r="E14" s="55">
        <f>Inputs!P10</f>
        <v>1418.1079708497446</v>
      </c>
      <c r="F14" s="10"/>
      <c r="G14" s="6"/>
      <c r="J14" s="25"/>
      <c r="K14" s="25"/>
    </row>
    <row r="15" spans="3:19" ht="15" x14ac:dyDescent="0.3">
      <c r="C15" s="9"/>
      <c r="D15" s="4"/>
      <c r="E15" s="10"/>
      <c r="F15" s="10"/>
      <c r="H15" s="7"/>
      <c r="I15" s="24"/>
      <c r="J15" s="26"/>
      <c r="K15" s="24"/>
    </row>
    <row r="16" spans="3:19" ht="15" x14ac:dyDescent="0.3">
      <c r="C16" s="9"/>
      <c r="D16" s="4"/>
      <c r="E16" s="10"/>
      <c r="F16" s="10"/>
      <c r="H16" s="7"/>
      <c r="I16" s="24"/>
      <c r="J16" s="26"/>
      <c r="K16" s="24"/>
      <c r="M16" s="13"/>
      <c r="R16" s="57" t="s">
        <v>16</v>
      </c>
      <c r="S16" s="36">
        <f>Inputs!X7</f>
        <v>133.16</v>
      </c>
    </row>
    <row r="17" spans="1:28" x14ac:dyDescent="0.35">
      <c r="X17" s="2" t="s">
        <v>17</v>
      </c>
      <c r="Y17" s="2" t="s">
        <v>17</v>
      </c>
    </row>
    <row r="18" spans="1:28" ht="50" x14ac:dyDescent="0.35">
      <c r="A18" s="184"/>
      <c r="B18" s="44" t="s">
        <v>18</v>
      </c>
      <c r="C18" s="41" t="s">
        <v>51</v>
      </c>
      <c r="D18" s="41" t="s">
        <v>20</v>
      </c>
      <c r="E18" s="45" t="s">
        <v>21</v>
      </c>
      <c r="F18" s="41" t="s">
        <v>22</v>
      </c>
      <c r="G18" s="41" t="s">
        <v>52</v>
      </c>
      <c r="H18" s="45" t="s">
        <v>53</v>
      </c>
      <c r="I18" s="45" t="s">
        <v>54</v>
      </c>
      <c r="J18" s="41" t="s">
        <v>55</v>
      </c>
      <c r="K18" s="45" t="s">
        <v>42</v>
      </c>
      <c r="L18" s="45" t="s">
        <v>43</v>
      </c>
      <c r="M18" s="42" t="s">
        <v>56</v>
      </c>
      <c r="N18" s="46" t="s">
        <v>26</v>
      </c>
      <c r="O18" s="42" t="s">
        <v>45</v>
      </c>
      <c r="P18" s="35"/>
      <c r="Q18" s="47" t="s">
        <v>30</v>
      </c>
      <c r="R18" s="47" t="s">
        <v>31</v>
      </c>
      <c r="S18" s="48" t="s">
        <v>32</v>
      </c>
      <c r="X18" s="45" t="s">
        <v>53</v>
      </c>
      <c r="Y18" s="45" t="s">
        <v>57</v>
      </c>
      <c r="Z18" s="45" t="s">
        <v>42</v>
      </c>
      <c r="AB18" s="45" t="s">
        <v>48</v>
      </c>
    </row>
    <row r="19" spans="1:28" x14ac:dyDescent="0.35">
      <c r="A19" s="184" t="str">
        <f t="shared" ref="A19" si="0">D19&amp;E19</f>
        <v>19.7Clear</v>
      </c>
      <c r="B19" s="34" t="str">
        <f>D19&amp;E19&amp;F19</f>
        <v>19.7Clear0.15</v>
      </c>
      <c r="C19" s="195" t="s">
        <v>58</v>
      </c>
      <c r="D19" s="52">
        <v>19.7</v>
      </c>
      <c r="E19" s="17" t="s">
        <v>33</v>
      </c>
      <c r="F19" s="53">
        <v>0.15</v>
      </c>
      <c r="G19" s="18">
        <f>+($E$13/1000*(1-F19)+$E$14/1000*F19)*D19*(1+0.5%)</f>
        <v>21.856379761630297</v>
      </c>
      <c r="H19" s="140">
        <f>X19*(1+(Inputs!$AH$8/Inputs!$AH$7-1)*50%)</f>
        <v>7.2369856215727122</v>
      </c>
      <c r="I19" s="51">
        <f t="shared" ref="I19" si="1">+S19</f>
        <v>0.10920312575110298</v>
      </c>
      <c r="J19" s="58">
        <f>SUM(H19:I19)</f>
        <v>7.346188747323815</v>
      </c>
      <c r="K19" s="140">
        <f>Z19*(1+(Inputs!$AH$8/Inputs!$AH$7-1)*50%)</f>
        <v>2.4909756122536955</v>
      </c>
      <c r="L19" s="140">
        <f>VLOOKUP($C19,Inputs!$AN$19:$AQ$22,3,0)</f>
        <v>1.9513688828166371</v>
      </c>
      <c r="M19" s="58">
        <f>SUM(J19:L19)+G19</f>
        <v>33.644913004024446</v>
      </c>
      <c r="N19" s="51">
        <v>0.4886237218402556</v>
      </c>
      <c r="O19" s="58">
        <f>N19+M19</f>
        <v>34.133536725864701</v>
      </c>
      <c r="P19" s="35"/>
      <c r="Q19" s="56">
        <f>VLOOKUP(D19,'Ate Preformas'!$D$20:$R$39,10,0)</f>
        <v>30.484475394848083</v>
      </c>
      <c r="R19" s="34">
        <v>40</v>
      </c>
      <c r="S19" s="40">
        <f t="shared" ref="S19" si="2">$S$16/(Q19*R19)</f>
        <v>0.10920312575110298</v>
      </c>
      <c r="X19" s="141">
        <v>7.2369856215727122</v>
      </c>
      <c r="Y19" s="142">
        <v>4.2215926722450998</v>
      </c>
      <c r="Z19" s="142">
        <f>+Y19-AB19</f>
        <v>2.4909756122536955</v>
      </c>
      <c r="AB19" s="140">
        <f>VLOOKUP($C19,Inputs!$AN$19:$AQ$22,2,0)</f>
        <v>1.7306170599914044</v>
      </c>
    </row>
    <row r="20" spans="1:28" ht="15" customHeight="1" x14ac:dyDescent="0.35">
      <c r="A20" s="184" t="str">
        <f t="shared" ref="A20:A27" si="3">D20&amp;E20</f>
        <v>19.7Clear</v>
      </c>
      <c r="B20" s="34" t="str">
        <f>D20&amp;E20&amp;F20</f>
        <v>19.7Clear0.25</v>
      </c>
      <c r="C20" s="196"/>
      <c r="D20" s="52">
        <v>19.7</v>
      </c>
      <c r="E20" s="17" t="s">
        <v>33</v>
      </c>
      <c r="F20" s="53">
        <v>0.25</v>
      </c>
      <c r="G20" s="18">
        <f>+($E$13/1000*(1-F20)+$E$14/1000*F20)*D20*(1+0.5%)</f>
        <v>22.588148102717167</v>
      </c>
      <c r="H20" s="140">
        <f>X20*(1+(Inputs!$AH$8/Inputs!$AH$7-1)*50%)</f>
        <v>7.2369856215727122</v>
      </c>
      <c r="I20" s="51">
        <f t="shared" ref="I20:I29" si="4">+S20</f>
        <v>0.10920312575110298</v>
      </c>
      <c r="J20" s="58">
        <f>SUM(H20:I20)</f>
        <v>7.346188747323815</v>
      </c>
      <c r="K20" s="140">
        <f>Z20*(1+(Inputs!$AH$8/Inputs!$AH$7-1)*50%)</f>
        <v>2.4909756122536955</v>
      </c>
      <c r="L20" s="140">
        <f>VLOOKUP($C19,Inputs!$AN$19:$AQ$22,3,0)</f>
        <v>1.9513688828166371</v>
      </c>
      <c r="M20" s="58">
        <f>SUM(J20:L20)+G20</f>
        <v>34.376681345111315</v>
      </c>
      <c r="N20" s="51">
        <v>0.4886237218402556</v>
      </c>
      <c r="O20" s="58">
        <f>N20+M20</f>
        <v>34.865305066951571</v>
      </c>
      <c r="P20" s="13"/>
      <c r="Q20" s="56">
        <f>VLOOKUP(D20,'Ate Preformas'!$D$20:$R$39,10,0)</f>
        <v>30.484475394848083</v>
      </c>
      <c r="R20" s="34">
        <v>40</v>
      </c>
      <c r="S20" s="40">
        <f t="shared" ref="S20:S29" si="5">$S$16/(Q20*R20)</f>
        <v>0.10920312575110298</v>
      </c>
      <c r="T20" s="37"/>
      <c r="X20" s="141">
        <v>7.2369856215727122</v>
      </c>
      <c r="Y20" s="142">
        <v>4.2215926722450998</v>
      </c>
      <c r="Z20" s="142">
        <f>+Y20-AB20</f>
        <v>2.4909756122536955</v>
      </c>
      <c r="AB20" s="140">
        <f>VLOOKUP($C19,Inputs!$AN$19:$AQ$22,2,0)</f>
        <v>1.7306170599914044</v>
      </c>
    </row>
    <row r="21" spans="1:28" x14ac:dyDescent="0.35">
      <c r="A21" s="184" t="str">
        <f t="shared" si="3"/>
        <v>19.7Brown</v>
      </c>
      <c r="B21" s="34" t="str">
        <f t="shared" ref="B21:B28" si="6">D21&amp;E21&amp;F21</f>
        <v>19.7Brown0.5</v>
      </c>
      <c r="C21" s="196"/>
      <c r="D21" s="52">
        <v>19.7</v>
      </c>
      <c r="E21" s="17" t="s">
        <v>35</v>
      </c>
      <c r="F21" s="53">
        <v>0.5</v>
      </c>
      <c r="G21" s="18">
        <f>+($E$13/1000*(1-F21)+$E$14/1000*F21)*D20*(1+0.5%)</f>
        <v>24.41756895543433</v>
      </c>
      <c r="H21" s="140">
        <f>X21*(1+(Inputs!$AH$8/Inputs!$AH$7-1)*50%)</f>
        <v>8.8522419006681883</v>
      </c>
      <c r="I21" s="51">
        <f t="shared" si="4"/>
        <v>0.10920312575110298</v>
      </c>
      <c r="J21" s="58">
        <f t="shared" ref="J21:J26" si="7">SUM(H21:I21)</f>
        <v>8.9614450264192911</v>
      </c>
      <c r="K21" s="140">
        <f>Z21*(1+(Inputs!$AH$8/Inputs!$AH$7-1)*50%)</f>
        <v>2.4909756122536955</v>
      </c>
      <c r="L21" s="140">
        <f>L20</f>
        <v>1.9513688828166371</v>
      </c>
      <c r="M21" s="58">
        <f t="shared" ref="M21:M29" si="8">SUM(J21:L21)+G21</f>
        <v>37.821358476923955</v>
      </c>
      <c r="N21" s="51"/>
      <c r="O21" s="58">
        <f t="shared" ref="O21:O26" si="9">N21+M21</f>
        <v>37.821358476923955</v>
      </c>
      <c r="P21" s="13"/>
      <c r="Q21" s="56">
        <f>VLOOKUP(D21,'Ate Preformas'!$D$20:$R$39,10,0)</f>
        <v>30.484475394848083</v>
      </c>
      <c r="R21" s="34">
        <v>40</v>
      </c>
      <c r="S21" s="40">
        <f t="shared" si="5"/>
        <v>0.10920312575110298</v>
      </c>
      <c r="T21" s="37"/>
      <c r="X21" s="141">
        <v>8.8522419006681883</v>
      </c>
      <c r="Y21" s="142">
        <v>4.2215926722450998</v>
      </c>
      <c r="Z21" s="142">
        <f t="shared" ref="Z21:Z29" si="10">+Y21-AB21</f>
        <v>2.4909756122536955</v>
      </c>
      <c r="AB21" s="140">
        <f>AB20</f>
        <v>1.7306170599914044</v>
      </c>
    </row>
    <row r="22" spans="1:28" x14ac:dyDescent="0.35">
      <c r="A22" s="184" t="str">
        <f t="shared" si="3"/>
        <v>19.7Brown</v>
      </c>
      <c r="B22" s="34" t="str">
        <f t="shared" si="6"/>
        <v>19.7Brown0.6</v>
      </c>
      <c r="C22" s="197"/>
      <c r="D22" s="52">
        <v>19.7</v>
      </c>
      <c r="E22" s="17" t="s">
        <v>35</v>
      </c>
      <c r="F22" s="53">
        <v>0.6</v>
      </c>
      <c r="G22" s="18">
        <f>+($E$13/1000*(1-F22)+$E$14/1000*F22)*D20*(1+0.5%)</f>
        <v>25.1493372965212</v>
      </c>
      <c r="H22" s="140">
        <f>X22*(1+(Inputs!$AH$8/Inputs!$AH$7-1)*50%)</f>
        <v>8.8522419006681883</v>
      </c>
      <c r="I22" s="51">
        <f t="shared" si="4"/>
        <v>0.10920312575110298</v>
      </c>
      <c r="J22" s="58">
        <f t="shared" si="7"/>
        <v>8.9614450264192911</v>
      </c>
      <c r="K22" s="140">
        <f>Z22*(1+(Inputs!$AH$8/Inputs!$AH$7-1)*50%)</f>
        <v>2.4909756122536955</v>
      </c>
      <c r="L22" s="140">
        <f>L20</f>
        <v>1.9513688828166371</v>
      </c>
      <c r="M22" s="58">
        <f t="shared" si="8"/>
        <v>38.553126818010824</v>
      </c>
      <c r="N22" s="51"/>
      <c r="O22" s="58">
        <f t="shared" si="9"/>
        <v>38.553126818010824</v>
      </c>
      <c r="P22" s="13"/>
      <c r="Q22" s="56">
        <f>VLOOKUP(D22,'Ate Preformas'!$D$20:$R$39,10,0)</f>
        <v>30.484475394848083</v>
      </c>
      <c r="R22" s="34">
        <v>40</v>
      </c>
      <c r="S22" s="40">
        <f t="shared" si="5"/>
        <v>0.10920312575110298</v>
      </c>
      <c r="T22" s="37"/>
      <c r="X22" s="141">
        <v>8.8522419006681883</v>
      </c>
      <c r="Y22" s="142">
        <v>4.2215926722450998</v>
      </c>
      <c r="Z22" s="142">
        <f t="shared" si="10"/>
        <v>2.4909756122536955</v>
      </c>
      <c r="AB22" s="140">
        <f>AB20</f>
        <v>1.7306170599914044</v>
      </c>
    </row>
    <row r="23" spans="1:28" x14ac:dyDescent="0.35">
      <c r="A23" s="184" t="str">
        <f t="shared" ref="A23" si="11">D23&amp;E23</f>
        <v>33.7Clear</v>
      </c>
      <c r="B23" s="34" t="str">
        <f t="shared" ref="B23" si="12">D23&amp;E23&amp;F23</f>
        <v>33.7Clear0.15</v>
      </c>
      <c r="C23" s="195">
        <v>1000</v>
      </c>
      <c r="D23" s="12">
        <v>33.700000000000003</v>
      </c>
      <c r="E23" s="17" t="s">
        <v>33</v>
      </c>
      <c r="F23" s="53">
        <v>0.15</v>
      </c>
      <c r="G23" s="18">
        <f t="shared" ref="G23" si="13">+($E$13/1000*(1-F23)+$E$14/1000*F23)*D23*(1+0.5%)</f>
        <v>37.388832384108682</v>
      </c>
      <c r="H23" s="140">
        <f>X23*(1+(Inputs!$AH$8/Inputs!$AH$7-1)*50%)</f>
        <v>10.551240217498677</v>
      </c>
      <c r="I23" s="51">
        <f t="shared" ref="I23" si="14">+S23</f>
        <v>6.7277863021932061E-2</v>
      </c>
      <c r="J23" s="58">
        <f t="shared" ref="J23" si="15">SUM(H23:I23)</f>
        <v>10.618518080520609</v>
      </c>
      <c r="K23" s="140">
        <f>Z23*(1+(Inputs!$AH$8/Inputs!$AH$7-1)*50%)</f>
        <v>6.4378383175883354</v>
      </c>
      <c r="L23" s="140">
        <f>VLOOKUP($C23,Inputs!$AN$19:$AQ$22,3,0)</f>
        <v>2.8962162063810104</v>
      </c>
      <c r="M23" s="58">
        <f t="shared" ref="M23" si="16">SUM(J23:L23)+G23</f>
        <v>57.34140498859864</v>
      </c>
      <c r="N23" s="51"/>
      <c r="O23" s="58">
        <f t="shared" ref="O23" si="17">N23+M23</f>
        <v>57.34140498859864</v>
      </c>
      <c r="P23" s="13"/>
      <c r="Q23" s="56">
        <f>VLOOKUP(D23,'Ate Preformas'!$D$20:$R$39,10,0)</f>
        <v>49.481357618549389</v>
      </c>
      <c r="R23" s="34">
        <v>40</v>
      </c>
      <c r="S23" s="40">
        <f t="shared" ref="S23" si="18">$S$16/(Q23*R23)</f>
        <v>6.7277863021932061E-2</v>
      </c>
      <c r="T23" s="37"/>
      <c r="X23" s="141">
        <v>10.551240217498677</v>
      </c>
      <c r="Y23" s="142">
        <v>9.0064152895403602</v>
      </c>
      <c r="Z23" s="142">
        <f t="shared" ref="Z23" si="19">+Y23-AB23</f>
        <v>6.4378383175883354</v>
      </c>
      <c r="AB23" s="140">
        <f>VLOOKUP($C23,Inputs!$AN$19:$AQ$22,2,0)</f>
        <v>2.5685769719520244</v>
      </c>
    </row>
    <row r="24" spans="1:28" x14ac:dyDescent="0.35">
      <c r="A24" s="184" t="str">
        <f t="shared" si="3"/>
        <v>33.7Clear</v>
      </c>
      <c r="B24" s="34" t="str">
        <f t="shared" si="6"/>
        <v>33.7Clear0.25</v>
      </c>
      <c r="C24" s="197"/>
      <c r="D24" s="12">
        <v>33.700000000000003</v>
      </c>
      <c r="E24" s="17" t="s">
        <v>33</v>
      </c>
      <c r="F24" s="53">
        <v>0.25</v>
      </c>
      <c r="G24" s="18">
        <f t="shared" ref="G24:G28" si="20">+($E$13/1000*(1-F24)+$E$14/1000*F24)*D24*(1+0.5%)</f>
        <v>38.640639140181143</v>
      </c>
      <c r="H24" s="140">
        <f>X24*(1+(Inputs!$AH$8/Inputs!$AH$7-1)*50%)</f>
        <v>10.551240217498677</v>
      </c>
      <c r="I24" s="51">
        <f t="shared" si="4"/>
        <v>6.7277863021932061E-2</v>
      </c>
      <c r="J24" s="58">
        <f t="shared" si="7"/>
        <v>10.618518080520609</v>
      </c>
      <c r="K24" s="140">
        <f>Z24*(1+(Inputs!$AH$8/Inputs!$AH$7-1)*50%)</f>
        <v>6.4378383175883354</v>
      </c>
      <c r="L24" s="140">
        <f>VLOOKUP($C23,Inputs!$AN$19:$AQ$22,3,0)</f>
        <v>2.8962162063810104</v>
      </c>
      <c r="M24" s="58">
        <f t="shared" si="8"/>
        <v>58.593211744671095</v>
      </c>
      <c r="N24" s="51"/>
      <c r="O24" s="58">
        <f t="shared" si="9"/>
        <v>58.593211744671095</v>
      </c>
      <c r="P24" s="13"/>
      <c r="Q24" s="56">
        <f>VLOOKUP(D24,'Ate Preformas'!$D$20:$R$39,10,0)</f>
        <v>49.481357618549389</v>
      </c>
      <c r="R24" s="34">
        <v>40</v>
      </c>
      <c r="S24" s="40">
        <f t="shared" si="5"/>
        <v>6.7277863021932061E-2</v>
      </c>
      <c r="T24" s="37"/>
      <c r="X24" s="141">
        <v>10.551240217498677</v>
      </c>
      <c r="Y24" s="142">
        <v>9.0064152895403602</v>
      </c>
      <c r="Z24" s="142">
        <f t="shared" si="10"/>
        <v>6.4378383175883354</v>
      </c>
      <c r="AB24" s="140">
        <f>VLOOKUP($C23,Inputs!$AN$19:$AQ$22,2,0)</f>
        <v>2.5685769719520244</v>
      </c>
    </row>
    <row r="25" spans="1:28" x14ac:dyDescent="0.35">
      <c r="A25" s="184" t="str">
        <f t="shared" ref="A25" si="21">D25&amp;E25</f>
        <v>45.7Clear</v>
      </c>
      <c r="B25" s="34" t="str">
        <f t="shared" ref="B25" si="22">D25&amp;E25&amp;F25</f>
        <v>45.7Clear0.15</v>
      </c>
      <c r="C25" s="195">
        <v>2000</v>
      </c>
      <c r="D25" s="12">
        <v>45.7</v>
      </c>
      <c r="E25" s="17" t="s">
        <v>33</v>
      </c>
      <c r="F25" s="53">
        <v>0.15</v>
      </c>
      <c r="G25" s="18">
        <f t="shared" ref="G25" si="23">+($E$13/1000*(1-F25)+$E$14/1000*F25)*D25*(1+0.5%)</f>
        <v>50.702363203375867</v>
      </c>
      <c r="H25" s="140">
        <f>X25*(1+(Inputs!$AH$8/Inputs!$AH$7-1)*50%)</f>
        <v>14.668165848375462</v>
      </c>
      <c r="I25" s="51">
        <f t="shared" ref="I25" si="24">+S25</f>
        <v>5.0618215381833261E-2</v>
      </c>
      <c r="J25" s="58">
        <f t="shared" ref="J25" si="25">SUM(H25:I25)</f>
        <v>14.718784063757296</v>
      </c>
      <c r="K25" s="140">
        <f>Z25*(1+(Inputs!$AH$8/Inputs!$AH$7-1)*50%)</f>
        <v>4.7598330916193499</v>
      </c>
      <c r="L25" s="140">
        <f>VLOOKUP($C25,Inputs!$AN$19:$AQ$22,3,0)</f>
        <v>4.7882622625870219</v>
      </c>
      <c r="M25" s="58">
        <f t="shared" ref="M25" si="26">SUM(J25:L25)+G25</f>
        <v>74.969242621339532</v>
      </c>
      <c r="N25" s="51"/>
      <c r="O25" s="58">
        <f t="shared" ref="O25" si="27">N25+M25</f>
        <v>74.969242621339532</v>
      </c>
      <c r="P25" s="13"/>
      <c r="Q25" s="56">
        <f>VLOOKUP(D25,'Ate Preformas'!$D$20:$R$39,10,0)</f>
        <v>65.766838575560854</v>
      </c>
      <c r="R25" s="34">
        <v>40</v>
      </c>
      <c r="S25" s="40">
        <f t="shared" ref="S25" si="28">$S$16/(Q25*R25)</f>
        <v>5.0618215381833261E-2</v>
      </c>
      <c r="T25" s="37"/>
      <c r="X25" s="141">
        <v>14.668165848375462</v>
      </c>
      <c r="Y25" s="142">
        <v>9.0064152895403602</v>
      </c>
      <c r="Z25" s="142">
        <f t="shared" ref="Z25" si="29">+Y25-AB25</f>
        <v>4.7598330916193499</v>
      </c>
      <c r="AB25" s="140">
        <f>VLOOKUP($C25,Inputs!$AN$19:$AQ$22,2,0)</f>
        <v>4.2465821979210103</v>
      </c>
    </row>
    <row r="26" spans="1:28" x14ac:dyDescent="0.35">
      <c r="A26" s="184" t="str">
        <f t="shared" si="3"/>
        <v>45.7Clear</v>
      </c>
      <c r="B26" s="34" t="str">
        <f t="shared" si="6"/>
        <v>45.7Clear0.25</v>
      </c>
      <c r="C26" s="196"/>
      <c r="D26" s="12">
        <v>45.7</v>
      </c>
      <c r="E26" s="17" t="s">
        <v>33</v>
      </c>
      <c r="F26" s="53">
        <v>0.25</v>
      </c>
      <c r="G26" s="18">
        <f t="shared" si="20"/>
        <v>52.399917172293122</v>
      </c>
      <c r="H26" s="140">
        <f>X26*(1+(Inputs!$AH$8/Inputs!$AH$7-1)*50%)</f>
        <v>14.668165848375462</v>
      </c>
      <c r="I26" s="51">
        <f t="shared" si="4"/>
        <v>5.0618215381833261E-2</v>
      </c>
      <c r="J26" s="58">
        <f t="shared" si="7"/>
        <v>14.718784063757296</v>
      </c>
      <c r="K26" s="140">
        <f>Z26*(1+(Inputs!$AH$8/Inputs!$AH$7-1)*50%)</f>
        <v>4.7598330916193499</v>
      </c>
      <c r="L26" s="140">
        <f>VLOOKUP($C25,Inputs!$AN$19:$AQ$22,3,0)</f>
        <v>4.7882622625870219</v>
      </c>
      <c r="M26" s="58">
        <f t="shared" si="8"/>
        <v>76.666796590256794</v>
      </c>
      <c r="N26" s="51"/>
      <c r="O26" s="58">
        <f t="shared" si="9"/>
        <v>76.666796590256794</v>
      </c>
      <c r="P26" s="13"/>
      <c r="Q26" s="56">
        <f>VLOOKUP(D26,'Ate Preformas'!$D$20:$R$39,10,0)</f>
        <v>65.766838575560854</v>
      </c>
      <c r="R26" s="34">
        <v>40</v>
      </c>
      <c r="S26" s="40">
        <f t="shared" si="5"/>
        <v>5.0618215381833261E-2</v>
      </c>
      <c r="T26" s="37"/>
      <c r="X26" s="141">
        <v>14.668165848375462</v>
      </c>
      <c r="Y26" s="142">
        <v>9.0064152895403602</v>
      </c>
      <c r="Z26" s="142">
        <f t="shared" si="10"/>
        <v>4.7598330916193499</v>
      </c>
      <c r="AB26" s="140">
        <f>VLOOKUP($C25,Inputs!$AN$19:$AQ$22,2,0)</f>
        <v>4.2465821979210103</v>
      </c>
    </row>
    <row r="27" spans="1:28" x14ac:dyDescent="0.35">
      <c r="A27" s="184" t="str">
        <f t="shared" si="3"/>
        <v>45.7Clear</v>
      </c>
      <c r="B27" s="34" t="str">
        <f t="shared" si="6"/>
        <v>45.7Clear0.5</v>
      </c>
      <c r="C27" s="197"/>
      <c r="D27" s="12">
        <v>45.7</v>
      </c>
      <c r="E27" s="17" t="s">
        <v>33</v>
      </c>
      <c r="F27" s="53">
        <v>0.5</v>
      </c>
      <c r="G27" s="18">
        <f t="shared" si="20"/>
        <v>56.643802094586242</v>
      </c>
      <c r="H27" s="140">
        <f>X27*(1+(Inputs!$AH$8/Inputs!$AH$7-1)*50%)</f>
        <v>14.668165848375462</v>
      </c>
      <c r="I27" s="51">
        <f t="shared" si="4"/>
        <v>5.0618215381833261E-2</v>
      </c>
      <c r="J27" s="58">
        <f t="shared" ref="J27" si="30">SUM(H27:I27)</f>
        <v>14.718784063757296</v>
      </c>
      <c r="K27" s="140">
        <f>Z27*(1+(Inputs!$AH$8/Inputs!$AH$7-1)*50%)</f>
        <v>4.7598330916193499</v>
      </c>
      <c r="L27" s="140">
        <f>L26</f>
        <v>4.7882622625870219</v>
      </c>
      <c r="M27" s="58">
        <f t="shared" si="8"/>
        <v>80.910681512549914</v>
      </c>
      <c r="N27" s="51"/>
      <c r="O27" s="58">
        <f t="shared" ref="O27:O28" si="31">N27+M27</f>
        <v>80.910681512549914</v>
      </c>
      <c r="P27" s="13"/>
      <c r="Q27" s="56">
        <f>VLOOKUP(D27,'Ate Preformas'!$D$20:$R$39,10,0)</f>
        <v>65.766838575560854</v>
      </c>
      <c r="R27" s="34">
        <v>40</v>
      </c>
      <c r="S27" s="40">
        <f t="shared" si="5"/>
        <v>5.0618215381833261E-2</v>
      </c>
      <c r="T27" s="37"/>
      <c r="X27" s="166">
        <v>14.668165848375462</v>
      </c>
      <c r="Y27" s="51">
        <v>9.0064152895403602</v>
      </c>
      <c r="Z27" s="142">
        <f t="shared" si="10"/>
        <v>4.7598330916193499</v>
      </c>
      <c r="AB27" s="140">
        <f>AB26</f>
        <v>4.2465821979210103</v>
      </c>
    </row>
    <row r="28" spans="1:28" x14ac:dyDescent="0.35">
      <c r="A28" s="184" t="str">
        <f>D28&amp;E28</f>
        <v>51.2Clear</v>
      </c>
      <c r="B28" s="172" t="str">
        <f t="shared" si="6"/>
        <v>51.2Clear0.25</v>
      </c>
      <c r="C28" s="187">
        <v>3000</v>
      </c>
      <c r="D28" s="173">
        <v>51.2</v>
      </c>
      <c r="E28" s="17" t="s">
        <v>33</v>
      </c>
      <c r="F28" s="53">
        <v>0.25</v>
      </c>
      <c r="G28" s="18">
        <f t="shared" si="20"/>
        <v>58.706252937011115</v>
      </c>
      <c r="H28" s="140">
        <f>X28*(1+(Inputs!$AH$8/Inputs!$AH$7-1)*50%)</f>
        <v>12.25</v>
      </c>
      <c r="I28" s="51">
        <f t="shared" si="4"/>
        <v>4.7896342684813055E-2</v>
      </c>
      <c r="J28" s="58">
        <f>SUM(H28:I28)</f>
        <v>12.297896342684814</v>
      </c>
      <c r="K28" s="140">
        <f>Z28*(1+(Inputs!$AH$8/Inputs!$AH$7-1)*50%)</f>
        <v>3.9275212030851758</v>
      </c>
      <c r="L28" s="140">
        <f>VLOOKUP($C28,Inputs!$AN$19:$AQ$22,3,0)</f>
        <v>5.7267411194243651</v>
      </c>
      <c r="M28" s="58">
        <f t="shared" si="8"/>
        <v>80.658411602205462</v>
      </c>
      <c r="N28" s="51"/>
      <c r="O28" s="58">
        <f t="shared" si="31"/>
        <v>80.658411602205462</v>
      </c>
      <c r="P28" s="13"/>
      <c r="Q28" s="56">
        <f>VLOOKUP(D28,'Ate Preformas'!$D$20:$R$39,10,0)</f>
        <v>69.504263027071531</v>
      </c>
      <c r="R28" s="34">
        <v>40</v>
      </c>
      <c r="S28" s="40">
        <f t="shared" si="5"/>
        <v>4.7896342684813055E-2</v>
      </c>
      <c r="T28" s="37"/>
      <c r="X28" s="174">
        <v>12.25</v>
      </c>
      <c r="Y28" s="51">
        <v>9.0064152895403602</v>
      </c>
      <c r="Z28" s="142">
        <f t="shared" si="10"/>
        <v>3.9275212030851758</v>
      </c>
      <c r="AB28" s="140">
        <f>VLOOKUP($C28,Inputs!$AN$19:$AQ$22,2,0)</f>
        <v>5.0788940864551844</v>
      </c>
    </row>
    <row r="29" spans="1:28" x14ac:dyDescent="0.35">
      <c r="A29" s="184" t="str">
        <f>D29&amp;E29</f>
        <v>51.2Clear</v>
      </c>
      <c r="B29" s="172" t="str">
        <f t="shared" ref="B29" si="32">D29&amp;E29&amp;F29</f>
        <v>51.2Clear0.15</v>
      </c>
      <c r="C29" s="188"/>
      <c r="D29" s="173">
        <v>51.2</v>
      </c>
      <c r="E29" s="17" t="s">
        <v>33</v>
      </c>
      <c r="F29" s="53">
        <v>0.15</v>
      </c>
      <c r="G29" s="18">
        <f t="shared" ref="G29" si="33">+($E$13/1000*(1-F29)+$E$14/1000*F29)*D29*(1+0.5%)</f>
        <v>56.80439816220666</v>
      </c>
      <c r="H29" s="140">
        <f>X29*(1+(Inputs!$AH$8/Inputs!$AH$7-1)*50%)</f>
        <v>12.25</v>
      </c>
      <c r="I29" s="51">
        <f t="shared" si="4"/>
        <v>4.7896342684813055E-2</v>
      </c>
      <c r="J29" s="58">
        <f>SUM(H29:I29)</f>
        <v>12.297896342684814</v>
      </c>
      <c r="K29" s="140">
        <f>Z29*(1+(Inputs!$AH$8/Inputs!$AH$7-1)*50%)</f>
        <v>3.9275212030851758</v>
      </c>
      <c r="L29" s="140">
        <f>VLOOKUP($C28,Inputs!$AN$19:$AQ$22,3,0)</f>
        <v>5.7267411194243651</v>
      </c>
      <c r="M29" s="58">
        <f t="shared" si="8"/>
        <v>78.756556827401013</v>
      </c>
      <c r="N29" s="51"/>
      <c r="O29" s="58">
        <f t="shared" ref="O29" si="34">N29+M29</f>
        <v>78.756556827401013</v>
      </c>
      <c r="P29" s="13"/>
      <c r="Q29" s="56">
        <f>VLOOKUP(D29,'Ate Preformas'!$D$20:$R$39,10,0)</f>
        <v>69.504263027071531</v>
      </c>
      <c r="R29" s="34">
        <v>40</v>
      </c>
      <c r="S29" s="40">
        <f t="shared" si="5"/>
        <v>4.7896342684813055E-2</v>
      </c>
      <c r="T29" s="37"/>
      <c r="X29" s="174">
        <v>12.25</v>
      </c>
      <c r="Y29" s="51">
        <v>9.0064152895403602</v>
      </c>
      <c r="Z29" s="142">
        <f t="shared" si="10"/>
        <v>3.9275212030851758</v>
      </c>
      <c r="AB29" s="140">
        <f>VLOOKUP($C28,Inputs!$AN$19:$AQ$22,2,0)</f>
        <v>5.0788940864551844</v>
      </c>
    </row>
  </sheetData>
  <mergeCells count="7">
    <mergeCell ref="C28:C29"/>
    <mergeCell ref="C25:C27"/>
    <mergeCell ref="C13:D13"/>
    <mergeCell ref="C14:D14"/>
    <mergeCell ref="C12:D12"/>
    <mergeCell ref="C19:C22"/>
    <mergeCell ref="C23:C24"/>
  </mergeCells>
  <dataValidations disablePrompts="1" count="1">
    <dataValidation type="list" allowBlank="1" showInputMessage="1" showErrorMessage="1" sqref="D6" xr:uid="{8C4F2343-C574-4654-A6C2-FAA776AB93EE}">
      <formula1>"Perú, Colombia, Ecuador, México, Costa Rica, Panamá, Argentina, Chile, Costa Rica, Guatemala"</formula1>
    </dataValidation>
  </dataValidations>
  <pageMargins left="0.7" right="0.7" top="0.75" bottom="0.75" header="0.3" footer="0.3"/>
  <pageSetup paperSize="9" scale="54" orientation="portrait" r:id="rId1"/>
  <ignoredErrors>
    <ignoredError sqref="AB27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2E7F-4202-4C0B-AD1D-2E3BECD43A88}">
  <sheetPr>
    <tabColor rgb="FF002060"/>
  </sheetPr>
  <dimension ref="A2:AS161"/>
  <sheetViews>
    <sheetView showGridLines="0" topLeftCell="A8" zoomScale="115" zoomScaleNormal="115" workbookViewId="0">
      <pane xSplit="5" topLeftCell="F1" activePane="topRight" state="frozen"/>
      <selection pane="topRight" activeCell="I13" sqref="I13"/>
    </sheetView>
  </sheetViews>
  <sheetFormatPr defaultColWidth="11.453125" defaultRowHeight="14.5" x14ac:dyDescent="0.35"/>
  <cols>
    <col min="1" max="1" width="3" style="123" customWidth="1"/>
    <col min="2" max="2" width="14" style="123" customWidth="1"/>
    <col min="3" max="3" width="11.54296875" style="123" customWidth="1"/>
    <col min="4" max="4" width="7.54296875" style="123" customWidth="1"/>
    <col min="5" max="5" width="4.453125" style="124" customWidth="1"/>
    <col min="6" max="6" width="4.453125" style="19" customWidth="1"/>
    <col min="7" max="7" width="17.54296875" customWidth="1"/>
    <col min="8" max="8" width="10.453125" customWidth="1"/>
    <col min="9" max="9" width="20.1796875" style="85" customWidth="1"/>
    <col min="10" max="10" width="4.54296875" customWidth="1"/>
    <col min="11" max="11" width="17.54296875" customWidth="1"/>
    <col min="12" max="12" width="16.1796875" customWidth="1"/>
    <col min="13" max="13" width="5.54296875" style="86" customWidth="1"/>
    <col min="14" max="14" width="6.453125" style="19" customWidth="1"/>
    <col min="15" max="15" width="15.453125" style="19" customWidth="1"/>
    <col min="16" max="16" width="11.453125" style="19"/>
    <col min="17" max="18" width="7" style="19" customWidth="1"/>
    <col min="19" max="19" width="6.453125" style="86" customWidth="1"/>
    <col min="20" max="20" width="4.54296875" style="19" customWidth="1"/>
    <col min="21" max="21" width="9.54296875" style="19" customWidth="1"/>
    <col min="22" max="22" width="10.54296875" style="19" bestFit="1" customWidth="1"/>
    <col min="23" max="23" width="10.453125" style="19" bestFit="1" customWidth="1"/>
    <col min="24" max="24" width="14.453125" style="19" bestFit="1" customWidth="1"/>
    <col min="25" max="25" width="5.453125" style="19" customWidth="1"/>
    <col min="26" max="26" width="6.54296875" style="86" customWidth="1"/>
    <col min="27" max="27" width="5.453125" style="19" customWidth="1"/>
    <col min="28" max="28" width="13.453125" style="19" customWidth="1"/>
    <col min="29" max="29" width="11.453125" style="19"/>
    <col min="30" max="30" width="5.453125" style="86" customWidth="1"/>
    <col min="31" max="31" width="2.81640625" style="19" customWidth="1"/>
    <col min="32" max="32" width="6.453125" style="19" bestFit="1" customWidth="1"/>
    <col min="33" max="33" width="14.54296875" style="19" customWidth="1"/>
    <col min="34" max="34" width="10.453125" style="19" customWidth="1"/>
    <col min="35" max="35" width="11.453125" style="19"/>
    <col min="36" max="36" width="33.81640625" style="86" bestFit="1" customWidth="1"/>
    <col min="37" max="37" width="2.81640625" style="19" customWidth="1"/>
    <col min="38" max="38" width="10.54296875" customWidth="1"/>
    <col min="39" max="39" width="11.54296875" customWidth="1"/>
    <col min="40" max="40" width="18.54296875" bestFit="1" customWidth="1"/>
    <col min="41" max="41" width="14.1796875" bestFit="1" customWidth="1"/>
    <col min="42" max="42" width="15.54296875" style="19" bestFit="1" customWidth="1"/>
    <col min="43" max="43" width="14" style="19" bestFit="1" customWidth="1"/>
    <col min="44" max="44" width="14.453125" style="19" bestFit="1" customWidth="1"/>
    <col min="45" max="45" width="12.81640625" style="19" bestFit="1" customWidth="1"/>
    <col min="46" max="16384" width="11.453125" style="19"/>
  </cols>
  <sheetData>
    <row r="2" spans="1:45" x14ac:dyDescent="0.35">
      <c r="B2" s="125" t="s">
        <v>59</v>
      </c>
      <c r="G2" s="59" t="s">
        <v>60</v>
      </c>
      <c r="K2" s="69" t="s">
        <v>61</v>
      </c>
      <c r="O2" s="59" t="s">
        <v>62</v>
      </c>
      <c r="U2" s="84" t="s">
        <v>63</v>
      </c>
      <c r="AB2" s="59" t="s">
        <v>64</v>
      </c>
      <c r="AG2" s="59" t="s">
        <v>65</v>
      </c>
      <c r="AI2" s="87"/>
      <c r="AL2" s="59" t="s">
        <v>66</v>
      </c>
      <c r="AM2" s="157"/>
      <c r="AN2" s="157"/>
    </row>
    <row r="3" spans="1:45" ht="15.5" x14ac:dyDescent="0.35">
      <c r="A3" s="126"/>
      <c r="B3" s="126"/>
      <c r="C3" s="126"/>
      <c r="D3" s="126"/>
      <c r="E3" s="127"/>
      <c r="G3" s="69" t="s">
        <v>67</v>
      </c>
      <c r="J3" s="102"/>
      <c r="K3" s="69" t="s">
        <v>68</v>
      </c>
      <c r="O3" s="59"/>
      <c r="P3" s="60"/>
      <c r="AB3" s="73" t="s">
        <v>69</v>
      </c>
      <c r="AC3" s="87" t="s">
        <v>70</v>
      </c>
      <c r="AG3" s="59" t="s">
        <v>69</v>
      </c>
      <c r="AH3" s="87" t="s">
        <v>71</v>
      </c>
      <c r="AI3" s="2"/>
      <c r="AL3" s="147" t="s">
        <v>72</v>
      </c>
      <c r="AM3" s="158"/>
      <c r="AN3" s="159"/>
    </row>
    <row r="4" spans="1:45" x14ac:dyDescent="0.35">
      <c r="G4" s="144" t="s">
        <v>73</v>
      </c>
      <c r="J4" s="102"/>
      <c r="K4" s="145" t="s">
        <v>73</v>
      </c>
      <c r="O4" s="59" t="s">
        <v>74</v>
      </c>
      <c r="P4" s="80" t="s">
        <v>6</v>
      </c>
      <c r="U4" s="19" t="s">
        <v>75</v>
      </c>
      <c r="V4" s="19" t="s">
        <v>76</v>
      </c>
      <c r="AB4" s="19" t="s">
        <v>77</v>
      </c>
      <c r="AG4" s="147" t="s">
        <v>78</v>
      </c>
      <c r="AH4" s="148"/>
      <c r="AI4" s="2"/>
      <c r="AL4" s="160" t="s">
        <v>79</v>
      </c>
      <c r="AM4" s="70" t="s">
        <v>222</v>
      </c>
      <c r="AN4" s="161" t="s">
        <v>80</v>
      </c>
    </row>
    <row r="5" spans="1:45" x14ac:dyDescent="0.35">
      <c r="C5" s="128" t="s">
        <v>81</v>
      </c>
      <c r="D5" s="129" t="s">
        <v>82</v>
      </c>
      <c r="G5" s="143" t="s">
        <v>83</v>
      </c>
      <c r="H5" s="71"/>
      <c r="J5" s="88"/>
      <c r="K5" s="154" t="s">
        <v>84</v>
      </c>
      <c r="L5" s="135"/>
      <c r="O5" s="120" t="s">
        <v>79</v>
      </c>
      <c r="P5" s="120" t="s">
        <v>85</v>
      </c>
      <c r="AB5" s="104" t="s">
        <v>79</v>
      </c>
      <c r="AC5" s="60" t="s">
        <v>87</v>
      </c>
      <c r="AG5" s="143" t="s">
        <v>88</v>
      </c>
      <c r="AH5" s="81"/>
      <c r="AI5" s="2"/>
      <c r="AL5" s="12" t="s">
        <v>89</v>
      </c>
      <c r="AM5" s="12" t="s">
        <v>90</v>
      </c>
      <c r="AN5" s="12" t="s">
        <v>91</v>
      </c>
      <c r="AO5" s="12" t="s">
        <v>92</v>
      </c>
      <c r="AP5" s="12" t="s">
        <v>93</v>
      </c>
      <c r="AQ5" s="12" t="s">
        <v>94</v>
      </c>
    </row>
    <row r="6" spans="1:45" ht="31" x14ac:dyDescent="0.35">
      <c r="B6" s="155" t="s">
        <v>95</v>
      </c>
      <c r="C6" s="156">
        <v>2026</v>
      </c>
      <c r="D6" s="156">
        <v>4</v>
      </c>
      <c r="G6" s="120" t="s">
        <v>79</v>
      </c>
      <c r="H6" s="120" t="s">
        <v>12</v>
      </c>
      <c r="J6" s="103"/>
      <c r="K6" s="120" t="s">
        <v>79</v>
      </c>
      <c r="L6" s="120" t="s">
        <v>96</v>
      </c>
      <c r="O6" s="70" t="s">
        <v>222</v>
      </c>
      <c r="P6" s="90">
        <v>485.17557959482116</v>
      </c>
      <c r="Q6" s="19" t="s">
        <v>97</v>
      </c>
      <c r="W6" s="12" t="s">
        <v>98</v>
      </c>
      <c r="X6" s="12" t="s">
        <v>99</v>
      </c>
      <c r="AB6" s="118" t="s">
        <v>222</v>
      </c>
      <c r="AC6" s="119">
        <v>3.3612500000000005</v>
      </c>
      <c r="AG6" s="149" t="s">
        <v>79</v>
      </c>
      <c r="AH6" s="149" t="s">
        <v>101</v>
      </c>
      <c r="AI6" s="150" t="s">
        <v>102</v>
      </c>
      <c r="AL6" s="80" t="s">
        <v>6</v>
      </c>
      <c r="AM6" s="80">
        <v>1020</v>
      </c>
      <c r="AN6" s="60" t="s">
        <v>103</v>
      </c>
      <c r="AO6" s="162">
        <v>0.32200000000000001</v>
      </c>
      <c r="AP6" s="168">
        <f>+AO6/AQ6</f>
        <v>9.5797694310152462E-2</v>
      </c>
      <c r="AQ6" s="169">
        <f>+$AC$6</f>
        <v>3.3612500000000005</v>
      </c>
    </row>
    <row r="7" spans="1:45" x14ac:dyDescent="0.35">
      <c r="G7" s="70" t="s">
        <v>222</v>
      </c>
      <c r="H7" s="90">
        <v>852.5</v>
      </c>
      <c r="I7" s="137"/>
      <c r="K7" s="70" t="s">
        <v>222</v>
      </c>
      <c r="L7" s="90">
        <v>55.272727272727273</v>
      </c>
      <c r="U7" s="19" t="s">
        <v>104</v>
      </c>
      <c r="V7" s="91" t="s">
        <v>100</v>
      </c>
      <c r="W7" s="63">
        <v>447.59999999999997</v>
      </c>
      <c r="X7" s="40">
        <f>ROUND(W7/$AC$6,2)</f>
        <v>133.16</v>
      </c>
      <c r="AB7" s="121" t="s">
        <v>105</v>
      </c>
      <c r="AC7" s="121" t="s">
        <v>94</v>
      </c>
      <c r="AF7" s="151" t="s">
        <v>17</v>
      </c>
      <c r="AG7" s="2" t="s">
        <v>106</v>
      </c>
      <c r="AH7" s="146">
        <v>314.17500000000001</v>
      </c>
      <c r="AI7" s="2"/>
      <c r="AL7" s="80" t="s">
        <v>6</v>
      </c>
      <c r="AM7" s="80">
        <v>1070</v>
      </c>
      <c r="AN7" s="60" t="s">
        <v>107</v>
      </c>
      <c r="AO7" s="162">
        <v>0.32200000000000001</v>
      </c>
      <c r="AP7" s="168">
        <f>+AO7/AQ7</f>
        <v>9.5797694310152462E-2</v>
      </c>
      <c r="AQ7" s="169">
        <f>+$AC$6</f>
        <v>3.3612500000000005</v>
      </c>
    </row>
    <row r="8" spans="1:45" x14ac:dyDescent="0.35">
      <c r="C8" s="128" t="s">
        <v>108</v>
      </c>
      <c r="D8" s="129" t="s">
        <v>109</v>
      </c>
      <c r="O8" s="61" t="s">
        <v>110</v>
      </c>
      <c r="P8" s="62">
        <v>0.3</v>
      </c>
      <c r="V8" s="91" t="s">
        <v>111</v>
      </c>
      <c r="W8" s="63">
        <f>1265*5/4</f>
        <v>1581.25</v>
      </c>
      <c r="X8" s="40">
        <f>ROUND(W8/$AC$6,2)</f>
        <v>470.44</v>
      </c>
      <c r="AB8" s="92">
        <v>46054</v>
      </c>
      <c r="AC8" s="93" t="s">
        <v>133</v>
      </c>
      <c r="AF8" s="151" t="s">
        <v>112</v>
      </c>
      <c r="AG8" s="152" t="s">
        <v>134</v>
      </c>
      <c r="AH8" s="146">
        <v>314.17500000000001</v>
      </c>
      <c r="AI8" s="153">
        <f>+AH8/AH7-1</f>
        <v>0</v>
      </c>
      <c r="AJ8" s="163" t="s">
        <v>113</v>
      </c>
    </row>
    <row r="9" spans="1:45" ht="18.5" x14ac:dyDescent="0.35">
      <c r="C9" s="130" t="str">
        <f>UPPER(C6&amp;"-"&amp;D6)</f>
        <v>2026-4</v>
      </c>
      <c r="D9" s="130">
        <f>D6</f>
        <v>4</v>
      </c>
      <c r="G9" s="106" t="s">
        <v>114</v>
      </c>
      <c r="H9" s="107">
        <f>AVERAGE(H7:H7)</f>
        <v>852.5</v>
      </c>
      <c r="I9" s="105"/>
      <c r="O9" s="61" t="s">
        <v>115</v>
      </c>
      <c r="P9" s="94">
        <v>725</v>
      </c>
      <c r="Q9" s="19" t="s">
        <v>97</v>
      </c>
      <c r="V9" s="91" t="s">
        <v>116</v>
      </c>
      <c r="W9" s="63">
        <f>+(5961*4+4070)/4</f>
        <v>6978.5</v>
      </c>
      <c r="X9" s="40">
        <f>ROUND(W9/$AC$6,2)</f>
        <v>2076.16</v>
      </c>
      <c r="AB9" s="92">
        <v>46055</v>
      </c>
      <c r="AC9" s="93">
        <v>3.3690000000000002</v>
      </c>
      <c r="AL9" s="80" t="s">
        <v>6</v>
      </c>
      <c r="AM9" s="80" t="s">
        <v>17</v>
      </c>
      <c r="AN9" s="60" t="s">
        <v>117</v>
      </c>
      <c r="AO9" s="162">
        <v>8.4960422163588387E-2</v>
      </c>
      <c r="AS9" s="12" t="s">
        <v>93</v>
      </c>
    </row>
    <row r="10" spans="1:45" x14ac:dyDescent="0.35">
      <c r="G10" s="109" t="s">
        <v>118</v>
      </c>
      <c r="H10" s="108">
        <f>IF(L7&gt;180,L7+25,161)</f>
        <v>161</v>
      </c>
      <c r="I10" s="105"/>
      <c r="O10" s="61" t="s">
        <v>119</v>
      </c>
      <c r="P10" s="79">
        <f>+P6/(1-P8)+P9</f>
        <v>1418.1079708497446</v>
      </c>
      <c r="Q10" s="19" t="s">
        <v>97</v>
      </c>
      <c r="AB10" s="92">
        <v>46056</v>
      </c>
      <c r="AC10" s="93">
        <v>3.3650000000000002</v>
      </c>
      <c r="AL10" s="60"/>
      <c r="AM10" s="60"/>
      <c r="AN10" s="60" t="s">
        <v>120</v>
      </c>
      <c r="AO10" s="167">
        <v>0.12755671253253986</v>
      </c>
      <c r="AR10" s="175" t="s">
        <v>121</v>
      </c>
      <c r="AS10" s="183">
        <v>8.4960422163588387E-2</v>
      </c>
    </row>
    <row r="11" spans="1:45" x14ac:dyDescent="0.35">
      <c r="B11" s="129" t="s">
        <v>122</v>
      </c>
      <c r="C11" s="131">
        <f>DATE($C$6,$D$6,1)</f>
        <v>46113</v>
      </c>
      <c r="G11" s="111" t="s">
        <v>123</v>
      </c>
      <c r="H11" s="107">
        <f>SUM(H9:H10)</f>
        <v>1013.5</v>
      </c>
      <c r="I11" s="105"/>
      <c r="AB11" s="92">
        <v>46057</v>
      </c>
      <c r="AC11" s="93">
        <v>3.3639999999999999</v>
      </c>
      <c r="AR11" s="177" t="s">
        <v>124</v>
      </c>
      <c r="AS11" s="176">
        <v>3.79</v>
      </c>
    </row>
    <row r="12" spans="1:45" ht="29" x14ac:dyDescent="0.35">
      <c r="B12" s="129" t="s">
        <v>125</v>
      </c>
      <c r="C12" s="131">
        <f>IF(ISNUMBER($D$6),EOMONTH(C11,0),0) +
 IF(LEFT($D$6,1)="B",EOMONTH(C11,1),0) +
 IF(LEFT($D$6,1)="Q",EOMONTH(C11,2),0) +
 IF(LEFT($D$6,1)="S",EOMONTH(C11,5),0)</f>
        <v>46142</v>
      </c>
      <c r="G12" s="95" t="s">
        <v>126</v>
      </c>
      <c r="H12" s="72">
        <v>35</v>
      </c>
      <c r="I12" s="112"/>
      <c r="O12" s="138" t="s">
        <v>127</v>
      </c>
      <c r="P12" s="139">
        <v>5.0000000000000001E-3</v>
      </c>
      <c r="AB12" s="92">
        <v>46058</v>
      </c>
      <c r="AC12" s="93">
        <v>3.3679999999999999</v>
      </c>
    </row>
    <row r="13" spans="1:45" x14ac:dyDescent="0.35">
      <c r="G13" s="114" t="s">
        <v>128</v>
      </c>
      <c r="H13" s="186">
        <f>+H12+H11</f>
        <v>1048.5</v>
      </c>
      <c r="I13" s="113"/>
      <c r="M13" s="110"/>
      <c r="AB13" s="92">
        <v>46059</v>
      </c>
      <c r="AC13" s="93">
        <v>3.363</v>
      </c>
      <c r="AL13" s="12" t="s">
        <v>91</v>
      </c>
      <c r="AM13" s="12" t="s">
        <v>20</v>
      </c>
      <c r="AN13" s="12" t="s">
        <v>19</v>
      </c>
      <c r="AO13" s="12" t="s">
        <v>129</v>
      </c>
      <c r="AP13" s="12" t="s">
        <v>130</v>
      </c>
    </row>
    <row r="14" spans="1:45" x14ac:dyDescent="0.35">
      <c r="I14" s="115"/>
      <c r="AB14" s="92">
        <v>46060</v>
      </c>
      <c r="AC14" s="93" t="s">
        <v>133</v>
      </c>
      <c r="AL14" s="15" t="s">
        <v>116</v>
      </c>
      <c r="AM14" s="178">
        <v>19.7</v>
      </c>
      <c r="AN14" s="179" t="s">
        <v>34</v>
      </c>
      <c r="AO14" s="181">
        <v>1.7848292817335774</v>
      </c>
      <c r="AP14" s="180">
        <f>AO14*(1+$AO$10)</f>
        <v>2.0124962373433268</v>
      </c>
    </row>
    <row r="15" spans="1:45" x14ac:dyDescent="0.35">
      <c r="I15" s="96"/>
      <c r="AB15" s="92">
        <v>46061</v>
      </c>
      <c r="AC15" s="93" t="s">
        <v>133</v>
      </c>
      <c r="AL15" s="15" t="s">
        <v>116</v>
      </c>
      <c r="AM15" s="178">
        <v>33.700000000000003</v>
      </c>
      <c r="AN15" s="179">
        <v>1000</v>
      </c>
      <c r="AO15" s="181">
        <v>2.6490385989545939</v>
      </c>
      <c r="AP15" s="180">
        <f t="shared" ref="AP15:AP22" si="0">AO15*(1+$AO$10)</f>
        <v>2.9869412540090474</v>
      </c>
    </row>
    <row r="16" spans="1:45" ht="29" x14ac:dyDescent="0.35">
      <c r="G16" s="138" t="s">
        <v>127</v>
      </c>
      <c r="H16" s="139">
        <v>5.0000000000000001E-3</v>
      </c>
      <c r="I16" s="113"/>
      <c r="AB16" s="92">
        <v>46062</v>
      </c>
      <c r="AC16" s="93">
        <v>3.363</v>
      </c>
      <c r="AL16" s="15" t="s">
        <v>116</v>
      </c>
      <c r="AM16" s="178">
        <v>45.7</v>
      </c>
      <c r="AN16" s="179">
        <v>2000</v>
      </c>
      <c r="AO16" s="181">
        <v>4.3796079614375225</v>
      </c>
      <c r="AP16" s="180">
        <f t="shared" si="0"/>
        <v>4.9382563551798313</v>
      </c>
    </row>
    <row r="17" spans="14:42" x14ac:dyDescent="0.35">
      <c r="AB17" s="92">
        <v>46063</v>
      </c>
      <c r="AC17" s="93">
        <v>3.3620000000000001</v>
      </c>
      <c r="AL17" s="15" t="s">
        <v>116</v>
      </c>
      <c r="AM17" s="178">
        <v>54.7</v>
      </c>
      <c r="AN17" s="178">
        <v>3000</v>
      </c>
      <c r="AO17" s="181">
        <v>5.237992328801937</v>
      </c>
      <c r="AP17" s="180">
        <f t="shared" si="0"/>
        <v>5.9061334105345749</v>
      </c>
    </row>
    <row r="18" spans="14:42" x14ac:dyDescent="0.35">
      <c r="S18" s="64"/>
      <c r="AB18" s="92">
        <v>46064</v>
      </c>
      <c r="AC18" s="93">
        <v>3.363</v>
      </c>
      <c r="AL18" s="15" t="s">
        <v>116</v>
      </c>
      <c r="AM18" s="178">
        <v>51.2</v>
      </c>
      <c r="AN18" s="179">
        <v>3000</v>
      </c>
      <c r="AO18" s="181">
        <v>5.237992328801937</v>
      </c>
      <c r="AP18" s="180">
        <f t="shared" si="0"/>
        <v>5.9061334105345749</v>
      </c>
    </row>
    <row r="19" spans="14:42" ht="29" x14ac:dyDescent="0.35">
      <c r="T19" s="60"/>
      <c r="AB19" s="92">
        <v>46065</v>
      </c>
      <c r="AC19" s="93">
        <v>3.3580000000000001</v>
      </c>
      <c r="AL19" s="15" t="s">
        <v>100</v>
      </c>
      <c r="AM19" s="178">
        <v>19.7</v>
      </c>
      <c r="AN19" s="179" t="s">
        <v>58</v>
      </c>
      <c r="AO19" s="182">
        <v>1.7306170599914044</v>
      </c>
      <c r="AP19" s="180">
        <f t="shared" si="0"/>
        <v>1.9513688828166371</v>
      </c>
    </row>
    <row r="20" spans="14:42" x14ac:dyDescent="0.35">
      <c r="S20" s="66"/>
      <c r="AB20" s="92">
        <v>46066</v>
      </c>
      <c r="AC20" s="93">
        <v>3.3580000000000001</v>
      </c>
      <c r="AL20" s="15" t="s">
        <v>100</v>
      </c>
      <c r="AM20" s="178">
        <v>33.700000000000003</v>
      </c>
      <c r="AN20" s="179">
        <v>1000</v>
      </c>
      <c r="AO20" s="182">
        <v>2.5685769719520244</v>
      </c>
      <c r="AP20" s="180">
        <f t="shared" si="0"/>
        <v>2.8962162063810104</v>
      </c>
    </row>
    <row r="21" spans="14:42" x14ac:dyDescent="0.35">
      <c r="S21" s="97"/>
      <c r="T21" s="65"/>
      <c r="AB21" s="92">
        <v>46067</v>
      </c>
      <c r="AC21" s="93" t="s">
        <v>133</v>
      </c>
      <c r="AL21" s="15" t="s">
        <v>100</v>
      </c>
      <c r="AM21" s="178">
        <v>45.7</v>
      </c>
      <c r="AN21" s="179">
        <v>2000</v>
      </c>
      <c r="AO21" s="182">
        <v>4.2465821979210103</v>
      </c>
      <c r="AP21" s="180">
        <f t="shared" si="0"/>
        <v>4.7882622625870219</v>
      </c>
    </row>
    <row r="22" spans="14:42" x14ac:dyDescent="0.35">
      <c r="N22" s="116"/>
      <c r="S22" s="110"/>
      <c r="T22" s="14"/>
      <c r="AB22" s="92">
        <v>46068</v>
      </c>
      <c r="AC22" s="93" t="s">
        <v>133</v>
      </c>
      <c r="AL22" s="15" t="s">
        <v>100</v>
      </c>
      <c r="AM22" s="178">
        <v>51.2</v>
      </c>
      <c r="AN22" s="179">
        <v>3000</v>
      </c>
      <c r="AO22" s="182">
        <v>5.0788940864551844</v>
      </c>
      <c r="AP22" s="180">
        <f t="shared" si="0"/>
        <v>5.7267411194243651</v>
      </c>
    </row>
    <row r="23" spans="14:42" x14ac:dyDescent="0.35">
      <c r="T23" s="116"/>
      <c r="AB23" s="92">
        <v>46069</v>
      </c>
      <c r="AC23" s="93">
        <v>3.3559999999999999</v>
      </c>
    </row>
    <row r="24" spans="14:42" x14ac:dyDescent="0.35">
      <c r="AB24" s="92">
        <v>46070</v>
      </c>
      <c r="AC24" s="93">
        <v>3.3479999999999999</v>
      </c>
    </row>
    <row r="25" spans="14:42" x14ac:dyDescent="0.35">
      <c r="AB25" s="92">
        <v>46071</v>
      </c>
      <c r="AC25" s="93">
        <v>3.3530000000000002</v>
      </c>
    </row>
    <row r="26" spans="14:42" x14ac:dyDescent="0.35">
      <c r="S26" s="98"/>
      <c r="AB26" s="92">
        <v>46072</v>
      </c>
      <c r="AC26" s="93">
        <v>3.3660000000000001</v>
      </c>
    </row>
    <row r="27" spans="14:42" x14ac:dyDescent="0.35">
      <c r="S27" s="99"/>
      <c r="T27" s="100"/>
      <c r="AB27" s="92">
        <v>46073</v>
      </c>
      <c r="AC27" s="93">
        <v>3.36</v>
      </c>
    </row>
    <row r="28" spans="14:42" x14ac:dyDescent="0.35">
      <c r="S28" s="68"/>
      <c r="T28" s="101"/>
      <c r="AB28" s="92">
        <v>46074</v>
      </c>
      <c r="AC28" s="93" t="s">
        <v>133</v>
      </c>
    </row>
    <row r="29" spans="14:42" x14ac:dyDescent="0.35">
      <c r="S29" s="99"/>
      <c r="T29" s="67"/>
      <c r="AB29" s="92">
        <v>46075</v>
      </c>
      <c r="AC29" s="93" t="s">
        <v>133</v>
      </c>
    </row>
    <row r="30" spans="14:42" x14ac:dyDescent="0.35">
      <c r="T30" s="101"/>
      <c r="AB30" s="92">
        <v>46076</v>
      </c>
      <c r="AC30" s="93">
        <v>3.3620000000000001</v>
      </c>
    </row>
    <row r="31" spans="14:42" x14ac:dyDescent="0.35">
      <c r="AB31" s="92">
        <v>46077</v>
      </c>
      <c r="AC31" s="93">
        <v>3.363</v>
      </c>
    </row>
    <row r="32" spans="14:42" x14ac:dyDescent="0.35">
      <c r="AB32" s="92">
        <v>46078</v>
      </c>
      <c r="AC32" s="93">
        <v>3.363</v>
      </c>
    </row>
    <row r="33" spans="28:29" x14ac:dyDescent="0.35">
      <c r="AB33" s="92">
        <v>46079</v>
      </c>
      <c r="AC33" s="93">
        <v>3.36</v>
      </c>
    </row>
    <row r="34" spans="28:29" x14ac:dyDescent="0.35">
      <c r="AB34" s="92">
        <v>46080</v>
      </c>
      <c r="AC34" s="93">
        <v>3.3610000000000002</v>
      </c>
    </row>
    <row r="35" spans="28:29" x14ac:dyDescent="0.35">
      <c r="AB35" s="92">
        <v>46081</v>
      </c>
      <c r="AC35" s="93" t="s">
        <v>133</v>
      </c>
    </row>
    <row r="36" spans="28:29" x14ac:dyDescent="0.35">
      <c r="AB36" s="92"/>
      <c r="AC36" s="93" t="str">
        <f>IFERROR(IF(VLOOKUP(AB36,#REF!,2,0)=0,"",VLOOKUP(AB36,#REF!,2,0)),"")</f>
        <v/>
      </c>
    </row>
    <row r="37" spans="28:29" x14ac:dyDescent="0.35">
      <c r="AB37" s="92"/>
      <c r="AC37" s="93" t="str">
        <f>IFERROR(IF(VLOOKUP(AB37,#REF!,2,0)=0,"",VLOOKUP(AB37,#REF!,2,0)),"")</f>
        <v/>
      </c>
    </row>
    <row r="38" spans="28:29" x14ac:dyDescent="0.35">
      <c r="AB38" s="92"/>
      <c r="AC38" s="93" t="str">
        <f>IFERROR(IF(VLOOKUP(AB38,#REF!,2,0)=0,"",VLOOKUP(AB38,#REF!,2,0)),"")</f>
        <v/>
      </c>
    </row>
    <row r="41" spans="28:29" x14ac:dyDescent="0.35">
      <c r="AB41" s="2"/>
      <c r="AC41" s="2"/>
    </row>
    <row r="42" spans="28:29" x14ac:dyDescent="0.35">
      <c r="AB42" s="2"/>
      <c r="AC42" s="2"/>
    </row>
    <row r="107" spans="1:5" x14ac:dyDescent="0.35">
      <c r="A107" s="132"/>
      <c r="B107" s="132"/>
      <c r="C107" s="132"/>
      <c r="D107" s="132"/>
      <c r="E107" s="133"/>
    </row>
    <row r="146" spans="10:12" x14ac:dyDescent="0.35">
      <c r="K146" s="117"/>
      <c r="L146" s="117"/>
    </row>
    <row r="147" spans="10:12" x14ac:dyDescent="0.35">
      <c r="K147" s="117"/>
      <c r="L147" s="117"/>
    </row>
    <row r="148" spans="10:12" x14ac:dyDescent="0.35">
      <c r="K148" s="117"/>
      <c r="L148" s="117"/>
    </row>
    <row r="149" spans="10:12" x14ac:dyDescent="0.35">
      <c r="K149" s="117"/>
      <c r="L149" s="117"/>
    </row>
    <row r="150" spans="10:12" x14ac:dyDescent="0.35">
      <c r="K150" s="117"/>
      <c r="L150" s="117"/>
    </row>
    <row r="151" spans="10:12" x14ac:dyDescent="0.35">
      <c r="K151" s="117"/>
      <c r="L151" s="117"/>
    </row>
    <row r="152" spans="10:12" x14ac:dyDescent="0.35">
      <c r="K152" s="117"/>
      <c r="L152" s="117"/>
    </row>
    <row r="153" spans="10:12" x14ac:dyDescent="0.35">
      <c r="K153" s="117"/>
      <c r="L153" s="117"/>
    </row>
    <row r="154" spans="10:12" x14ac:dyDescent="0.35">
      <c r="J154" s="117"/>
    </row>
    <row r="155" spans="10:12" x14ac:dyDescent="0.35">
      <c r="J155" s="117"/>
    </row>
    <row r="156" spans="10:12" x14ac:dyDescent="0.35">
      <c r="J156" s="117"/>
    </row>
    <row r="157" spans="10:12" x14ac:dyDescent="0.35">
      <c r="J157" s="117"/>
    </row>
    <row r="158" spans="10:12" x14ac:dyDescent="0.35">
      <c r="J158" s="117"/>
    </row>
    <row r="159" spans="10:12" x14ac:dyDescent="0.35">
      <c r="J159" s="117"/>
    </row>
    <row r="160" spans="10:12" x14ac:dyDescent="0.35">
      <c r="J160" s="117"/>
    </row>
    <row r="161" spans="10:10" x14ac:dyDescent="0.35">
      <c r="J161" s="117"/>
    </row>
  </sheetData>
  <phoneticPr fontId="12" type="noConversion"/>
  <dataValidations count="1">
    <dataValidation type="list" allowBlank="1" showInputMessage="1" showErrorMessage="1" sqref="D6" xr:uid="{EDCD7AF2-D499-4CD7-B32C-4A810BD5BBC6}">
      <formula1>"1,2,3,4,5,6,7,8,9,10,11,12"</formula1>
    </dataValidation>
  </dataValidations>
  <hyperlinks>
    <hyperlink ref="AC3" r:id="rId1" xr:uid="{04C63704-24E9-449A-8B2B-4CC7DD70824B}"/>
    <hyperlink ref="AH3" r:id="rId2" xr:uid="{C765676B-6DBC-4A5F-B75F-FB50472C8343}"/>
  </hyperlinks>
  <pageMargins left="0.7" right="0.7" top="0.75" bottom="0.75" header="0.3" footer="0.3"/>
  <pageSetup paperSize="9" orientation="portrait" horizontalDpi="200" verticalDpi="200" r:id="rId3"/>
  <customProperties>
    <customPr name="IbpWorksheetKeyString_GUID" r:id="rId4"/>
  </customPropertie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0300-BA51-435D-87F2-EFA7666F404F}">
  <dimension ref="F4:I11"/>
  <sheetViews>
    <sheetView tabSelected="1" zoomScale="115" zoomScaleNormal="115" workbookViewId="0">
      <selection activeCell="G4" sqref="G4"/>
    </sheetView>
  </sheetViews>
  <sheetFormatPr defaultRowHeight="14.5" x14ac:dyDescent="0.35"/>
  <cols>
    <col min="6" max="6" width="17.26953125" bestFit="1" customWidth="1"/>
    <col min="7" max="7" width="13.81640625" bestFit="1" customWidth="1"/>
    <col min="9" max="9" width="20.453125" bestFit="1" customWidth="1"/>
  </cols>
  <sheetData>
    <row r="4" spans="6:9" x14ac:dyDescent="0.35">
      <c r="G4" t="s">
        <v>233</v>
      </c>
      <c r="I4" t="s">
        <v>234</v>
      </c>
    </row>
    <row r="6" spans="6:9" x14ac:dyDescent="0.35">
      <c r="F6" t="s">
        <v>230</v>
      </c>
      <c r="G6" t="s">
        <v>114</v>
      </c>
      <c r="H6">
        <v>852.5</v>
      </c>
      <c r="I6" s="185" t="s">
        <v>225</v>
      </c>
    </row>
    <row r="7" spans="6:9" x14ac:dyDescent="0.35">
      <c r="F7" t="s">
        <v>231</v>
      </c>
      <c r="G7" t="s">
        <v>118</v>
      </c>
      <c r="H7">
        <v>161</v>
      </c>
      <c r="I7" s="185" t="s">
        <v>226</v>
      </c>
    </row>
    <row r="8" spans="6:9" x14ac:dyDescent="0.35">
      <c r="F8" t="s">
        <v>232</v>
      </c>
      <c r="G8" t="s">
        <v>227</v>
      </c>
      <c r="H8">
        <v>0</v>
      </c>
    </row>
    <row r="9" spans="6:9" x14ac:dyDescent="0.35">
      <c r="G9" t="s">
        <v>123</v>
      </c>
      <c r="H9">
        <f>(H7+H6)*(1+H8)</f>
        <v>1013.5</v>
      </c>
      <c r="I9" t="s">
        <v>228</v>
      </c>
    </row>
    <row r="10" spans="6:9" x14ac:dyDescent="0.35">
      <c r="F10" t="s">
        <v>224</v>
      </c>
      <c r="G10" t="s">
        <v>126</v>
      </c>
      <c r="H10">
        <v>35</v>
      </c>
      <c r="I10" s="185" t="s">
        <v>226</v>
      </c>
    </row>
    <row r="11" spans="6:9" x14ac:dyDescent="0.35">
      <c r="G11" s="69" t="s">
        <v>128</v>
      </c>
      <c r="H11" s="69">
        <f>H10+H9</f>
        <v>1048.5</v>
      </c>
      <c r="I11" s="69" t="s">
        <v>229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2027-24F4-49F3-9550-B4F11D7B9C51}">
  <sheetPr filterMode="1">
    <tabColor rgb="FFFFFF00"/>
  </sheetPr>
  <dimension ref="C2:I24"/>
  <sheetViews>
    <sheetView workbookViewId="0">
      <selection activeCell="C7" sqref="C7"/>
    </sheetView>
  </sheetViews>
  <sheetFormatPr defaultColWidth="11.453125" defaultRowHeight="14.5" x14ac:dyDescent="0.35"/>
  <cols>
    <col min="4" max="5" width="18.54296875" bestFit="1" customWidth="1"/>
    <col min="6" max="6" width="38.54296875" bestFit="1" customWidth="1"/>
  </cols>
  <sheetData>
    <row r="2" spans="3:9" x14ac:dyDescent="0.35">
      <c r="C2" t="s">
        <v>155</v>
      </c>
      <c r="D2" t="s">
        <v>156</v>
      </c>
      <c r="E2" t="s">
        <v>157</v>
      </c>
      <c r="F2" t="s">
        <v>158</v>
      </c>
      <c r="G2" t="s">
        <v>90</v>
      </c>
      <c r="H2" s="134" t="s">
        <v>159</v>
      </c>
      <c r="I2" s="134" t="s">
        <v>20</v>
      </c>
    </row>
    <row r="3" spans="3:9" hidden="1" x14ac:dyDescent="0.35">
      <c r="C3">
        <v>401737</v>
      </c>
      <c r="D3" t="s">
        <v>160</v>
      </c>
      <c r="E3" t="e">
        <f>VLOOKUP(D3,#REF!,1,0)</f>
        <v>#REF!</v>
      </c>
      <c r="F3" t="s">
        <v>161</v>
      </c>
      <c r="G3">
        <v>1020</v>
      </c>
      <c r="H3" s="89">
        <v>25</v>
      </c>
      <c r="I3">
        <v>19.7</v>
      </c>
    </row>
    <row r="4" spans="3:9" hidden="1" x14ac:dyDescent="0.35">
      <c r="C4">
        <v>401737</v>
      </c>
      <c r="D4" t="s">
        <v>162</v>
      </c>
      <c r="E4" t="e">
        <f>VLOOKUP(D4,#REF!,1,0)</f>
        <v>#REF!</v>
      </c>
      <c r="F4" t="s">
        <v>163</v>
      </c>
      <c r="G4">
        <v>1020</v>
      </c>
      <c r="H4" s="89">
        <v>25</v>
      </c>
      <c r="I4">
        <v>54.7</v>
      </c>
    </row>
    <row r="5" spans="3:9" hidden="1" x14ac:dyDescent="0.35">
      <c r="C5">
        <v>401737</v>
      </c>
      <c r="D5" t="s">
        <v>164</v>
      </c>
      <c r="E5" t="e">
        <f>VLOOKUP(D5,#REF!,1,0)</f>
        <v>#REF!</v>
      </c>
      <c r="F5" t="s">
        <v>165</v>
      </c>
      <c r="G5">
        <v>1020</v>
      </c>
      <c r="H5" s="89">
        <v>25</v>
      </c>
      <c r="I5">
        <v>45.7</v>
      </c>
    </row>
    <row r="6" spans="3:9" hidden="1" x14ac:dyDescent="0.35">
      <c r="C6">
        <v>401737</v>
      </c>
      <c r="D6" t="s">
        <v>166</v>
      </c>
      <c r="E6" t="e">
        <f>VLOOKUP(D6,#REF!,1,0)</f>
        <v>#REF!</v>
      </c>
      <c r="F6" t="s">
        <v>167</v>
      </c>
      <c r="G6">
        <v>1020</v>
      </c>
      <c r="H6" s="89">
        <v>25</v>
      </c>
      <c r="I6">
        <v>33.700000000000003</v>
      </c>
    </row>
    <row r="7" spans="3:9" s="135" customFormat="1" x14ac:dyDescent="0.35">
      <c r="C7" s="135">
        <v>401737</v>
      </c>
      <c r="D7" s="135" t="s">
        <v>168</v>
      </c>
      <c r="E7" s="135" t="e">
        <f>VLOOKUP(D7,#REF!,1,0)</f>
        <v>#REF!</v>
      </c>
      <c r="F7" s="135" t="s">
        <v>163</v>
      </c>
      <c r="G7" s="135">
        <v>1020</v>
      </c>
      <c r="H7" s="136">
        <v>25</v>
      </c>
      <c r="I7" s="135">
        <v>51.2</v>
      </c>
    </row>
    <row r="8" spans="3:9" s="135" customFormat="1" x14ac:dyDescent="0.35">
      <c r="C8" s="135">
        <v>401737</v>
      </c>
      <c r="D8" s="135" t="s">
        <v>169</v>
      </c>
      <c r="E8" s="135" t="e">
        <f>VLOOKUP(D8,#REF!,1,0)</f>
        <v>#REF!</v>
      </c>
      <c r="F8" s="135" t="s">
        <v>165</v>
      </c>
      <c r="G8" s="135">
        <v>1020</v>
      </c>
      <c r="H8" s="136">
        <v>25</v>
      </c>
      <c r="I8" s="135">
        <v>42.7</v>
      </c>
    </row>
    <row r="9" spans="3:9" hidden="1" x14ac:dyDescent="0.35">
      <c r="C9">
        <v>401737</v>
      </c>
      <c r="D9" t="s">
        <v>170</v>
      </c>
      <c r="E9" t="e">
        <f>VLOOKUP(D9,#REF!,1,0)</f>
        <v>#REF!</v>
      </c>
      <c r="F9" t="s">
        <v>171</v>
      </c>
      <c r="G9">
        <v>1020</v>
      </c>
      <c r="H9" s="89">
        <v>25</v>
      </c>
      <c r="I9">
        <v>45.7</v>
      </c>
    </row>
    <row r="10" spans="3:9" hidden="1" x14ac:dyDescent="0.35">
      <c r="C10">
        <v>400009</v>
      </c>
      <c r="D10" t="s">
        <v>164</v>
      </c>
      <c r="E10" t="e">
        <f>VLOOKUP(D10,#REF!,1,0)</f>
        <v>#REF!</v>
      </c>
      <c r="F10" t="s">
        <v>165</v>
      </c>
      <c r="G10">
        <v>1070</v>
      </c>
      <c r="H10" s="89">
        <v>25</v>
      </c>
      <c r="I10">
        <v>45.7</v>
      </c>
    </row>
    <row r="11" spans="3:9" hidden="1" x14ac:dyDescent="0.35">
      <c r="C11">
        <v>400009</v>
      </c>
      <c r="D11" t="s">
        <v>172</v>
      </c>
      <c r="E11" t="e">
        <f>VLOOKUP(D11,#REF!,1,0)</f>
        <v>#REF!</v>
      </c>
      <c r="F11" t="s">
        <v>173</v>
      </c>
      <c r="G11">
        <v>1070</v>
      </c>
      <c r="H11" s="89">
        <v>25</v>
      </c>
      <c r="I11">
        <v>19.7</v>
      </c>
    </row>
    <row r="12" spans="3:9" hidden="1" x14ac:dyDescent="0.35">
      <c r="C12">
        <v>400009</v>
      </c>
      <c r="D12" t="s">
        <v>162</v>
      </c>
      <c r="E12" t="e">
        <f>VLOOKUP(D12,#REF!,1,0)</f>
        <v>#REF!</v>
      </c>
      <c r="F12" t="s">
        <v>163</v>
      </c>
      <c r="G12">
        <v>1070</v>
      </c>
      <c r="H12" s="89">
        <v>25</v>
      </c>
      <c r="I12">
        <v>54.7</v>
      </c>
    </row>
    <row r="13" spans="3:9" hidden="1" x14ac:dyDescent="0.35">
      <c r="C13">
        <v>400009</v>
      </c>
      <c r="D13" t="s">
        <v>174</v>
      </c>
      <c r="E13" t="e">
        <f>VLOOKUP(D13,#REF!,1,0)</f>
        <v>#REF!</v>
      </c>
      <c r="F13" t="s">
        <v>175</v>
      </c>
      <c r="G13">
        <v>1070</v>
      </c>
      <c r="H13" s="89">
        <v>25</v>
      </c>
      <c r="I13">
        <v>33.700000000000003</v>
      </c>
    </row>
    <row r="14" spans="3:9" hidden="1" x14ac:dyDescent="0.35">
      <c r="C14">
        <v>400009</v>
      </c>
      <c r="D14" t="s">
        <v>168</v>
      </c>
      <c r="E14" t="e">
        <f>VLOOKUP(D14,#REF!,1,0)</f>
        <v>#REF!</v>
      </c>
      <c r="F14" t="s">
        <v>163</v>
      </c>
      <c r="G14">
        <v>1070</v>
      </c>
      <c r="H14" s="89">
        <v>25</v>
      </c>
      <c r="I14">
        <v>51.2</v>
      </c>
    </row>
    <row r="15" spans="3:9" hidden="1" x14ac:dyDescent="0.35">
      <c r="C15">
        <v>400008</v>
      </c>
      <c r="D15" t="s">
        <v>176</v>
      </c>
      <c r="E15" t="e">
        <f>VLOOKUP(D15,#REF!,1,0)</f>
        <v>#REF!</v>
      </c>
      <c r="F15" t="s">
        <v>177</v>
      </c>
      <c r="G15">
        <v>1000</v>
      </c>
      <c r="H15" s="89">
        <v>25</v>
      </c>
      <c r="I15">
        <v>98</v>
      </c>
    </row>
    <row r="16" spans="3:9" hidden="1" x14ac:dyDescent="0.35">
      <c r="C16">
        <v>401737</v>
      </c>
      <c r="D16" t="s">
        <v>178</v>
      </c>
      <c r="E16" t="e">
        <f>VLOOKUP(D16,#REF!,1,0)</f>
        <v>#REF!</v>
      </c>
      <c r="F16" t="s">
        <v>179</v>
      </c>
      <c r="G16">
        <v>1000</v>
      </c>
      <c r="H16" s="89">
        <v>50</v>
      </c>
      <c r="I16">
        <v>19.7</v>
      </c>
    </row>
    <row r="17" spans="3:9" s="135" customFormat="1" x14ac:dyDescent="0.35">
      <c r="C17" s="135">
        <v>401737</v>
      </c>
      <c r="D17" s="135" t="s">
        <v>180</v>
      </c>
      <c r="E17" s="135" t="e">
        <f>VLOOKUP(D17,#REF!,1,0)</f>
        <v>#REF!</v>
      </c>
      <c r="F17" s="135" t="s">
        <v>181</v>
      </c>
      <c r="G17" s="135">
        <v>1000</v>
      </c>
      <c r="H17" s="136">
        <v>60</v>
      </c>
      <c r="I17" s="135">
        <v>17.7</v>
      </c>
    </row>
    <row r="18" spans="3:9" hidden="1" x14ac:dyDescent="0.35">
      <c r="C18">
        <v>401737</v>
      </c>
      <c r="D18" t="s">
        <v>182</v>
      </c>
      <c r="E18" t="e">
        <f>VLOOKUP(D18,#REF!,1,0)</f>
        <v>#REF!</v>
      </c>
      <c r="F18" t="s">
        <v>183</v>
      </c>
      <c r="G18">
        <v>1000</v>
      </c>
      <c r="H18" s="89">
        <v>60</v>
      </c>
      <c r="I18">
        <v>19.7</v>
      </c>
    </row>
    <row r="19" spans="3:9" hidden="1" x14ac:dyDescent="0.35">
      <c r="C19">
        <v>401737</v>
      </c>
      <c r="D19" t="s">
        <v>184</v>
      </c>
      <c r="E19" t="e">
        <f>VLOOKUP(D19,#REF!,1,0)</f>
        <v>#REF!</v>
      </c>
      <c r="F19" t="s">
        <v>185</v>
      </c>
      <c r="G19">
        <v>1000</v>
      </c>
      <c r="H19" s="89">
        <v>100</v>
      </c>
      <c r="I19">
        <v>19.7</v>
      </c>
    </row>
    <row r="20" spans="3:9" hidden="1" x14ac:dyDescent="0.35">
      <c r="C20">
        <v>400008</v>
      </c>
      <c r="D20" t="s">
        <v>186</v>
      </c>
      <c r="E20" t="e">
        <f>VLOOKUP(D20,#REF!,1,0)</f>
        <v>#REF!</v>
      </c>
      <c r="F20" t="s">
        <v>187</v>
      </c>
      <c r="G20">
        <v>1000</v>
      </c>
      <c r="H20" s="89">
        <v>100</v>
      </c>
      <c r="I20">
        <v>19.7</v>
      </c>
    </row>
    <row r="21" spans="3:9" hidden="1" x14ac:dyDescent="0.35">
      <c r="C21">
        <v>400008</v>
      </c>
      <c r="D21" t="s">
        <v>188</v>
      </c>
      <c r="E21" t="e">
        <f>VLOOKUP(D21,#REF!,1,0)</f>
        <v>#REF!</v>
      </c>
      <c r="F21" t="s">
        <v>189</v>
      </c>
      <c r="G21">
        <v>1000</v>
      </c>
      <c r="H21" s="89">
        <v>25</v>
      </c>
      <c r="I21">
        <v>45.7</v>
      </c>
    </row>
    <row r="22" spans="3:9" s="135" customFormat="1" x14ac:dyDescent="0.35">
      <c r="C22" s="135">
        <v>400008</v>
      </c>
      <c r="D22" s="135" t="s">
        <v>190</v>
      </c>
      <c r="E22" s="135" t="e">
        <f>VLOOKUP(D22,#REF!,1,0)</f>
        <v>#REF!</v>
      </c>
      <c r="F22" s="135" t="s">
        <v>191</v>
      </c>
      <c r="G22" s="135">
        <v>1000</v>
      </c>
      <c r="H22" s="136">
        <v>100</v>
      </c>
      <c r="I22" s="135">
        <v>14.5</v>
      </c>
    </row>
    <row r="23" spans="3:9" hidden="1" x14ac:dyDescent="0.35">
      <c r="C23">
        <v>400008</v>
      </c>
      <c r="D23" t="s">
        <v>192</v>
      </c>
      <c r="E23" t="e">
        <f>VLOOKUP(D23,#REF!,1,0)</f>
        <v>#REF!</v>
      </c>
      <c r="F23" t="s">
        <v>193</v>
      </c>
      <c r="G23">
        <v>1000</v>
      </c>
      <c r="H23" s="89">
        <v>100</v>
      </c>
      <c r="I23">
        <v>14.5</v>
      </c>
    </row>
    <row r="24" spans="3:9" s="135" customFormat="1" x14ac:dyDescent="0.35">
      <c r="C24" s="135">
        <v>400008</v>
      </c>
      <c r="D24" s="135" t="s">
        <v>194</v>
      </c>
      <c r="E24" s="135" t="e">
        <f>VLOOKUP(D24,#REF!,1,0)</f>
        <v>#REF!</v>
      </c>
      <c r="F24" s="135" t="s">
        <v>195</v>
      </c>
      <c r="G24" s="135">
        <v>1000</v>
      </c>
      <c r="H24" s="136">
        <v>100</v>
      </c>
      <c r="I24" s="135">
        <v>14.5</v>
      </c>
    </row>
  </sheetData>
  <autoFilter ref="C2:I24" xr:uid="{8A322027-24F4-49F3-9550-B4F11D7B9C51}">
    <filterColumn colId="1">
      <colorFilter dxfId="107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A152-9422-4385-9BEA-977A171E735F}">
  <sheetPr>
    <tabColor rgb="FF7030A0"/>
  </sheetPr>
  <dimension ref="B1:Z33"/>
  <sheetViews>
    <sheetView topLeftCell="M1" workbookViewId="0">
      <selection activeCell="T8" sqref="T8"/>
    </sheetView>
  </sheetViews>
  <sheetFormatPr defaultColWidth="11.453125" defaultRowHeight="14.5" x14ac:dyDescent="0.35"/>
  <cols>
    <col min="1" max="1" width="2.453125" customWidth="1"/>
    <col min="2" max="2" width="8" customWidth="1"/>
    <col min="3" max="3" width="8.453125" bestFit="1" customWidth="1"/>
    <col min="4" max="4" width="10" bestFit="1" customWidth="1"/>
    <col min="5" max="5" width="10.453125" bestFit="1" customWidth="1"/>
    <col min="6" max="6" width="6.54296875" bestFit="1" customWidth="1"/>
    <col min="7" max="7" width="7" bestFit="1" customWidth="1"/>
    <col min="8" max="8" width="15.54296875" bestFit="1" customWidth="1"/>
    <col min="9" max="9" width="14.453125" bestFit="1" customWidth="1"/>
    <col min="10" max="11" width="13.54296875" bestFit="1" customWidth="1"/>
    <col min="12" max="13" width="38.54296875" bestFit="1" customWidth="1"/>
    <col min="14" max="14" width="13" bestFit="1" customWidth="1"/>
    <col min="15" max="15" width="12.453125" bestFit="1" customWidth="1"/>
    <col min="16" max="16" width="13.453125" bestFit="1" customWidth="1"/>
    <col min="17" max="17" width="13" customWidth="1"/>
    <col min="18" max="18" width="9.54296875" bestFit="1" customWidth="1"/>
    <col min="19" max="20" width="9.54296875" customWidth="1"/>
    <col min="21" max="21" width="11.453125" bestFit="1" customWidth="1"/>
    <col min="22" max="22" width="9.453125" bestFit="1" customWidth="1"/>
    <col min="23" max="23" width="10.453125" bestFit="1" customWidth="1"/>
  </cols>
  <sheetData>
    <row r="1" spans="2:26" x14ac:dyDescent="0.35">
      <c r="B1" s="74" t="s">
        <v>144</v>
      </c>
      <c r="C1" s="74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2:26" x14ac:dyDescent="0.3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</row>
    <row r="4" spans="2:26" x14ac:dyDescent="0.35">
      <c r="B4" s="76" t="s">
        <v>89</v>
      </c>
      <c r="C4" s="76" t="s">
        <v>135</v>
      </c>
      <c r="D4" s="76" t="s">
        <v>136</v>
      </c>
      <c r="E4" s="76" t="s">
        <v>137</v>
      </c>
      <c r="F4" s="76" t="s">
        <v>138</v>
      </c>
      <c r="G4" s="76" t="s">
        <v>79</v>
      </c>
      <c r="H4" s="76" t="s">
        <v>139</v>
      </c>
      <c r="I4" s="76" t="s">
        <v>145</v>
      </c>
      <c r="J4" s="76" t="s">
        <v>146</v>
      </c>
      <c r="K4" s="76" t="s">
        <v>147</v>
      </c>
      <c r="L4" s="76" t="s">
        <v>148</v>
      </c>
      <c r="M4" s="76" t="s">
        <v>149</v>
      </c>
      <c r="N4" s="76" t="s">
        <v>114</v>
      </c>
      <c r="O4" s="76" t="s">
        <v>123</v>
      </c>
      <c r="P4" s="76" t="s">
        <v>150</v>
      </c>
      <c r="Q4" s="76" t="s">
        <v>85</v>
      </c>
      <c r="R4" s="76" t="s">
        <v>151</v>
      </c>
      <c r="S4" s="76" t="s">
        <v>199</v>
      </c>
      <c r="T4" s="76" t="s">
        <v>200</v>
      </c>
      <c r="U4" s="76" t="s">
        <v>201</v>
      </c>
      <c r="V4" s="76" t="s">
        <v>75</v>
      </c>
      <c r="W4" s="76" t="s">
        <v>104</v>
      </c>
      <c r="X4" s="76" t="s">
        <v>141</v>
      </c>
      <c r="Y4" s="76" t="s">
        <v>94</v>
      </c>
      <c r="Z4" s="76" t="s">
        <v>142</v>
      </c>
    </row>
    <row r="5" spans="2:26" x14ac:dyDescent="0.35">
      <c r="B5" s="75" t="str">
        <f t="shared" ref="B5:B11" si="0">"Perú"</f>
        <v>Perú</v>
      </c>
      <c r="C5" s="75" t="str">
        <f t="shared" ref="C5:C11" si="1">"SMI"</f>
        <v>SMI</v>
      </c>
      <c r="D5" s="75" t="str">
        <f t="shared" ref="D5:D11" si="2">"ABINVEV"</f>
        <v>ABINVEV</v>
      </c>
      <c r="E5" s="75">
        <f>Inputs!$D$6</f>
        <v>4</v>
      </c>
      <c r="F5" s="75">
        <f>Inputs!$C$6</f>
        <v>2026</v>
      </c>
      <c r="G5" s="75">
        <f>Inputs!$D$9</f>
        <v>4</v>
      </c>
      <c r="H5" s="75" t="s">
        <v>202</v>
      </c>
      <c r="I5" s="75" t="s">
        <v>203</v>
      </c>
      <c r="J5" s="75" t="s">
        <v>143</v>
      </c>
      <c r="K5" s="75" t="s">
        <v>152</v>
      </c>
      <c r="L5" s="75" t="str">
        <f>Inputs!$G$5</f>
        <v>ICIS - ASIA SE - Low</v>
      </c>
      <c r="M5" s="75" t="s">
        <v>153</v>
      </c>
      <c r="N5" s="82">
        <f>Inputs!H9</f>
        <v>852.5</v>
      </c>
      <c r="O5" s="82">
        <f>Inputs!H11</f>
        <v>1013.5</v>
      </c>
      <c r="P5" s="75">
        <f>Inputs!H13</f>
        <v>1048.5</v>
      </c>
      <c r="Q5" s="82"/>
      <c r="R5" s="82"/>
      <c r="S5" s="82"/>
      <c r="T5" s="82"/>
      <c r="U5" s="75"/>
      <c r="V5" s="75"/>
      <c r="W5" s="75"/>
      <c r="X5" s="75" t="str">
        <f t="shared" ref="X5:X11" si="3">"US$ / TM"</f>
        <v>US$ / TM</v>
      </c>
      <c r="Y5" s="75">
        <f>1</f>
        <v>1</v>
      </c>
      <c r="Z5" s="75"/>
    </row>
    <row r="6" spans="2:26" x14ac:dyDescent="0.35">
      <c r="B6" s="75" t="str">
        <f t="shared" si="0"/>
        <v>Perú</v>
      </c>
      <c r="C6" s="75" t="str">
        <f t="shared" si="1"/>
        <v>SMI</v>
      </c>
      <c r="D6" s="75" t="str">
        <f t="shared" si="2"/>
        <v>ABINVEV</v>
      </c>
      <c r="E6" s="75">
        <f>Inputs!$D$6</f>
        <v>4</v>
      </c>
      <c r="F6" s="75">
        <f>Inputs!$C$6</f>
        <v>2026</v>
      </c>
      <c r="G6" s="75">
        <f>Inputs!$D$9</f>
        <v>4</v>
      </c>
      <c r="H6" s="75" t="s">
        <v>202</v>
      </c>
      <c r="I6" s="75" t="s">
        <v>204</v>
      </c>
      <c r="J6" s="75" t="s">
        <v>6</v>
      </c>
      <c r="K6" s="75" t="s">
        <v>205</v>
      </c>
      <c r="L6" s="75" t="s">
        <v>206</v>
      </c>
      <c r="M6" t="s">
        <v>207</v>
      </c>
      <c r="N6" s="82"/>
      <c r="O6" s="82"/>
      <c r="P6" s="75"/>
      <c r="Q6" s="82"/>
      <c r="R6" s="82"/>
      <c r="S6" s="82"/>
      <c r="T6" s="75">
        <f>Inputs!$L$10</f>
        <v>0</v>
      </c>
      <c r="U6" s="75"/>
      <c r="V6" s="75"/>
      <c r="W6" s="75">
        <f>Inputs!$L$5</f>
        <v>0</v>
      </c>
      <c r="X6" s="78" t="str">
        <f t="shared" si="3"/>
        <v>US$ / TM</v>
      </c>
      <c r="Y6" s="75">
        <f>1</f>
        <v>1</v>
      </c>
      <c r="Z6" s="75"/>
    </row>
    <row r="7" spans="2:26" x14ac:dyDescent="0.35">
      <c r="B7" s="75" t="str">
        <f t="shared" si="0"/>
        <v>Perú</v>
      </c>
      <c r="C7" s="75" t="str">
        <f t="shared" si="1"/>
        <v>SMI</v>
      </c>
      <c r="D7" s="75" t="str">
        <f t="shared" si="2"/>
        <v>ABINVEV</v>
      </c>
      <c r="E7" s="75">
        <f>Inputs!$D$6</f>
        <v>4</v>
      </c>
      <c r="F7" s="75">
        <f>Inputs!$C$6</f>
        <v>2026</v>
      </c>
      <c r="G7" s="75">
        <f>Inputs!$D$9</f>
        <v>4</v>
      </c>
      <c r="H7" s="75" t="s">
        <v>202</v>
      </c>
      <c r="I7" s="75" t="s">
        <v>208</v>
      </c>
      <c r="J7" s="19" t="s">
        <v>100</v>
      </c>
      <c r="K7" s="75" t="s">
        <v>132</v>
      </c>
      <c r="L7" s="75" t="s">
        <v>209</v>
      </c>
      <c r="M7" t="s">
        <v>210</v>
      </c>
      <c r="N7" s="82"/>
      <c r="O7" s="82"/>
      <c r="P7" s="75"/>
      <c r="Q7" s="83"/>
      <c r="R7" s="83"/>
      <c r="S7" s="83"/>
      <c r="T7" s="83">
        <f>Inputs!$X$7</f>
        <v>133.16</v>
      </c>
      <c r="U7" s="83"/>
      <c r="V7" s="75" t="s">
        <v>86</v>
      </c>
      <c r="W7" s="75" t="s">
        <v>100</v>
      </c>
      <c r="X7" s="78" t="str">
        <f t="shared" si="3"/>
        <v>US$ / TM</v>
      </c>
      <c r="Y7" s="75">
        <f>1</f>
        <v>1</v>
      </c>
      <c r="Z7" s="75"/>
    </row>
    <row r="8" spans="2:26" x14ac:dyDescent="0.35">
      <c r="B8" s="75" t="str">
        <f t="shared" si="0"/>
        <v>Perú</v>
      </c>
      <c r="C8" s="75" t="str">
        <f t="shared" si="1"/>
        <v>SMI</v>
      </c>
      <c r="D8" s="75" t="str">
        <f t="shared" si="2"/>
        <v>ABINVEV</v>
      </c>
      <c r="E8" s="75">
        <f>Inputs!$D$6</f>
        <v>4</v>
      </c>
      <c r="F8" s="75">
        <f>Inputs!$C$6</f>
        <v>2026</v>
      </c>
      <c r="G8" s="75">
        <f>Inputs!$D$9</f>
        <v>4</v>
      </c>
      <c r="H8" s="75" t="s">
        <v>202</v>
      </c>
      <c r="I8" s="75" t="s">
        <v>208</v>
      </c>
      <c r="J8" s="19" t="s">
        <v>111</v>
      </c>
      <c r="K8" s="75" t="s">
        <v>132</v>
      </c>
      <c r="L8" s="75" t="s">
        <v>209</v>
      </c>
      <c r="M8" t="s">
        <v>210</v>
      </c>
      <c r="N8" s="82"/>
      <c r="O8" s="82"/>
      <c r="P8" s="75"/>
      <c r="Q8" s="83"/>
      <c r="R8" s="83"/>
      <c r="S8" s="83"/>
      <c r="T8" s="83">
        <f>Inputs!$X$8</f>
        <v>470.44</v>
      </c>
      <c r="U8" s="83"/>
      <c r="V8" s="75" t="s">
        <v>86</v>
      </c>
      <c r="W8" s="75" t="s">
        <v>111</v>
      </c>
      <c r="X8" s="78" t="str">
        <f t="shared" si="3"/>
        <v>US$ / TM</v>
      </c>
      <c r="Y8" s="75">
        <f>1</f>
        <v>1</v>
      </c>
      <c r="Z8" s="75"/>
    </row>
    <row r="9" spans="2:26" x14ac:dyDescent="0.35">
      <c r="B9" s="75" t="str">
        <f t="shared" si="0"/>
        <v>Perú</v>
      </c>
      <c r="C9" s="75" t="str">
        <f t="shared" si="1"/>
        <v>SMI</v>
      </c>
      <c r="D9" s="75" t="str">
        <f t="shared" si="2"/>
        <v>ABINVEV</v>
      </c>
      <c r="E9" s="75">
        <f>Inputs!$D$6</f>
        <v>4</v>
      </c>
      <c r="F9" s="75">
        <f>Inputs!$C$6</f>
        <v>2026</v>
      </c>
      <c r="G9" s="75">
        <f>Inputs!$D$9</f>
        <v>4</v>
      </c>
      <c r="H9" s="75" t="s">
        <v>202</v>
      </c>
      <c r="I9" s="75" t="s">
        <v>208</v>
      </c>
      <c r="J9" s="19" t="s">
        <v>116</v>
      </c>
      <c r="K9" s="75" t="s">
        <v>132</v>
      </c>
      <c r="L9" s="75" t="s">
        <v>209</v>
      </c>
      <c r="M9" t="s">
        <v>210</v>
      </c>
      <c r="N9" s="82"/>
      <c r="O9" s="82"/>
      <c r="P9" s="75"/>
      <c r="Q9" s="83"/>
      <c r="R9" s="83"/>
      <c r="S9" s="83"/>
      <c r="T9" s="83">
        <f>Inputs!$X$9</f>
        <v>2076.16</v>
      </c>
      <c r="U9" s="83"/>
      <c r="V9" s="75" t="s">
        <v>86</v>
      </c>
      <c r="W9" s="75" t="s">
        <v>116</v>
      </c>
      <c r="X9" s="78" t="str">
        <f t="shared" si="3"/>
        <v>US$ / TM</v>
      </c>
      <c r="Y9" s="75">
        <f>1</f>
        <v>1</v>
      </c>
      <c r="Z9" s="75"/>
    </row>
    <row r="10" spans="2:26" x14ac:dyDescent="0.35">
      <c r="B10" s="75" t="str">
        <f t="shared" si="0"/>
        <v>Perú</v>
      </c>
      <c r="C10" s="75" t="str">
        <f t="shared" si="1"/>
        <v>SMI</v>
      </c>
      <c r="D10" s="75" t="str">
        <f t="shared" si="2"/>
        <v>ABINVEV</v>
      </c>
      <c r="E10" s="75">
        <f>Inputs!$D$6</f>
        <v>4</v>
      </c>
      <c r="F10" s="75">
        <f>Inputs!$C$6</f>
        <v>2026</v>
      </c>
      <c r="G10" s="75">
        <f>Inputs!$D$9</f>
        <v>4</v>
      </c>
      <c r="H10" s="75" t="s">
        <v>202</v>
      </c>
      <c r="I10" s="75" t="s">
        <v>211</v>
      </c>
      <c r="J10" s="75" t="s">
        <v>212</v>
      </c>
      <c r="K10" s="75" t="s">
        <v>213</v>
      </c>
      <c r="L10" s="75" t="s">
        <v>214</v>
      </c>
      <c r="M10" t="s">
        <v>215</v>
      </c>
      <c r="N10" s="82"/>
      <c r="O10" s="82"/>
      <c r="P10" s="75"/>
      <c r="Q10" s="82"/>
      <c r="R10" s="82"/>
      <c r="S10" s="82"/>
      <c r="T10" s="75">
        <f>Inputs!$AC$6</f>
        <v>3.3612500000000005</v>
      </c>
      <c r="U10" s="75" t="s">
        <v>212</v>
      </c>
      <c r="V10" s="75"/>
      <c r="W10" s="75"/>
      <c r="X10" s="78" t="str">
        <f t="shared" si="3"/>
        <v>US$ / TM</v>
      </c>
      <c r="Y10" s="75">
        <f>1</f>
        <v>1</v>
      </c>
      <c r="Z10" s="75"/>
    </row>
    <row r="11" spans="2:26" x14ac:dyDescent="0.35">
      <c r="B11" s="75" t="str">
        <f t="shared" si="0"/>
        <v>Perú</v>
      </c>
      <c r="C11" s="75" t="str">
        <f t="shared" si="1"/>
        <v>SMI</v>
      </c>
      <c r="D11" s="75" t="str">
        <f t="shared" si="2"/>
        <v>ABINVEV</v>
      </c>
      <c r="E11" s="75">
        <f>Inputs!$D$6</f>
        <v>4</v>
      </c>
      <c r="F11" s="75">
        <f>Inputs!$C$6</f>
        <v>2026</v>
      </c>
      <c r="G11" s="75">
        <f>Inputs!$D$9</f>
        <v>4</v>
      </c>
      <c r="H11" s="75" t="s">
        <v>202</v>
      </c>
      <c r="I11" s="75" t="s">
        <v>203</v>
      </c>
      <c r="J11" s="75" t="s">
        <v>140</v>
      </c>
      <c r="K11" s="75" t="s">
        <v>216</v>
      </c>
      <c r="L11" s="75"/>
      <c r="M11" t="s">
        <v>154</v>
      </c>
      <c r="N11" s="82"/>
      <c r="O11" s="82"/>
      <c r="P11" s="82"/>
      <c r="Q11" s="82">
        <f>Inputs!$P$6</f>
        <v>485.17557959482116</v>
      </c>
      <c r="R11" s="82">
        <f>Inputs!$P$9</f>
        <v>725</v>
      </c>
      <c r="S11" s="82">
        <f>Inputs!$P$10</f>
        <v>1418.1079708497446</v>
      </c>
      <c r="T11" s="82"/>
      <c r="U11" s="82"/>
      <c r="V11" s="82"/>
      <c r="W11" s="82"/>
      <c r="X11" s="78" t="str">
        <f t="shared" si="3"/>
        <v>US$ / TM</v>
      </c>
      <c r="Y11" s="75">
        <f>1</f>
        <v>1</v>
      </c>
      <c r="Z11" s="75"/>
    </row>
    <row r="13" spans="2:26" x14ac:dyDescent="0.35">
      <c r="B13" t="s">
        <v>217</v>
      </c>
    </row>
    <row r="14" spans="2:26" x14ac:dyDescent="0.35">
      <c r="B14" s="76" t="s">
        <v>89</v>
      </c>
      <c r="C14" s="76" t="s">
        <v>135</v>
      </c>
      <c r="D14" s="76" t="s">
        <v>136</v>
      </c>
      <c r="E14" s="76" t="s">
        <v>137</v>
      </c>
      <c r="F14" s="76" t="s">
        <v>138</v>
      </c>
      <c r="G14" s="76" t="s">
        <v>79</v>
      </c>
      <c r="H14" s="76" t="s">
        <v>139</v>
      </c>
      <c r="I14" s="76" t="s">
        <v>145</v>
      </c>
      <c r="J14" s="76" t="s">
        <v>146</v>
      </c>
      <c r="K14" s="76" t="s">
        <v>147</v>
      </c>
      <c r="L14" s="76" t="s">
        <v>148</v>
      </c>
      <c r="M14" s="76" t="s">
        <v>149</v>
      </c>
      <c r="N14" s="76" t="s">
        <v>114</v>
      </c>
      <c r="O14" s="76" t="s">
        <v>123</v>
      </c>
      <c r="P14" s="76" t="s">
        <v>150</v>
      </c>
      <c r="Q14" s="76" t="s">
        <v>141</v>
      </c>
      <c r="R14" s="76" t="s">
        <v>142</v>
      </c>
    </row>
    <row r="15" spans="2:26" x14ac:dyDescent="0.35">
      <c r="B15" s="75" t="str">
        <f t="shared" ref="B15" si="4">"Perú"</f>
        <v>Perú</v>
      </c>
      <c r="C15" s="75" t="str">
        <f t="shared" ref="C15" si="5">"SMI"</f>
        <v>SMI</v>
      </c>
      <c r="D15" s="75" t="str">
        <f t="shared" ref="D15" si="6">"ABINVEV"</f>
        <v>ABINVEV</v>
      </c>
      <c r="E15" s="75">
        <f>Inputs!$D$6</f>
        <v>4</v>
      </c>
      <c r="F15" s="75">
        <f>Inputs!$C$6</f>
        <v>2026</v>
      </c>
      <c r="G15" s="75">
        <f>Inputs!$D$9</f>
        <v>4</v>
      </c>
      <c r="H15" s="75" t="str">
        <f>"Containers"</f>
        <v>Containers</v>
      </c>
      <c r="I15" s="75" t="str">
        <f>"RESINA"</f>
        <v>RESINA</v>
      </c>
      <c r="J15" s="75" t="s">
        <v>143</v>
      </c>
      <c r="K15" s="75" t="s">
        <v>152</v>
      </c>
      <c r="L15" s="75" t="str">
        <f>Inputs!$G$5</f>
        <v>ICIS - ASIA SE - Low</v>
      </c>
      <c r="M15" s="75" t="s">
        <v>153</v>
      </c>
      <c r="N15" s="82">
        <f>Inputs!$H$9</f>
        <v>852.5</v>
      </c>
      <c r="O15" s="82">
        <f>Inputs!$H$11</f>
        <v>1013.5</v>
      </c>
      <c r="P15" s="75">
        <f>Inputs!$H$13</f>
        <v>1048.5</v>
      </c>
      <c r="Q15" s="75" t="str">
        <f>"USD / TM"</f>
        <v>USD / TM</v>
      </c>
      <c r="R15" s="77"/>
    </row>
    <row r="17" spans="2:18" x14ac:dyDescent="0.35">
      <c r="B17" t="s">
        <v>131</v>
      </c>
    </row>
    <row r="18" spans="2:18" x14ac:dyDescent="0.35">
      <c r="B18" s="76" t="s">
        <v>89</v>
      </c>
      <c r="C18" s="76" t="s">
        <v>135</v>
      </c>
      <c r="D18" s="76" t="s">
        <v>136</v>
      </c>
      <c r="E18" s="76" t="s">
        <v>137</v>
      </c>
      <c r="F18" s="76" t="s">
        <v>138</v>
      </c>
      <c r="G18" s="76" t="s">
        <v>79</v>
      </c>
      <c r="H18" s="76" t="s">
        <v>139</v>
      </c>
      <c r="I18" s="76" t="s">
        <v>145</v>
      </c>
      <c r="J18" s="76" t="s">
        <v>146</v>
      </c>
      <c r="K18" s="76" t="s">
        <v>147</v>
      </c>
      <c r="L18" s="76" t="s">
        <v>148</v>
      </c>
      <c r="M18" s="76" t="s">
        <v>149</v>
      </c>
      <c r="N18" s="76" t="s">
        <v>85</v>
      </c>
      <c r="O18" s="76" t="s">
        <v>151</v>
      </c>
      <c r="P18" s="76" t="s">
        <v>199</v>
      </c>
      <c r="Q18" s="76" t="s">
        <v>141</v>
      </c>
      <c r="R18" s="76" t="s">
        <v>142</v>
      </c>
    </row>
    <row r="19" spans="2:18" x14ac:dyDescent="0.35">
      <c r="B19" s="75" t="str">
        <f t="shared" ref="B19" si="7">"Perú"</f>
        <v>Perú</v>
      </c>
      <c r="C19" s="75" t="str">
        <f t="shared" ref="C19" si="8">"SMI"</f>
        <v>SMI</v>
      </c>
      <c r="D19" s="75" t="str">
        <f t="shared" ref="D19" si="9">"ABINVEV"</f>
        <v>ABINVEV</v>
      </c>
      <c r="E19" s="75">
        <f>Inputs!$D$6</f>
        <v>4</v>
      </c>
      <c r="F19" s="75">
        <f>Inputs!$C$6</f>
        <v>2026</v>
      </c>
      <c r="G19" s="75">
        <f>Inputs!$D$9</f>
        <v>4</v>
      </c>
      <c r="H19" s="75" t="str">
        <f>"Containers"</f>
        <v>Containers</v>
      </c>
      <c r="I19" s="75" t="str">
        <f>"RESINA"</f>
        <v>RESINA</v>
      </c>
      <c r="J19" s="75" t="s">
        <v>140</v>
      </c>
      <c r="K19" s="75" t="s">
        <v>140</v>
      </c>
      <c r="L19" s="75"/>
      <c r="M19" t="s">
        <v>154</v>
      </c>
      <c r="N19" s="82">
        <f>Inputs!$P$6</f>
        <v>485.17557959482116</v>
      </c>
      <c r="O19" s="82">
        <f>Inputs!$P$9</f>
        <v>725</v>
      </c>
      <c r="P19" s="82">
        <f>Inputs!$P$10</f>
        <v>1418.1079708497446</v>
      </c>
      <c r="Q19" s="75" t="str">
        <f>"USD / TM"</f>
        <v>USD / TM</v>
      </c>
      <c r="R19" s="77"/>
    </row>
    <row r="21" spans="2:18" x14ac:dyDescent="0.35">
      <c r="B21" t="s">
        <v>213</v>
      </c>
    </row>
    <row r="22" spans="2:18" x14ac:dyDescent="0.35">
      <c r="B22" s="76" t="s">
        <v>89</v>
      </c>
      <c r="C22" s="76" t="s">
        <v>135</v>
      </c>
      <c r="D22" s="76" t="s">
        <v>136</v>
      </c>
      <c r="E22" s="76" t="s">
        <v>137</v>
      </c>
      <c r="F22" s="76" t="s">
        <v>138</v>
      </c>
      <c r="G22" s="76" t="s">
        <v>79</v>
      </c>
      <c r="H22" s="76" t="s">
        <v>139</v>
      </c>
      <c r="I22" s="76" t="s">
        <v>145</v>
      </c>
      <c r="J22" s="76" t="s">
        <v>201</v>
      </c>
      <c r="K22" s="76" t="s">
        <v>147</v>
      </c>
      <c r="L22" s="76" t="s">
        <v>148</v>
      </c>
      <c r="M22" s="76" t="s">
        <v>149</v>
      </c>
      <c r="N22" s="76" t="s">
        <v>200</v>
      </c>
      <c r="O22" s="76" t="s">
        <v>142</v>
      </c>
    </row>
    <row r="23" spans="2:18" x14ac:dyDescent="0.35">
      <c r="B23" s="75" t="str">
        <f t="shared" ref="B23" si="10">"Perú"</f>
        <v>Perú</v>
      </c>
      <c r="C23" s="75" t="str">
        <f t="shared" ref="C23" si="11">"SMI"</f>
        <v>SMI</v>
      </c>
      <c r="D23" s="75" t="str">
        <f t="shared" ref="D23" si="12">"ABINVEV"</f>
        <v>ABINVEV</v>
      </c>
      <c r="E23" s="75">
        <f>Inputs!$D$6</f>
        <v>4</v>
      </c>
      <c r="F23" s="75">
        <f>Inputs!$C$6</f>
        <v>2026</v>
      </c>
      <c r="G23" s="75">
        <f>Inputs!$D$9</f>
        <v>4</v>
      </c>
      <c r="H23" s="75" t="str">
        <f>"Containers"</f>
        <v>Containers</v>
      </c>
      <c r="I23" s="75" t="str">
        <f>"TIPO CAMBIO"</f>
        <v>TIPO CAMBIO</v>
      </c>
      <c r="J23" s="75" t="s">
        <v>212</v>
      </c>
      <c r="K23" s="75" t="s">
        <v>213</v>
      </c>
      <c r="L23" s="75" t="s">
        <v>218</v>
      </c>
      <c r="M23" t="s">
        <v>215</v>
      </c>
      <c r="N23" s="75">
        <f>Inputs!$AC$6</f>
        <v>3.3612500000000005</v>
      </c>
      <c r="O23" s="77"/>
    </row>
    <row r="25" spans="2:18" x14ac:dyDescent="0.35">
      <c r="B25" t="s">
        <v>219</v>
      </c>
    </row>
    <row r="26" spans="2:18" x14ac:dyDescent="0.35">
      <c r="B26" s="76" t="s">
        <v>89</v>
      </c>
      <c r="C26" s="76" t="s">
        <v>135</v>
      </c>
      <c r="D26" s="76" t="s">
        <v>136</v>
      </c>
      <c r="E26" s="76" t="s">
        <v>137</v>
      </c>
      <c r="F26" s="76" t="s">
        <v>138</v>
      </c>
      <c r="G26" s="76" t="s">
        <v>79</v>
      </c>
      <c r="H26" s="76" t="s">
        <v>139</v>
      </c>
      <c r="I26" s="76" t="s">
        <v>145</v>
      </c>
      <c r="J26" s="76" t="s">
        <v>75</v>
      </c>
      <c r="K26" s="76" t="s">
        <v>104</v>
      </c>
      <c r="L26" s="76" t="s">
        <v>147</v>
      </c>
      <c r="M26" s="76" t="s">
        <v>148</v>
      </c>
      <c r="N26" s="76" t="s">
        <v>149</v>
      </c>
      <c r="O26" s="76" t="s">
        <v>200</v>
      </c>
      <c r="P26" s="76" t="s">
        <v>142</v>
      </c>
    </row>
    <row r="27" spans="2:18" x14ac:dyDescent="0.35">
      <c r="B27" s="75" t="str">
        <f>"Perú"</f>
        <v>Perú</v>
      </c>
      <c r="C27" s="75" t="str">
        <f>"SMI"</f>
        <v>SMI</v>
      </c>
      <c r="D27" s="75" t="str">
        <f>"ABINVEV"</f>
        <v>ABINVEV</v>
      </c>
      <c r="E27" s="75">
        <f>Inputs!$D$6</f>
        <v>4</v>
      </c>
      <c r="F27" s="75">
        <f>Inputs!$C$6</f>
        <v>2026</v>
      </c>
      <c r="G27" s="75">
        <f>Inputs!$D$9</f>
        <v>4</v>
      </c>
      <c r="H27" s="75" t="str">
        <f>"Containers"</f>
        <v>Containers</v>
      </c>
      <c r="I27" s="75" t="str">
        <f t="shared" ref="I27:I29" si="13">"FLETE INTERNO"</f>
        <v>FLETE INTERNO</v>
      </c>
      <c r="J27" s="75" t="s">
        <v>86</v>
      </c>
      <c r="K27" s="75" t="s">
        <v>100</v>
      </c>
      <c r="L27" s="75" t="s">
        <v>132</v>
      </c>
      <c r="M27" s="75" t="s">
        <v>209</v>
      </c>
      <c r="N27" t="s">
        <v>210</v>
      </c>
      <c r="O27" s="83">
        <f>Inputs!$X$7</f>
        <v>133.16</v>
      </c>
      <c r="P27" s="77"/>
    </row>
    <row r="28" spans="2:18" x14ac:dyDescent="0.35">
      <c r="B28" s="75" t="str">
        <f>"Perú"</f>
        <v>Perú</v>
      </c>
      <c r="C28" s="75" t="str">
        <f>"SMI"</f>
        <v>SMI</v>
      </c>
      <c r="D28" s="75" t="str">
        <f>"ABINVEV"</f>
        <v>ABINVEV</v>
      </c>
      <c r="E28" s="75">
        <f>Inputs!$D$6</f>
        <v>4</v>
      </c>
      <c r="F28" s="75">
        <f>Inputs!$C$6</f>
        <v>2026</v>
      </c>
      <c r="G28" s="75">
        <f>Inputs!$D$9</f>
        <v>4</v>
      </c>
      <c r="H28" s="75" t="str">
        <f t="shared" ref="H28:H29" si="14">"Containers"</f>
        <v>Containers</v>
      </c>
      <c r="I28" s="75" t="str">
        <f t="shared" si="13"/>
        <v>FLETE INTERNO</v>
      </c>
      <c r="J28" s="75" t="s">
        <v>86</v>
      </c>
      <c r="K28" s="75" t="s">
        <v>111</v>
      </c>
      <c r="L28" s="75" t="s">
        <v>132</v>
      </c>
      <c r="M28" s="75" t="s">
        <v>209</v>
      </c>
      <c r="N28" t="s">
        <v>210</v>
      </c>
      <c r="O28" s="83">
        <f>Inputs!$X$8</f>
        <v>470.44</v>
      </c>
      <c r="P28" s="77"/>
    </row>
    <row r="29" spans="2:18" x14ac:dyDescent="0.35">
      <c r="B29" s="75" t="str">
        <f t="shared" ref="B29" si="15">"Perú"</f>
        <v>Perú</v>
      </c>
      <c r="C29" s="75" t="str">
        <f t="shared" ref="C29" si="16">"SMI"</f>
        <v>SMI</v>
      </c>
      <c r="D29" s="75" t="str">
        <f t="shared" ref="D29" si="17">"ABINVEV"</f>
        <v>ABINVEV</v>
      </c>
      <c r="E29" s="75">
        <f>Inputs!$D$6</f>
        <v>4</v>
      </c>
      <c r="F29" s="75">
        <f>Inputs!$C$6</f>
        <v>2026</v>
      </c>
      <c r="G29" s="75">
        <f>Inputs!$D$9</f>
        <v>4</v>
      </c>
      <c r="H29" s="75" t="str">
        <f t="shared" si="14"/>
        <v>Containers</v>
      </c>
      <c r="I29" s="75" t="str">
        <f t="shared" si="13"/>
        <v>FLETE INTERNO</v>
      </c>
      <c r="J29" s="75" t="s">
        <v>86</v>
      </c>
      <c r="K29" s="75" t="s">
        <v>116</v>
      </c>
      <c r="L29" s="75" t="s">
        <v>132</v>
      </c>
      <c r="M29" s="75" t="s">
        <v>209</v>
      </c>
      <c r="N29" t="s">
        <v>210</v>
      </c>
      <c r="O29" s="83">
        <f>Inputs!$X$9</f>
        <v>2076.16</v>
      </c>
      <c r="P29" s="77"/>
    </row>
    <row r="31" spans="2:18" x14ac:dyDescent="0.35">
      <c r="B31" t="s">
        <v>220</v>
      </c>
    </row>
    <row r="32" spans="2:18" x14ac:dyDescent="0.35">
      <c r="B32" s="76" t="s">
        <v>89</v>
      </c>
      <c r="C32" s="76" t="s">
        <v>135</v>
      </c>
      <c r="D32" s="76" t="s">
        <v>136</v>
      </c>
      <c r="E32" s="76" t="s">
        <v>137</v>
      </c>
      <c r="F32" s="76" t="s">
        <v>138</v>
      </c>
      <c r="G32" s="76" t="s">
        <v>79</v>
      </c>
      <c r="H32" s="76" t="s">
        <v>139</v>
      </c>
      <c r="I32" s="76" t="s">
        <v>145</v>
      </c>
      <c r="J32" s="76" t="s">
        <v>75</v>
      </c>
      <c r="K32" s="76" t="s">
        <v>104</v>
      </c>
      <c r="L32" s="76" t="s">
        <v>147</v>
      </c>
      <c r="M32" s="76" t="s">
        <v>148</v>
      </c>
      <c r="N32" s="76" t="s">
        <v>149</v>
      </c>
      <c r="O32" s="76" t="s">
        <v>200</v>
      </c>
      <c r="P32" s="76" t="s">
        <v>142</v>
      </c>
    </row>
    <row r="33" spans="2:16" x14ac:dyDescent="0.35">
      <c r="B33" s="75" t="str">
        <f t="shared" ref="B33" si="18">"Perú"</f>
        <v>Perú</v>
      </c>
      <c r="C33" s="75" t="str">
        <f t="shared" ref="C33" si="19">"SMI"</f>
        <v>SMI</v>
      </c>
      <c r="D33" s="75" t="str">
        <f t="shared" ref="D33" si="20">"ABINVEV"</f>
        <v>ABINVEV</v>
      </c>
      <c r="E33" s="75">
        <f>Inputs!$D$6</f>
        <v>4</v>
      </c>
      <c r="F33" s="75">
        <f>Inputs!$C$6</f>
        <v>2026</v>
      </c>
      <c r="G33" s="75">
        <f>Inputs!$D$9</f>
        <v>4</v>
      </c>
      <c r="H33" s="75" t="str">
        <f t="shared" ref="H33" si="21">"Containers"</f>
        <v>Containers</v>
      </c>
      <c r="I33" s="75" t="str">
        <f>"FLETE EXTERNO"</f>
        <v>FLETE EXTERNO</v>
      </c>
      <c r="J33" s="75"/>
      <c r="K33" s="75" t="s">
        <v>6</v>
      </c>
      <c r="L33" s="75" t="s">
        <v>205</v>
      </c>
      <c r="M33" s="75" t="s">
        <v>206</v>
      </c>
      <c r="N33" t="s">
        <v>207</v>
      </c>
      <c r="O33" s="75">
        <f>Inputs!$L$10</f>
        <v>0</v>
      </c>
      <c r="P33" s="77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8097-A313-4783-932D-3702D5C55E44}">
  <sheetPr codeName="Hoja9"/>
  <dimension ref="D3:E9"/>
  <sheetViews>
    <sheetView showGridLines="0" workbookViewId="0">
      <selection activeCell="J11" sqref="J11"/>
    </sheetView>
  </sheetViews>
  <sheetFormatPr defaultColWidth="10.54296875" defaultRowHeight="14.5" x14ac:dyDescent="0.35"/>
  <sheetData>
    <row r="3" spans="4:5" x14ac:dyDescent="0.35">
      <c r="D3" s="16" t="s">
        <v>221</v>
      </c>
      <c r="E3" s="16" t="s">
        <v>91</v>
      </c>
    </row>
    <row r="4" spans="4:5" x14ac:dyDescent="0.35">
      <c r="D4" s="22">
        <v>100002</v>
      </c>
      <c r="E4" s="15" t="s">
        <v>100</v>
      </c>
    </row>
    <row r="5" spans="4:5" x14ac:dyDescent="0.35">
      <c r="D5" s="23" t="s">
        <v>196</v>
      </c>
      <c r="E5" s="15" t="s">
        <v>100</v>
      </c>
    </row>
    <row r="6" spans="4:5" x14ac:dyDescent="0.35">
      <c r="D6" s="23" t="s">
        <v>197</v>
      </c>
      <c r="E6" s="15" t="s">
        <v>116</v>
      </c>
    </row>
    <row r="7" spans="4:5" x14ac:dyDescent="0.35">
      <c r="D7" s="23" t="s">
        <v>198</v>
      </c>
      <c r="E7" s="15" t="s">
        <v>111</v>
      </c>
    </row>
    <row r="9" spans="4:5" x14ac:dyDescent="0.35">
      <c r="E9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c9efa-4fd2-4b43-b099-382498c4b061" xsi:nil="true"/>
    <lcf76f155ced4ddcb4097134ff3c332f xmlns="ec0f8c29-d384-43e4-af7a-7087ba759c3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0674FA40451B48844B0F762B2577E0" ma:contentTypeVersion="11" ma:contentTypeDescription="Crear nuevo documento." ma:contentTypeScope="" ma:versionID="908e26021aabdeaf1c635798e9c267a4">
  <xsd:schema xmlns:xsd="http://www.w3.org/2001/XMLSchema" xmlns:xs="http://www.w3.org/2001/XMLSchema" xmlns:p="http://schemas.microsoft.com/office/2006/metadata/properties" xmlns:ns2="ec0f8c29-d384-43e4-af7a-7087ba759c33" xmlns:ns3="1ffc9efa-4fd2-4b43-b099-382498c4b061" targetNamespace="http://schemas.microsoft.com/office/2006/metadata/properties" ma:root="true" ma:fieldsID="135afefcb278bd344ccb8b9751303dc7" ns2:_="" ns3:_="">
    <xsd:import namespace="ec0f8c29-d384-43e4-af7a-7087ba759c33"/>
    <xsd:import namespace="1ffc9efa-4fd2-4b43-b099-382498c4b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f8c29-d384-43e4-af7a-7087ba759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6fed87-db61-446d-a8b1-f34d6b92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c9efa-4fd2-4b43-b099-382498c4b0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18eed7-6fa0-4d6c-adfe-19757cc7d677}" ma:internalName="TaxCatchAll" ma:showField="CatchAllData" ma:web="1ffc9efa-4fd2-4b43-b099-382498c4b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2CE7F70-AB0E-4B78-AAFD-6247B0981972}">
  <ds:schemaRefs>
    <ds:schemaRef ds:uri="http://schemas.microsoft.com/office/2006/metadata/properties"/>
    <ds:schemaRef ds:uri="http://schemas.microsoft.com/office/infopath/2007/PartnerControls"/>
    <ds:schemaRef ds:uri="1ffc9efa-4fd2-4b43-b099-382498c4b061"/>
    <ds:schemaRef ds:uri="ec0f8c29-d384-43e4-af7a-7087ba759c33"/>
  </ds:schemaRefs>
</ds:datastoreItem>
</file>

<file path=customXml/itemProps2.xml><?xml version="1.0" encoding="utf-8"?>
<ds:datastoreItem xmlns:ds="http://schemas.openxmlformats.org/officeDocument/2006/customXml" ds:itemID="{46100365-8562-4EE3-B9B8-A7B1A2701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f8c29-d384-43e4-af7a-7087ba759c33"/>
    <ds:schemaRef ds:uri="1ffc9efa-4fd2-4b43-b099-382498c4b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58230C-E3F2-4D99-8D20-63FE9338CB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E566FAF-E28D-45EA-91B4-C4E19F6BC1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Motupe Preformas</vt:lpstr>
      <vt:lpstr>Ate Preformas</vt:lpstr>
      <vt:lpstr>Motupe-Botellas</vt:lpstr>
      <vt:lpstr>Ate-Botellas</vt:lpstr>
      <vt:lpstr>Inputs</vt:lpstr>
      <vt:lpstr>Sheet1</vt:lpstr>
      <vt:lpstr>Hoja2</vt:lpstr>
      <vt:lpstr>Resumen Inputs (2)</vt:lpstr>
      <vt:lpstr>Plantas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Jefferson Olivos Guerra</dc:creator>
  <cp:keywords/>
  <dc:description/>
  <cp:lastModifiedBy>Murugan Narendhra Kumar</cp:lastModifiedBy>
  <cp:revision/>
  <dcterms:created xsi:type="dcterms:W3CDTF">2016-06-16T13:40:36Z</dcterms:created>
  <dcterms:modified xsi:type="dcterms:W3CDTF">2026-05-13T09:38:01Z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0x010100DD0674FA40451B48844B0F762B2577E0</vt:lpwstr>
  </property>
  <property fmtid="{D5CDD505-2E9C-101B-9397-08002B2CF9AE}" pid="3" name="MediaServiceImageTags">
    <vt:lpwstr/>
  </property>
  <property fmtid="{D5CDD505-2E9C-101B-9397-08002B2CF9AE}" pid="4" name="MSIP_Label_68104b14-b53d-46de-9ae8-975cc0e84815_Enabled">
    <vt:lpwstr>true</vt:lpwstr>
  </property>
  <property fmtid="{D5CDD505-2E9C-101B-9397-08002B2CF9AE}" pid="5" name="MSIP_Label_68104b14-b53d-46de-9ae8-975cc0e84815_SetDate">
    <vt:lpwstr>2026-05-04T15:26:15Z</vt:lpwstr>
  </property>
  <property fmtid="{D5CDD505-2E9C-101B-9397-08002B2CF9AE}" pid="6" name="MSIP_Label_68104b14-b53d-46de-9ae8-975cc0e84815_Method">
    <vt:lpwstr>Standard</vt:lpwstr>
  </property>
  <property fmtid="{D5CDD505-2E9C-101B-9397-08002B2CF9AE}" pid="7" name="MSIP_Label_68104b14-b53d-46de-9ae8-975cc0e84815_Name">
    <vt:lpwstr>ABI_MIP_InternalUseOnly</vt:lpwstr>
  </property>
  <property fmtid="{D5CDD505-2E9C-101B-9397-08002B2CF9AE}" pid="8" name="MSIP_Label_68104b14-b53d-46de-9ae8-975cc0e84815_SiteId">
    <vt:lpwstr>cef04b19-7776-4a94-b89b-375c77a8f936</vt:lpwstr>
  </property>
  <property fmtid="{D5CDD505-2E9C-101B-9397-08002B2CF9AE}" pid="9" name="MSIP_Label_68104b14-b53d-46de-9ae8-975cc0e84815_ActionId">
    <vt:lpwstr>56566525-2072-429c-bd7f-66df6b6fc681</vt:lpwstr>
  </property>
  <property fmtid="{D5CDD505-2E9C-101B-9397-08002B2CF9AE}" pid="10" name="MSIP_Label_68104b14-b53d-46de-9ae8-975cc0e84815_ContentBits">
    <vt:lpwstr>0</vt:lpwstr>
  </property>
  <property fmtid="{D5CDD505-2E9C-101B-9397-08002B2CF9AE}" pid="11" name="MSIP_Label_68104b14-b53d-46de-9ae8-975cc0e84815_Tag">
    <vt:lpwstr>10, 3, 0, 1</vt:lpwstr>
  </property>
</Properties>
</file>