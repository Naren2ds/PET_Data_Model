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/Supplier Sheets/"/>
    </mc:Choice>
  </mc:AlternateContent>
  <xr:revisionPtr revIDLastSave="23" documentId="13_ncr:1_{B672E372-42F1-44F5-A791-BB3C1A13EC64}" xr6:coauthVersionLast="47" xr6:coauthVersionMax="47" xr10:uidLastSave="{FBC8587D-6D2E-4506-81F1-96CCFA0E13C2}"/>
  <bookViews>
    <workbookView xWindow="-110" yWindow="-110" windowWidth="19420" windowHeight="11500" tabRatio="705" firstSheet="2" activeTab="5" xr2:uid="{00000000-000D-0000-FFFF-FFFF00000000}"/>
  </bookViews>
  <sheets>
    <sheet name="PET" sheetId="13" state="hidden" r:id="rId1"/>
    <sheet name="RPET" sheetId="14" state="hidden" r:id="rId2"/>
    <sheet name="PRECIOS" sheetId="12" r:id="rId3"/>
    <sheet name="PreformasBI" sheetId="17" state="hidden" r:id="rId4"/>
    <sheet name="Inputs" sheetId="18" r:id="rId5"/>
    <sheet name="Sheet1" sheetId="19" r:id="rId6"/>
  </sheets>
  <definedNames>
    <definedName name="__123Graph_A" localSheetId="1" hidden="1">#REF!</definedName>
    <definedName name="__123Graph_A" hidden="1">#REF!</definedName>
    <definedName name="__123Graph_ACOMPARAT" localSheetId="1" hidden="1">#REF!</definedName>
    <definedName name="__123Graph_ACOMPARAT" hidden="1">#REF!</definedName>
    <definedName name="__123Graph_ACOMPARATACUM" localSheetId="1" hidden="1">#REF!</definedName>
    <definedName name="__123Graph_ACOMPARATACUM" hidden="1">#REF!</definedName>
    <definedName name="__123Graph_AMARIO" localSheetId="1" hidden="1">#REF!</definedName>
    <definedName name="__123Graph_AMARIO" hidden="1">#REF!</definedName>
    <definedName name="__123Graph_APRINCIPAL" localSheetId="1" hidden="1">#REF!</definedName>
    <definedName name="__123Graph_APRINCIPAL" hidden="1">#REF!</definedName>
    <definedName name="__123Graph_AVENTAS" localSheetId="1" hidden="1">#REF!</definedName>
    <definedName name="__123Graph_AVENTAS" hidden="1">#REF!</definedName>
    <definedName name="__123Graph_BCOMPARAT" localSheetId="1" hidden="1">#REF!</definedName>
    <definedName name="__123Graph_BCOMPARAT" hidden="1">#REF!</definedName>
    <definedName name="__123Graph_BCOMPARATACUM" localSheetId="1" hidden="1">#REF!</definedName>
    <definedName name="__123Graph_BCOMPARATACUM" hidden="1">#REF!</definedName>
    <definedName name="__123Graph_BPRINCIPAL" localSheetId="1" hidden="1">#REF!</definedName>
    <definedName name="__123Graph_BPRINCIPAL" hidden="1">#REF!</definedName>
    <definedName name="__123Graph_BVENTAS" localSheetId="1" hidden="1">#REF!</definedName>
    <definedName name="__123Graph_BVENTAS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hidden="1">#REF!</definedName>
    <definedName name="__123Graph_E" localSheetId="1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LBL_ACOMPARAT" localSheetId="1" hidden="1">#REF!</definedName>
    <definedName name="__123Graph_LBL_ACOMPARAT" hidden="1">#REF!</definedName>
    <definedName name="__123Graph_LBL_ACOMPARATACUM" localSheetId="1" hidden="1">#REF!</definedName>
    <definedName name="__123Graph_LBL_ACOMPARATACUM" hidden="1">#REF!</definedName>
    <definedName name="__123Graph_LBL_APRINCIPAL" localSheetId="1" hidden="1">#REF!</definedName>
    <definedName name="__123Graph_LBL_APRINCIPAL" hidden="1">#REF!</definedName>
    <definedName name="__123Graph_LBL_AVENTAS" localSheetId="1" hidden="1">#REF!</definedName>
    <definedName name="__123Graph_LBL_AVENTAS" hidden="1">#REF!</definedName>
    <definedName name="__123Graph_LBL_BCOMPARAT" localSheetId="1" hidden="1">#REF!</definedName>
    <definedName name="__123Graph_LBL_BCOMPARAT" hidden="1">#REF!</definedName>
    <definedName name="__123Graph_LBL_BCOMPARATACUM" localSheetId="1" hidden="1">#REF!</definedName>
    <definedName name="__123Graph_LBL_BCOMPARATACUM" hidden="1">#REF!</definedName>
    <definedName name="__123Graph_LBL_BPRINCIPAL" localSheetId="1" hidden="1">#REF!</definedName>
    <definedName name="__123Graph_LBL_BPRINCIPAL" hidden="1">#REF!</definedName>
    <definedName name="__123Graph_LBL_BVENTAS" localSheetId="1" hidden="1">#REF!</definedName>
    <definedName name="__123Graph_LBL_BVENTAS" hidden="1">#REF!</definedName>
    <definedName name="__123Graph_XCOMPARAT" localSheetId="1" hidden="1">#REF!</definedName>
    <definedName name="__123Graph_XCOMPARAT" hidden="1">#REF!</definedName>
    <definedName name="__123Graph_XCOMPARATACUM" localSheetId="1" hidden="1">#REF!</definedName>
    <definedName name="__123Graph_XCOMPARATACUM" hidden="1">#REF!</definedName>
    <definedName name="__123Graph_XPRINCIPAL" localSheetId="1" hidden="1">#REF!</definedName>
    <definedName name="__123Graph_XPRINCIPAL" hidden="1">#REF!</definedName>
    <definedName name="__123Graph_XVENTAS" localSheetId="1" hidden="1">#REF!</definedName>
    <definedName name="__123Graph_XVENTAS" hidden="1">#REF!</definedName>
    <definedName name="_a1" localSheetId="2" hidden="1">{#N/A,#N/A,FALSE,"Aging Summary";#N/A,#N/A,FALSE,"Ratio Analysis";#N/A,#N/A,FALSE,"Test 120 Day Accts";#N/A,#N/A,FALSE,"Tickmarks"}</definedName>
    <definedName name="_a1" localSheetId="1" hidden="1">{#N/A,#N/A,FALSE,"Aging Summary";#N/A,#N/A,FALSE,"Ratio Analysis";#N/A,#N/A,FALSE,"Test 120 Day Accts";#N/A,#N/A,FALSE,"Tickmarks"}</definedName>
    <definedName name="_a1" hidden="1">{#N/A,#N/A,FALSE,"Aging Summary";#N/A,#N/A,FALSE,"Ratio Analysis";#N/A,#N/A,FALSE,"Test 120 Day Accts";#N/A,#N/A,FALSE,"Tickmarks"}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768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Dist_Values" hidden="1">#REF!</definedName>
    <definedName name="_Fill" localSheetId="1" hidden="1">#REF!</definedName>
    <definedName name="_Fill" hidden="1">#REF!</definedName>
    <definedName name="_xlnm._FilterDatabase" localSheetId="2" hidden="1">PRECIOS!$A$17:$J$46</definedName>
    <definedName name="_xlnm._FilterDatabase" localSheetId="3" hidden="1">PreformasBI!$A$1:$H$21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a" hidden="1">#REF!</definedName>
    <definedName name="aaa" localSheetId="2" hidden="1">{#N/A,#N/A,FALSE,"Aging Summary";#N/A,#N/A,FALSE,"Ratio Analysis";#N/A,#N/A,FALSE,"Test 120 Day Accts";#N/A,#N/A,FALSE,"Tickmarks"}</definedName>
    <definedName name="aaa" localSheetId="1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aaaaaaaaaaaaa" hidden="1">#REF!</definedName>
    <definedName name="aaaaaaaaaaaaaaaaaaaaaaaaa" hidden="1">#REF!</definedName>
    <definedName name="aaaaaaaaaaaaaaaaaaaaaaaaaaaaaaa" hidden="1">#REF!</definedName>
    <definedName name="AS2DocOpenMode" hidden="1">"AS2DocumentEdit"</definedName>
    <definedName name="asadsfds" localSheetId="2" hidden="1">{#N/A,#N/A,FALSE,"Aging Summary";#N/A,#N/A,FALSE,"Ratio Analysis";#N/A,#N/A,FALSE,"Test 120 Day Accts";#N/A,#N/A,FALSE,"Tickmarks"}</definedName>
    <definedName name="asadsfds" localSheetId="1" hidden="1">{#N/A,#N/A,FALSE,"Aging Summary";#N/A,#N/A,FALSE,"Ratio Analysis";#N/A,#N/A,FALSE,"Test 120 Day Accts";#N/A,#N/A,FALSE,"Tickmarks"}</definedName>
    <definedName name="asadsfds" hidden="1">{#N/A,#N/A,FALSE,"Aging Summary";#N/A,#N/A,FALSE,"Ratio Analysis";#N/A,#N/A,FALSE,"Test 120 Day Accts";#N/A,#N/A,FALSE,"Tickmarks"}</definedName>
    <definedName name="bcbcbcbcb" localSheetId="1" hidden="1">#REF!</definedName>
    <definedName name="bcbcbcbcb" hidden="1">#REF!</definedName>
    <definedName name="bind" hidden="1">#REF!</definedName>
    <definedName name="CIQWBGuid" hidden="1">"e8017ecf-4a3e-4941-bd9d-07ff25a4906e"</definedName>
    <definedName name="de" localSheetId="2" hidden="1">{#N/A,#N/A,FALSE,"Aging Summary";#N/A,#N/A,FALSE,"Ratio Analysis";#N/A,#N/A,FALSE,"Test 120 Day Accts";#N/A,#N/A,FALSE,"Tickmarks"}</definedName>
    <definedName name="de" localSheetId="1" hidden="1">{#N/A,#N/A,FALSE,"Aging Summary";#N/A,#N/A,FALSE,"Ratio Analysis";#N/A,#N/A,FALSE,"Test 120 Day Accts";#N/A,#N/A,FALSE,"Tickmarks"}</definedName>
    <definedName name="de" hidden="1">{#N/A,#N/A,FALSE,"Aging Summary";#N/A,#N/A,FALSE,"Ratio Analysis";#N/A,#N/A,FALSE,"Test 120 Day Accts";#N/A,#N/A,FALSE,"Tickmarks"}</definedName>
    <definedName name="eeeeeeeeeeeeeeee" hidden="1">#REF!</definedName>
    <definedName name="esdr" localSheetId="2" hidden="1">{#N/A,#N/A,FALSE,"ROTINA";#N/A,#N/A,FALSE,"ITENS";#N/A,#N/A,FALSE,"ACOMP"}</definedName>
    <definedName name="esdr" localSheetId="1" hidden="1">{#N/A,#N/A,FALSE,"ROTINA";#N/A,#N/A,FALSE,"ITENS";#N/A,#N/A,FALSE,"ACOMP"}</definedName>
    <definedName name="esdr" hidden="1">{#N/A,#N/A,FALSE,"ROTINA";#N/A,#N/A,FALSE,"ITENS";#N/A,#N/A,FALSE,"ACOMP"}</definedName>
    <definedName name="ew" localSheetId="2" hidden="1">{#N/A,#N/A,FALSE,"Aging Summary";#N/A,#N/A,FALSE,"Ratio Analysis";#N/A,#N/A,FALSE,"Test 120 Day Accts";#N/A,#N/A,FALSE,"Tickmarks"}</definedName>
    <definedName name="ew" localSheetId="1" hidden="1">{#N/A,#N/A,FALSE,"Aging Summary";#N/A,#N/A,FALSE,"Ratio Analysis";#N/A,#N/A,FALSE,"Test 120 Day Accts";#N/A,#N/A,FALSE,"Tickmarks"}</definedName>
    <definedName name="ew" hidden="1">{#N/A,#N/A,FALSE,"Aging Summary";#N/A,#N/A,FALSE,"Ratio Analysis";#N/A,#N/A,FALSE,"Test 120 Day Accts";#N/A,#N/A,FALSE,"Tickmarks"}</definedName>
    <definedName name="fdasfa" hidden="1">#REF!</definedName>
    <definedName name="ffdsfd" localSheetId="2" hidden="1">{#N/A,#N/A,FALSE,"Aging Summary";#N/A,#N/A,FALSE,"Ratio Analysis";#N/A,#N/A,FALSE,"Test 120 Day Accts";#N/A,#N/A,FALSE,"Tickmarks"}</definedName>
    <definedName name="ffdsfd" localSheetId="1" hidden="1">{#N/A,#N/A,FALSE,"Aging Summary";#N/A,#N/A,FALSE,"Ratio Analysis";#N/A,#N/A,FALSE,"Test 120 Day Accts";#N/A,#N/A,FALSE,"Tickmarks"}</definedName>
    <definedName name="ffdsfd" hidden="1">{#N/A,#N/A,FALSE,"Aging Summary";#N/A,#N/A,FALSE,"Ratio Analysis";#N/A,#N/A,FALSE,"Test 120 Day Accts";#N/A,#N/A,FALSE,"Tickmarks"}</definedName>
    <definedName name="financials2" hidden="1">#REF!</definedName>
    <definedName name="grd" localSheetId="1" hidden="1">#REF!</definedName>
    <definedName name="grd" hidden="1">#REF!</definedName>
    <definedName name="hjsmmmmm" hidden="1">#REF!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iiiiiiiiiiiiiiiii" hidden="1">#REF!</definedName>
    <definedName name="kjk" localSheetId="1" hidden="1">#REF!</definedName>
    <definedName name="kjk" hidden="1">#REF!</definedName>
    <definedName name="oo" localSheetId="1" hidden="1">#REF!</definedName>
    <definedName name="oo" hidden="1">#REF!</definedName>
    <definedName name="Pal_Workbook_GUID" hidden="1">"2865GY71M9U7WNPLS2S5K8DX"</definedName>
    <definedName name="pesetas" hidden="1">#REF!</definedName>
    <definedName name="pppppppppppppppppp" hidden="1">#REF!</definedName>
    <definedName name="ptas" hidden="1">#REF!</definedName>
    <definedName name="q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100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rrrrrrrrrrrrrrr" hidden="1">#REF!</definedName>
    <definedName name="SAPBEXrevision" hidden="1">1</definedName>
    <definedName name="SAPBEXsysID" hidden="1">"MBP"</definedName>
    <definedName name="SAPBEXwbID" hidden="1">"46Q688J21WEVLDQ4L95JCNHP8"</definedName>
    <definedName name="ssss" localSheetId="2" hidden="1">{#N/A,#N/A,FALSE,"Aging Summary";#N/A,#N/A,FALSE,"Ratio Analysis";#N/A,#N/A,FALSE,"Test 120 Day Accts";#N/A,#N/A,FALSE,"Tickmarks"}</definedName>
    <definedName name="ssss" localSheetId="1" hidden="1">{#N/A,#N/A,FALSE,"Aging Summary";#N/A,#N/A,FALSE,"Ratio Analysis";#N/A,#N/A,FALSE,"Test 120 Day Accts";#N/A,#N/A,FALSE,"Tickmarks"}</definedName>
    <definedName name="ssss" hidden="1">{#N/A,#N/A,FALSE,"Aging Summary";#N/A,#N/A,FALSE,"Ratio Analysis";#N/A,#N/A,FALSE,"Test 120 Day Accts";#N/A,#N/A,FALSE,"Tickmarks"}</definedName>
    <definedName name="sssssssssssssssss" hidden="1">#REF!</definedName>
    <definedName name="ssssssssssssssssssssssss" hidden="1">#REF!</definedName>
    <definedName name="test" localSheetId="2" hidden="1">{#N/A,#N/A,FALSE,"ROTINA";#N/A,#N/A,FALSE,"ITENS";#N/A,#N/A,FALSE,"ACOMP"}</definedName>
    <definedName name="test" localSheetId="1" hidden="1">{#N/A,#N/A,FALSE,"ROTINA";#N/A,#N/A,FALSE,"ITENS";#N/A,#N/A,FALSE,"ACOMP"}</definedName>
    <definedName name="test" hidden="1">{#N/A,#N/A,FALSE,"ROTINA";#N/A,#N/A,FALSE,"ITENS";#N/A,#N/A,FALSE,"ACOMP"}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tttttttttttttttttttttt" hidden="1">#REF!</definedName>
    <definedName name="uuuuuuuuuuuuuuuuuu" hidden="1">#REF!</definedName>
    <definedName name="wew" localSheetId="2" hidden="1">{#N/A,#N/A,FALSE,"Aging Summary";#N/A,#N/A,FALSE,"Ratio Analysis";#N/A,#N/A,FALSE,"Test 120 Day Accts";#N/A,#N/A,FALSE,"Tickmarks"}</definedName>
    <definedName name="wew" localSheetId="1" hidden="1">{#N/A,#N/A,FALSE,"Aging Summary";#N/A,#N/A,FALSE,"Ratio Analysis";#N/A,#N/A,FALSE,"Test 120 Day Accts";#N/A,#N/A,FALSE,"Tickmarks"}</definedName>
    <definedName name="wew" hidden="1">{#N/A,#N/A,FALSE,"Aging Summary";#N/A,#N/A,FALSE,"Ratio Analysis";#N/A,#N/A,FALSE,"Test 120 Day Accts";#N/A,#N/A,FALSE,"Tickmarks"}</definedName>
    <definedName name="wmmmm" hidden="1">#REF!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DIRETRIZ." localSheetId="2" hidden="1">{#N/A,#N/A,FALSE,"ROTINA";#N/A,#N/A,FALSE,"ITENS";#N/A,#N/A,FALSE,"ACOMP"}</definedName>
    <definedName name="wrn.DIRETRIZ." localSheetId="1" hidden="1">{#N/A,#N/A,FALSE,"ROTINA";#N/A,#N/A,FALSE,"ITENS";#N/A,#N/A,FALSE,"ACOMP"}</definedName>
    <definedName name="wrn.DIRETRIZ." hidden="1">{#N/A,#N/A,FALSE,"ROTINA";#N/A,#N/A,FALSE,"ITENS";#N/A,#N/A,FALSE,"ACOMP"}</definedName>
    <definedName name="wrn.SEC2." localSheetId="1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rn.SEC2.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wwwwwwwwwwwww" hidden="1">#REF!</definedName>
    <definedName name="xxx" localSheetId="2" hidden="1">{#N/A,#N/A,FALSE,"Aging Summary";#N/A,#N/A,FALSE,"Ratio Analysis";#N/A,#N/A,FALSE,"Test 120 Day Accts";#N/A,#N/A,FALSE,"Tickmarks"}</definedName>
    <definedName name="xxx" localSheetId="1" hidden="1">{#N/A,#N/A,FALSE,"Aging Summary";#N/A,#N/A,FALSE,"Ratio Analysis";#N/A,#N/A,FALSE,"Test 120 Day Accts";#N/A,#N/A,FALSE,"Tickmarks"}</definedName>
    <definedName name="xxx" hidden="1">{#N/A,#N/A,FALSE,"Aging Summary";#N/A,#N/A,FALSE,"Ratio Analysis";#N/A,#N/A,FALSE,"Test 120 Day Accts";#N/A,#N/A,FALSE,"Tickmarks"}</definedName>
    <definedName name="yyyyyyyyyyyyyyyyyy" hidden="1">#REF!</definedName>
    <definedName name="Z_961C41A8_D799_11D5_943C_00104B06CD16_.wvu.Rows" localSheetId="1" hidden="1">#REF!,#REF!,#REF!,#REF!,#REF!,#REF!</definedName>
    <definedName name="Z_961C41A8_D799_11D5_943C_00104B06CD16_.wvu.Rows" hidden="1">#REF!,#REF!,#REF!,#REF!,#REF!,#REF!</definedName>
    <definedName name="zzzzzzzzzzz" hidden="1">#REF!</definedName>
    <definedName name="zzzzzzzzzzzzzzzzzzzzzzzzzzz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9" l="1"/>
  <c r="H9" i="19"/>
  <c r="H11" i="18"/>
  <c r="A19" i="12"/>
  <c r="A18" i="12"/>
  <c r="A20" i="12"/>
  <c r="C11" i="18" l="1"/>
  <c r="C12" i="18" s="1"/>
  <c r="D9" i="18"/>
  <c r="P9" i="18" l="1"/>
  <c r="G20" i="12"/>
  <c r="G19" i="12"/>
  <c r="G18" i="12"/>
  <c r="G45" i="12"/>
  <c r="G39" i="12"/>
  <c r="G38" i="12"/>
  <c r="G46" i="12"/>
  <c r="G31" i="12"/>
  <c r="G30" i="12"/>
  <c r="G23" i="12"/>
  <c r="G22" i="12"/>
  <c r="G40" i="12"/>
  <c r="G25" i="12"/>
  <c r="G33" i="12"/>
  <c r="G41" i="12"/>
  <c r="G27" i="12"/>
  <c r="G43" i="12"/>
  <c r="G21" i="12"/>
  <c r="G29" i="12"/>
  <c r="G44" i="12"/>
  <c r="G26" i="12"/>
  <c r="G34" i="12"/>
  <c r="G42" i="12"/>
  <c r="G28" i="12"/>
  <c r="G36" i="12"/>
  <c r="G37" i="12"/>
  <c r="G35" i="12"/>
  <c r="G24" i="12"/>
  <c r="G32" i="12"/>
  <c r="AB8" i="18"/>
  <c r="C8" i="12" l="1"/>
  <c r="B4" i="12" s="1"/>
  <c r="C9" i="18" l="1"/>
  <c r="H9" i="18" l="1"/>
  <c r="H8" i="18" l="1"/>
  <c r="P10" i="18" l="1"/>
  <c r="P15" i="18"/>
  <c r="C15" i="12" l="1"/>
  <c r="H20" i="12" l="1"/>
  <c r="H18" i="12"/>
  <c r="H19" i="12"/>
  <c r="P16" i="18"/>
  <c r="P12" i="18" s="1"/>
  <c r="C12" i="12" l="1"/>
  <c r="C13" i="12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C21" i="17"/>
  <c r="C20" i="17"/>
  <c r="C17" i="17"/>
  <c r="C18" i="17"/>
  <c r="C19" i="17"/>
  <c r="C16" i="17"/>
  <c r="C15" i="17"/>
  <c r="C14" i="17"/>
  <c r="C13" i="17"/>
  <c r="C12" i="17"/>
  <c r="C11" i="17"/>
  <c r="C10" i="17"/>
  <c r="C9" i="17"/>
  <c r="C8" i="17"/>
  <c r="C5" i="17"/>
  <c r="C6" i="17"/>
  <c r="C7" i="17"/>
  <c r="C4" i="17"/>
  <c r="C3" i="17"/>
  <c r="C2" i="17"/>
  <c r="F20" i="12" l="1"/>
  <c r="J20" i="12" s="1"/>
  <c r="F19" i="12"/>
  <c r="J19" i="12" s="1"/>
  <c r="F18" i="12"/>
  <c r="J18" i="12" s="1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B5" i="13"/>
  <c r="B6" i="13" s="1"/>
  <c r="L45" i="12"/>
  <c r="H43" i="12"/>
  <c r="L41" i="12"/>
  <c r="H39" i="12"/>
  <c r="L37" i="12"/>
  <c r="H35" i="12"/>
  <c r="L33" i="12"/>
  <c r="H31" i="12"/>
  <c r="L29" i="12"/>
  <c r="H27" i="12"/>
  <c r="H25" i="12"/>
  <c r="H23" i="12"/>
  <c r="H21" i="12"/>
  <c r="C6" i="14"/>
  <c r="H33" i="12" l="1"/>
  <c r="H45" i="12"/>
  <c r="H37" i="12"/>
  <c r="H41" i="12"/>
  <c r="H29" i="12"/>
  <c r="H22" i="12"/>
  <c r="H24" i="12" l="1"/>
  <c r="H26" i="12"/>
  <c r="H28" i="12"/>
  <c r="H32" i="12"/>
  <c r="H36" i="12"/>
  <c r="H40" i="12"/>
  <c r="H44" i="12"/>
  <c r="L46" i="12" l="1"/>
  <c r="L42" i="12"/>
  <c r="L38" i="12"/>
  <c r="L34" i="12"/>
  <c r="L30" i="12"/>
  <c r="H30" i="12" l="1"/>
  <c r="H34" i="12"/>
  <c r="H38" i="12"/>
  <c r="H42" i="12"/>
  <c r="H46" i="12"/>
  <c r="B7" i="14"/>
  <c r="F6" i="14" l="1"/>
  <c r="C7" i="14"/>
  <c r="F7" i="14" s="1"/>
  <c r="D12" i="14"/>
  <c r="C7" i="13"/>
  <c r="C14" i="13" s="1"/>
  <c r="F8" i="14" l="1"/>
  <c r="F29" i="12" l="1"/>
  <c r="F25" i="12"/>
  <c r="F33" i="12"/>
  <c r="F39" i="12"/>
  <c r="F21" i="12"/>
  <c r="F37" i="12"/>
  <c r="F45" i="12"/>
  <c r="F35" i="12"/>
  <c r="F43" i="12"/>
  <c r="F41" i="12"/>
  <c r="F27" i="12"/>
  <c r="F23" i="12"/>
  <c r="F31" i="12"/>
  <c r="F22" i="12"/>
  <c r="F34" i="12"/>
  <c r="F38" i="12"/>
  <c r="F32" i="12"/>
  <c r="F44" i="12"/>
  <c r="F36" i="12"/>
  <c r="F42" i="12"/>
  <c r="F46" i="12"/>
  <c r="F28" i="12"/>
  <c r="F40" i="12"/>
  <c r="F26" i="12"/>
  <c r="F30" i="12"/>
  <c r="F24" i="12"/>
  <c r="E16" i="17" l="1"/>
  <c r="J21" i="12"/>
  <c r="E12" i="17"/>
  <c r="J39" i="12"/>
  <c r="E17" i="17"/>
  <c r="E15" i="17"/>
  <c r="E20" i="17"/>
  <c r="J25" i="12"/>
  <c r="J40" i="12"/>
  <c r="E3" i="17"/>
  <c r="E14" i="17"/>
  <c r="E2" i="17"/>
  <c r="E6" i="17"/>
  <c r="E10" i="17"/>
  <c r="E7" i="17"/>
  <c r="E21" i="17"/>
  <c r="E5" i="17"/>
  <c r="E19" i="17"/>
  <c r="E8" i="17"/>
  <c r="E9" i="17"/>
  <c r="E4" i="17"/>
  <c r="J32" i="12"/>
  <c r="E13" i="17"/>
  <c r="E11" i="17"/>
  <c r="E18" i="17"/>
  <c r="J28" i="12"/>
  <c r="J44" i="12"/>
  <c r="J22" i="12"/>
  <c r="J41" i="12"/>
  <c r="J36" i="12"/>
  <c r="J31" i="12"/>
  <c r="J33" i="12"/>
  <c r="J34" i="12"/>
  <c r="J43" i="12"/>
  <c r="J35" i="12"/>
  <c r="J29" i="12"/>
  <c r="J24" i="12"/>
  <c r="J30" i="12"/>
  <c r="J46" i="12"/>
  <c r="J38" i="12"/>
  <c r="J23" i="12"/>
  <c r="J45" i="12"/>
  <c r="J26" i="12"/>
  <c r="J42" i="12"/>
  <c r="J27" i="12"/>
  <c r="J37" i="12"/>
</calcChain>
</file>

<file path=xl/sharedStrings.xml><?xml version="1.0" encoding="utf-8"?>
<sst xmlns="http://schemas.openxmlformats.org/spreadsheetml/2006/main" count="253" uniqueCount="117">
  <si>
    <t>IHS</t>
  </si>
  <si>
    <t>Promedio</t>
  </si>
  <si>
    <t>Recargos</t>
  </si>
  <si>
    <t>Flete Marítimo</t>
  </si>
  <si>
    <t>Nacionalización (%)</t>
  </si>
  <si>
    <t>Valor vPET</t>
  </si>
  <si>
    <t>Valor rPET</t>
  </si>
  <si>
    <t>Materia Prima</t>
  </si>
  <si>
    <t>Scrap</t>
  </si>
  <si>
    <t>Conversión</t>
  </si>
  <si>
    <t>rPET</t>
  </si>
  <si>
    <t>Perú</t>
  </si>
  <si>
    <t>Panamá</t>
  </si>
  <si>
    <t>Valor Paca</t>
  </si>
  <si>
    <t>%</t>
  </si>
  <si>
    <t>PR</t>
  </si>
  <si>
    <t>CC</t>
  </si>
  <si>
    <t>Flete</t>
  </si>
  <si>
    <t>DDP</t>
  </si>
  <si>
    <t xml:space="preserve"> Precios Preforma ABI - Panamá</t>
  </si>
  <si>
    <t>CLIENTE</t>
  </si>
  <si>
    <t>ABI</t>
  </si>
  <si>
    <t>PAÍS :</t>
  </si>
  <si>
    <t xml:space="preserve">PERÍODO : </t>
  </si>
  <si>
    <t xml:space="preserve"> </t>
  </si>
  <si>
    <t xml:space="preserve">Actualización: </t>
  </si>
  <si>
    <t>Mensual</t>
  </si>
  <si>
    <t>Precio de Resina</t>
  </si>
  <si>
    <t>USD/TM</t>
  </si>
  <si>
    <t>Resina rPET</t>
  </si>
  <si>
    <t>Resina vPET</t>
  </si>
  <si>
    <t>Flete Pref (USD/Cont)</t>
  </si>
  <si>
    <t>Weight (g)</t>
  </si>
  <si>
    <t>Color</t>
  </si>
  <si>
    <t>Finish</t>
  </si>
  <si>
    <t>%rPET</t>
  </si>
  <si>
    <t>Resina
(US$/millar)</t>
  </si>
  <si>
    <t>Nuevo precio de conversión Incluido Color
(US$/millar)</t>
  </si>
  <si>
    <t>Flete
(US$/millar)</t>
  </si>
  <si>
    <t>Gastos a DDP y Almacenamiento
(US$/millar)</t>
  </si>
  <si>
    <t>Precio DDP Preforma
(US$/millar)</t>
  </si>
  <si>
    <t>Preformas (Mill x caja)</t>
  </si>
  <si>
    <t>País</t>
  </si>
  <si>
    <t>Cliente</t>
  </si>
  <si>
    <t>Gramaje</t>
  </si>
  <si>
    <t>Tipo de resina</t>
  </si>
  <si>
    <t>Precio de resina USD/Mill</t>
  </si>
  <si>
    <t>Precio de conversión USD/Mill</t>
  </si>
  <si>
    <t>Vigencia</t>
  </si>
  <si>
    <t>Actualización</t>
  </si>
  <si>
    <t>CSD</t>
  </si>
  <si>
    <t>25% RPET</t>
  </si>
  <si>
    <t>HOJA DE INPUTS</t>
  </si>
  <si>
    <t>2. Resina Reciclado</t>
  </si>
  <si>
    <t>3. Costos Logisticos de Preforma</t>
  </si>
  <si>
    <t>1.1 Indice de precios de resina</t>
  </si>
  <si>
    <t>1.2 Fletes Marítimos Internacionales:</t>
  </si>
  <si>
    <t>Origen</t>
  </si>
  <si>
    <t>Lima</t>
  </si>
  <si>
    <t>Inventario Final</t>
  </si>
  <si>
    <t>Destino</t>
  </si>
  <si>
    <t>AÑO</t>
  </si>
  <si>
    <t>MES</t>
  </si>
  <si>
    <t>Mes</t>
  </si>
  <si>
    <t>Flete (USD/TM)</t>
  </si>
  <si>
    <t>Precio Paca</t>
  </si>
  <si>
    <t>*ACTUALIZAR A LP:</t>
  </si>
  <si>
    <t>USD / TM</t>
  </si>
  <si>
    <t>EXW Referencial</t>
  </si>
  <si>
    <t>Transporte:</t>
  </si>
  <si>
    <t>Marítimo</t>
  </si>
  <si>
    <t>PERIODO</t>
  </si>
  <si>
    <t>MES INICIAL</t>
  </si>
  <si>
    <t>Promedio FOB</t>
  </si>
  <si>
    <t>Gastos FOB Callao</t>
  </si>
  <si>
    <t>EXW - FOB</t>
  </si>
  <si>
    <t>Precio rPET</t>
  </si>
  <si>
    <t>Flete marítimo</t>
  </si>
  <si>
    <t>FOB - CIF</t>
  </si>
  <si>
    <t>Validez Inicial</t>
  </si>
  <si>
    <t>Seguro</t>
  </si>
  <si>
    <t>Validez Final</t>
  </si>
  <si>
    <t>Precio rPET ponderado</t>
  </si>
  <si>
    <t>Arancel PT Preformas</t>
  </si>
  <si>
    <t>Precio DDP</t>
  </si>
  <si>
    <t>TOTAL</t>
  </si>
  <si>
    <t>USD/Contenedor</t>
  </si>
  <si>
    <t>PERÚ</t>
  </si>
  <si>
    <t>2024-6</t>
  </si>
  <si>
    <t>Merma sobre precio DDP</t>
  </si>
  <si>
    <t>Clear</t>
  </si>
  <si>
    <t>Green</t>
  </si>
  <si>
    <t>IPC</t>
  </si>
  <si>
    <t>1. vPET</t>
  </si>
  <si>
    <t>Indices Fletes Maritimos Drewry</t>
  </si>
  <si>
    <t>Índice:</t>
  </si>
  <si>
    <t>ICIS - ASIA SE - Low</t>
  </si>
  <si>
    <t>5. IPC</t>
  </si>
  <si>
    <t>Fuente:</t>
  </si>
  <si>
    <t>U.S. BLS</t>
  </si>
  <si>
    <t>CPI for All Urban Consumers (CPI-U)</t>
  </si>
  <si>
    <t>IPC USA</t>
  </si>
  <si>
    <t>Inflación acum</t>
  </si>
  <si>
    <t>Base</t>
  </si>
  <si>
    <t>Actual</t>
  </si>
  <si>
    <t>Central China (Shanghai) to Peru (Callao)</t>
  </si>
  <si>
    <t>Actualizar en Ene-26, con CPI Nov-25</t>
  </si>
  <si>
    <t>2025-11</t>
  </si>
  <si>
    <t>2026-2</t>
  </si>
  <si>
    <t xml:space="preserve">ICIS </t>
  </si>
  <si>
    <t xml:space="preserve">OF </t>
  </si>
  <si>
    <t xml:space="preserve">IT </t>
  </si>
  <si>
    <t xml:space="preserve">Customs Clearance </t>
  </si>
  <si>
    <t xml:space="preserve">ICIS Asia Low Index </t>
  </si>
  <si>
    <t xml:space="preserve">Constant as per formulae </t>
  </si>
  <si>
    <t xml:space="preserve">Tax </t>
  </si>
  <si>
    <t>Precio 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</si>
</sst>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 * #,##0.0_ ;_ * \-#,##0.0_ ;_ * &quot;-&quot;??_ ;_ @_ "/>
    <numFmt numFmtId="167" formatCode="0.0"/>
    <numFmt numFmtId="168" formatCode="_-[$$-540A]* #,##0.00_ ;_-[$$-540A]* \-#,##0.00\ ;_-[$$-540A]* &quot;-&quot;??_ ;_-@_ "/>
    <numFmt numFmtId="169" formatCode="0.0%"/>
    <numFmt numFmtId="170" formatCode="_-* #,##0_-;\-* #,##0_-;_-* &quot;-&quot;??_-;_-@_-"/>
    <numFmt numFmtId="171" formatCode="_-* #,##0.00\ _P_t_s_-;\-* #,##0.00\ _P_t_s_-;_-* &quot;-&quot;??\ _P_t_s_-;_-@_-"/>
  </numFmts>
  <fonts count="2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theme="5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9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5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9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3" fillId="0" borderId="0"/>
    <xf numFmtId="0" fontId="21" fillId="0" borderId="0" applyNumberFormat="0" applyFill="0" applyBorder="0" applyAlignment="0" applyProtection="0"/>
    <xf numFmtId="0" fontId="19" fillId="0" borderId="0"/>
  </cellStyleXfs>
  <cellXfs count="142">
    <xf numFmtId="0" fontId="0" fillId="0" borderId="0" xfId="0"/>
    <xf numFmtId="0" fontId="4" fillId="0" borderId="0" xfId="0" applyFont="1"/>
    <xf numFmtId="166" fontId="3" fillId="0" borderId="0" xfId="6" applyNumberFormat="1" applyFont="1"/>
    <xf numFmtId="10" fontId="0" fillId="0" borderId="0" xfId="0" applyNumberFormat="1"/>
    <xf numFmtId="168" fontId="4" fillId="0" borderId="0" xfId="6" applyNumberFormat="1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/>
    <xf numFmtId="0" fontId="6" fillId="0" borderId="0" xfId="4"/>
    <xf numFmtId="17" fontId="0" fillId="0" borderId="1" xfId="0" applyNumberFormat="1" applyBorder="1" applyAlignment="1">
      <alignment horizontal="center"/>
    </xf>
    <xf numFmtId="169" fontId="0" fillId="0" borderId="1" xfId="3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17" fontId="0" fillId="0" borderId="1" xfId="0" applyNumberFormat="1" applyBorder="1" applyAlignment="1">
      <alignment horizontal="center" vertical="center" wrapText="1"/>
    </xf>
    <xf numFmtId="4" fontId="7" fillId="0" borderId="0" xfId="4" applyNumberFormat="1" applyFont="1" applyAlignment="1">
      <alignment horizontal="center"/>
    </xf>
    <xf numFmtId="168" fontId="0" fillId="0" borderId="0" xfId="0" applyNumberFormat="1"/>
    <xf numFmtId="0" fontId="8" fillId="0" borderId="0" xfId="0" applyFont="1"/>
    <xf numFmtId="168" fontId="8" fillId="0" borderId="0" xfId="0" applyNumberFormat="1" applyFont="1"/>
    <xf numFmtId="0" fontId="9" fillId="0" borderId="1" xfId="0" applyFont="1" applyBorder="1" applyAlignment="1">
      <alignment horizontal="center"/>
    </xf>
    <xf numFmtId="165" fontId="0" fillId="0" borderId="0" xfId="6" applyNumberFormat="1" applyFont="1"/>
    <xf numFmtId="166" fontId="0" fillId="0" borderId="0" xfId="6" applyNumberFormat="1" applyFont="1"/>
    <xf numFmtId="9" fontId="0" fillId="0" borderId="0" xfId="3" applyFont="1"/>
    <xf numFmtId="17" fontId="0" fillId="0" borderId="0" xfId="0" applyNumberFormat="1"/>
    <xf numFmtId="0" fontId="7" fillId="0" borderId="0" xfId="4" applyFont="1"/>
    <xf numFmtId="17" fontId="4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3" fillId="0" borderId="2" xfId="2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2" xfId="6" applyNumberFormat="1" applyFont="1" applyBorder="1" applyAlignment="1">
      <alignment horizontal="center"/>
    </xf>
    <xf numFmtId="9" fontId="3" fillId="0" borderId="2" xfId="6" applyNumberFormat="1" applyFont="1" applyBorder="1" applyAlignment="1">
      <alignment horizontal="center"/>
    </xf>
    <xf numFmtId="167" fontId="3" fillId="0" borderId="2" xfId="2" applyNumberFormat="1" applyBorder="1" applyAlignment="1">
      <alignment horizontal="center"/>
    </xf>
    <xf numFmtId="0" fontId="3" fillId="0" borderId="2" xfId="6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14" fontId="11" fillId="0" borderId="2" xfId="6" quotePrefix="1" applyNumberFormat="1" applyFont="1" applyBorder="1" applyAlignment="1">
      <alignment horizontal="center"/>
    </xf>
    <xf numFmtId="0" fontId="11" fillId="0" borderId="2" xfId="0" applyFont="1" applyBorder="1"/>
    <xf numFmtId="164" fontId="10" fillId="0" borderId="2" xfId="6" applyFont="1" applyBorder="1" applyAlignment="1">
      <alignment horizontal="center"/>
    </xf>
    <xf numFmtId="14" fontId="10" fillId="0" borderId="2" xfId="6" quotePrefix="1" applyNumberFormat="1" applyFont="1" applyBorder="1" applyAlignment="1">
      <alignment horizontal="center"/>
    </xf>
    <xf numFmtId="0" fontId="4" fillId="0" borderId="2" xfId="0" applyFont="1" applyBorder="1"/>
    <xf numFmtId="168" fontId="4" fillId="0" borderId="2" xfId="6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3" fillId="0" borderId="2" xfId="6" applyFont="1" applyBorder="1" applyAlignment="1">
      <alignment horizontal="center"/>
    </xf>
    <xf numFmtId="164" fontId="0" fillId="0" borderId="2" xfId="6" applyFont="1" applyBorder="1"/>
    <xf numFmtId="164" fontId="5" fillId="2" borderId="2" xfId="6" applyFont="1" applyFill="1" applyBorder="1"/>
    <xf numFmtId="0" fontId="0" fillId="5" borderId="0" xfId="0" applyFill="1"/>
    <xf numFmtId="0" fontId="13" fillId="8" borderId="0" xfId="0" applyFont="1" applyFill="1" applyAlignment="1">
      <alignment vertical="center"/>
    </xf>
    <xf numFmtId="0" fontId="13" fillId="8" borderId="3" xfId="0" applyFont="1" applyFill="1" applyBorder="1" applyAlignment="1">
      <alignment vertical="center"/>
    </xf>
    <xf numFmtId="0" fontId="0" fillId="0" borderId="3" xfId="0" applyBorder="1"/>
    <xf numFmtId="0" fontId="12" fillId="8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4" fillId="8" borderId="3" xfId="0" applyFont="1" applyFill="1" applyBorder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164" fontId="3" fillId="0" borderId="0" xfId="8" applyFont="1" applyBorder="1" applyAlignment="1">
      <alignment horizontal="left" vertical="center"/>
    </xf>
    <xf numFmtId="0" fontId="16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10" borderId="3" xfId="7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1" fillId="10" borderId="2" xfId="7" applyFont="1" applyFill="1" applyBorder="1" applyAlignment="1">
      <alignment horizontal="left" vertical="center"/>
    </xf>
    <xf numFmtId="0" fontId="4" fillId="5" borderId="0" xfId="0" applyFont="1" applyFill="1"/>
    <xf numFmtId="0" fontId="10" fillId="0" borderId="2" xfId="7" applyFont="1" applyBorder="1" applyAlignment="1">
      <alignment horizontal="left" vertical="center"/>
    </xf>
    <xf numFmtId="0" fontId="10" fillId="10" borderId="3" xfId="7" applyFont="1" applyFill="1" applyBorder="1" applyAlignment="1">
      <alignment horizontal="left" vertical="center"/>
    </xf>
    <xf numFmtId="164" fontId="11" fillId="0" borderId="3" xfId="7" applyNumberFormat="1" applyFont="1" applyBorder="1" applyAlignment="1">
      <alignment horizontal="left" vertical="center"/>
    </xf>
    <xf numFmtId="164" fontId="10" fillId="0" borderId="3" xfId="7" applyNumberFormat="1" applyFont="1" applyBorder="1" applyAlignment="1">
      <alignment horizontal="left" vertical="center"/>
    </xf>
    <xf numFmtId="164" fontId="3" fillId="0" borderId="3" xfId="8" applyFont="1" applyBorder="1" applyAlignment="1">
      <alignment horizontal="left" vertical="center"/>
    </xf>
    <xf numFmtId="0" fontId="11" fillId="5" borderId="2" xfId="7" applyFont="1" applyFill="1" applyBorder="1" applyAlignment="1">
      <alignment horizontal="left" vertical="center"/>
    </xf>
    <xf numFmtId="0" fontId="19" fillId="0" borderId="0" xfId="11"/>
    <xf numFmtId="0" fontId="0" fillId="0" borderId="0" xfId="0" applyAlignment="1">
      <alignment vertical="center"/>
    </xf>
    <xf numFmtId="4" fontId="11" fillId="0" borderId="2" xfId="7" applyNumberFormat="1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4" fontId="0" fillId="0" borderId="2" xfId="0" applyNumberFormat="1" applyBorder="1" applyAlignment="1">
      <alignment horizontal="center" vertical="center"/>
    </xf>
    <xf numFmtId="0" fontId="6" fillId="0" borderId="3" xfId="4" applyBorder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17" fontId="4" fillId="0" borderId="1" xfId="0" applyNumberFormat="1" applyFont="1" applyBorder="1" applyAlignment="1">
      <alignment horizontal="center" vertical="center"/>
    </xf>
    <xf numFmtId="169" fontId="0" fillId="0" borderId="1" xfId="3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0" borderId="0" xfId="4" applyAlignment="1">
      <alignment vertical="center"/>
    </xf>
    <xf numFmtId="17" fontId="0" fillId="10" borderId="0" xfId="0" applyNumberFormat="1" applyFill="1" applyAlignment="1">
      <alignment horizontal="center" vertical="center"/>
    </xf>
    <xf numFmtId="17" fontId="0" fillId="10" borderId="0" xfId="0" applyNumberFormat="1" applyFill="1" applyAlignment="1">
      <alignment vertical="center"/>
    </xf>
    <xf numFmtId="164" fontId="0" fillId="10" borderId="0" xfId="6" applyFont="1" applyFill="1" applyBorder="1" applyAlignment="1">
      <alignment vertical="center"/>
    </xf>
    <xf numFmtId="17" fontId="4" fillId="0" borderId="1" xfId="0" applyNumberFormat="1" applyFont="1" applyBorder="1" applyAlignment="1">
      <alignment horizontal="right" vertical="center"/>
    </xf>
    <xf numFmtId="164" fontId="4" fillId="0" borderId="1" xfId="6" applyFont="1" applyBorder="1" applyAlignment="1">
      <alignment horizontal="center"/>
    </xf>
    <xf numFmtId="0" fontId="0" fillId="5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0" fontId="4" fillId="5" borderId="0" xfId="6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164" fontId="0" fillId="9" borderId="2" xfId="6" applyFont="1" applyFill="1" applyBorder="1" applyAlignment="1" applyProtection="1">
      <alignment vertical="center"/>
      <protection locked="0"/>
    </xf>
    <xf numFmtId="0" fontId="0" fillId="0" borderId="2" xfId="0" applyBorder="1" applyAlignment="1">
      <alignment horizontal="left" vertical="center"/>
    </xf>
    <xf numFmtId="164" fontId="0" fillId="9" borderId="2" xfId="6" applyFont="1" applyFill="1" applyBorder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0" fontId="0" fillId="5" borderId="2" xfId="6" applyNumberFormat="1" applyFont="1" applyFill="1" applyBorder="1" applyAlignment="1">
      <alignment horizontal="left" vertical="center"/>
    </xf>
    <xf numFmtId="170" fontId="0" fillId="9" borderId="2" xfId="0" applyNumberForma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64" fontId="4" fillId="5" borderId="0" xfId="0" applyNumberFormat="1" applyFont="1" applyFill="1" applyAlignment="1">
      <alignment vertical="center"/>
    </xf>
    <xf numFmtId="0" fontId="4" fillId="0" borderId="0" xfId="4" applyFont="1"/>
    <xf numFmtId="0" fontId="11" fillId="11" borderId="0" xfId="7" applyFont="1" applyFill="1" applyAlignment="1">
      <alignment horizontal="center" vertical="center"/>
    </xf>
    <xf numFmtId="17" fontId="4" fillId="9" borderId="4" xfId="0" applyNumberFormat="1" applyFont="1" applyFill="1" applyBorder="1" applyAlignment="1">
      <alignment horizontal="center" vertical="center"/>
    </xf>
    <xf numFmtId="4" fontId="4" fillId="9" borderId="0" xfId="0" applyNumberFormat="1" applyFont="1" applyFill="1" applyAlignment="1">
      <alignment horizontal="center" vertical="center"/>
    </xf>
    <xf numFmtId="164" fontId="0" fillId="9" borderId="0" xfId="12" applyNumberFormat="1" applyFont="1" applyFill="1" applyBorder="1" applyAlignment="1">
      <alignment vertical="center"/>
    </xf>
    <xf numFmtId="164" fontId="11" fillId="0" borderId="3" xfId="6" applyFont="1" applyBorder="1" applyAlignment="1">
      <alignment horizontal="left" vertical="center"/>
    </xf>
    <xf numFmtId="14" fontId="13" fillId="8" borderId="0" xfId="0" applyNumberFormat="1" applyFont="1" applyFill="1" applyAlignment="1">
      <alignment vertical="center"/>
    </xf>
    <xf numFmtId="0" fontId="20" fillId="0" borderId="3" xfId="7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vertical="center"/>
    </xf>
    <xf numFmtId="164" fontId="5" fillId="10" borderId="2" xfId="6" applyFont="1" applyFill="1" applyBorder="1" applyAlignment="1">
      <alignment horizontal="center"/>
    </xf>
    <xf numFmtId="164" fontId="0" fillId="0" borderId="0" xfId="7" applyNumberFormat="1" applyFont="1" applyAlignment="1">
      <alignment horizontal="left" vertical="center"/>
    </xf>
    <xf numFmtId="0" fontId="11" fillId="0" borderId="0" xfId="7" applyFont="1" applyAlignment="1">
      <alignment horizontal="left"/>
    </xf>
    <xf numFmtId="0" fontId="4" fillId="0" borderId="0" xfId="7" applyFont="1" applyAlignment="1">
      <alignment horizontal="left"/>
    </xf>
    <xf numFmtId="164" fontId="0" fillId="0" borderId="0" xfId="8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1" fillId="0" borderId="0" xfId="17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23" fillId="0" borderId="0" xfId="18" applyFont="1" applyAlignment="1">
      <alignment horizontal="right" vertical="center"/>
    </xf>
    <xf numFmtId="43" fontId="19" fillId="9" borderId="0" xfId="13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10" fontId="4" fillId="5" borderId="0" xfId="3" applyNumberFormat="1" applyFont="1" applyFill="1" applyAlignment="1">
      <alignment horizontal="center" vertical="center"/>
    </xf>
    <xf numFmtId="4" fontId="0" fillId="0" borderId="2" xfId="7" applyNumberFormat="1" applyFont="1" applyBorder="1" applyAlignment="1">
      <alignment horizontal="center" vertical="center"/>
    </xf>
    <xf numFmtId="0" fontId="13" fillId="0" borderId="0" xfId="0" applyFont="1"/>
    <xf numFmtId="4" fontId="24" fillId="12" borderId="2" xfId="7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12" borderId="0" xfId="0" applyFill="1"/>
  </cellXfs>
  <cellStyles count="19">
    <cellStyle name="Comma" xfId="6" xr:uid="{98F872B6-C9FF-4FB7-8B1F-C430308E2080}"/>
    <cellStyle name="Comma 2 2" xfId="9" xr:uid="{401C5F58-BF3B-46F5-B2B8-CBB082A145FD}"/>
    <cellStyle name="Hyperlink" xfId="17" builtinId="8"/>
    <cellStyle name="Millares 16" xfId="1" xr:uid="{00000000-0005-0000-0000-000001000000}"/>
    <cellStyle name="Millares 2" xfId="5" xr:uid="{6AFABA60-C0F8-4F56-897D-9E03EC4B83D6}"/>
    <cellStyle name="Millares 2 2" xfId="14" xr:uid="{03B0070D-F8C6-49BA-AF30-6F543547EB6C}"/>
    <cellStyle name="Millares 2 2 2" xfId="13" xr:uid="{7266239A-3F25-421D-9F1A-E1F6A5DA73C4}"/>
    <cellStyle name="Millares 2 3" xfId="10" xr:uid="{155ADD62-89DC-4503-AA6F-71629F55C2EA}"/>
    <cellStyle name="Millares 3" xfId="12" xr:uid="{2FCA8692-BD73-45CF-AF0B-DE3EB335C905}"/>
    <cellStyle name="Millares 3 4" xfId="8" xr:uid="{67A32827-5F9B-4640-A746-71B5384067D5}"/>
    <cellStyle name="Millares 4" xfId="15" xr:uid="{08A7C05D-00E3-42E9-86E7-8C6CA0FFCF8D}"/>
    <cellStyle name="Normal" xfId="0" builtinId="0"/>
    <cellStyle name="Normal 2" xfId="11" xr:uid="{5A7BBA7C-84E1-4744-A911-DCA6FE2CFB27}"/>
    <cellStyle name="Normal 2 3 7" xfId="7" xr:uid="{590FCA1A-415A-493F-8DA4-D6EF90F64691}"/>
    <cellStyle name="Normal 22" xfId="2" xr:uid="{00000000-0005-0000-0000-000003000000}"/>
    <cellStyle name="Normal 3" xfId="4" xr:uid="{942B2063-7EC7-4867-B168-8F94EA658789}"/>
    <cellStyle name="Normal 3 3" xfId="16" xr:uid="{FA522C41-6659-4DBC-A269-0DB6F2548763}"/>
    <cellStyle name="Normal 3 4" xfId="18" xr:uid="{6D82FB53-AF81-4F2F-921D-451C14C691D8}"/>
    <cellStyle name="Percent" xfId="3" builtinId="5"/>
  </cellStyles>
  <dxfs count="5"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.0_ ;_ * \-#,##0.0_ ;_ * &quot;-&quot;??_ ;_ @_ "/>
    </dxf>
  </dxfs>
  <tableStyles count="1" defaultTableStyle="TableStyleMedium2" defaultPivotStyle="PivotStyleLight16">
    <tableStyle name="Invisible" pivot="0" table="0" count="0" xr9:uid="{71EFF29D-6628-4DF6-9EA7-4A5BEF16547F}"/>
  </tableStyles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36284</xdr:colOff>
      <xdr:row>1</xdr:row>
      <xdr:rowOff>99786</xdr:rowOff>
    </xdr:from>
    <xdr:to>
      <xdr:col>1</xdr:col>
      <xdr:colOff>1202145</xdr:colOff>
      <xdr:row>4</xdr:row>
      <xdr:rowOff>129722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8874D1-1C34-48BC-9F3C-68AC425F7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213" y="99786"/>
          <a:ext cx="1170215" cy="598442"/>
        </a:xfrm>
        <a:prstGeom prst="rect">
          <a:avLst/>
        </a:prstGeom>
      </xdr:spPr>
    </xdr:pic>
    <xdr:clientData/>
  </xdr:twoCellAnchor>
  <xdr:twoCellAnchor editAs="oneCell">
    <xdr:from>
      <xdr:col>9</xdr:col>
      <xdr:colOff>2</xdr:colOff>
      <xdr:row>1</xdr:row>
      <xdr:rowOff>63500</xdr:rowOff>
    </xdr:from>
    <xdr:to>
      <xdr:col>9</xdr:col>
      <xdr:colOff>789671</xdr:colOff>
      <xdr:row>5</xdr:row>
      <xdr:rowOff>95613</xdr:rowOff>
    </xdr:to>
    <xdr:pic>
      <xdr:nvPicPr>
        <xdr:cNvPr id="5" name="Imagen 4" descr="Cervecería Nacional (@CerveceriaNac) / X">
          <a:extLst>
            <a:ext uri="{FF2B5EF4-FFF2-40B4-BE49-F238E27FC236}">
              <a16:creationId xmlns:a16="http://schemas.microsoft.com/office/drawing/2014/main" id="{05550C75-A03D-65FE-C15D-B5FED019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4073" y="63500"/>
          <a:ext cx="787129" cy="780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9</xdr:row>
      <xdr:rowOff>180975</xdr:rowOff>
    </xdr:from>
    <xdr:to>
      <xdr:col>34</xdr:col>
      <xdr:colOff>115279</xdr:colOff>
      <xdr:row>28</xdr:row>
      <xdr:rowOff>162441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E671AF-7615-458F-92AC-7B69061B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74725" y="2095500"/>
          <a:ext cx="7020905" cy="3696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355600</xdr:colOff>
      <xdr:row>0</xdr:row>
      <xdr:rowOff>6350</xdr:rowOff>
    </xdr:from>
    <xdr:to>
      <xdr:col>8</xdr:col>
      <xdr:colOff>1320366</xdr:colOff>
      <xdr:row>3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79732-5201-4F51-8574-52898872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0" y="6350"/>
          <a:ext cx="3974666" cy="628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BD1BA-C441-46A6-BD43-C785CD3347A7}" name="Tabla2" displayName="Tabla2" ref="A1:H21" totalsRowShown="0">
  <autoFilter ref="A1:H21" xr:uid="{AA11F09B-2E0A-47DA-A971-EF514CC20BCC}"/>
  <tableColumns count="8">
    <tableColumn id="1" xr3:uid="{E9C8AE2A-8F7D-493B-A641-4DB1F1F92F92}" name="País"/>
    <tableColumn id="2" xr3:uid="{2A313230-5E08-4B1C-9219-7E01E4E0646C}" name="Cliente"/>
    <tableColumn id="3" xr3:uid="{B51177FA-14D5-4CC1-A21A-6F7CCC6ABFCD}" name="Gramaje" dataDxfId="4"/>
    <tableColumn id="4" xr3:uid="{93C11277-CE1D-4E3E-BA5C-4B4DE823D08C}" name="Tipo de resina" dataDxfId="3"/>
    <tableColumn id="5" xr3:uid="{E7BED4DC-0F41-4E90-8269-245A7382D018}" name="Precio de resina USD/Mill" dataDxfId="2"/>
    <tableColumn id="6" xr3:uid="{054CE616-A511-474B-9D3A-634C8EB86A3E}" name="Precio de conversión USD/Mill" dataDxfId="1"/>
    <tableColumn id="7" xr3:uid="{FC9D843B-3D40-44C2-AF1F-AA4E15CF258F}" name="Vigencia" dataDxfId="0"/>
    <tableColumn id="8" xr3:uid="{A6588083-A174-407E-B99F-6556332A84BB}" name="Actualiz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bls.gov/cpi/tables/supplemental-file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3653-CC63-401C-BAE5-C5A75105EF56}">
  <sheetPr codeName="Hoja1"/>
  <dimension ref="B3:C14"/>
  <sheetViews>
    <sheetView showGridLines="0" workbookViewId="0">
      <selection activeCell="B27" sqref="B27"/>
    </sheetView>
  </sheetViews>
  <sheetFormatPr defaultColWidth="10.81640625" defaultRowHeight="14.5" x14ac:dyDescent="0.35"/>
  <cols>
    <col min="2" max="2" width="18.453125" bestFit="1" customWidth="1"/>
  </cols>
  <sheetData>
    <row r="3" spans="2:3" x14ac:dyDescent="0.35">
      <c r="B3" s="6" t="s">
        <v>0</v>
      </c>
      <c r="C3" s="7"/>
    </row>
    <row r="4" spans="2:3" x14ac:dyDescent="0.35">
      <c r="B4" s="8">
        <v>44835</v>
      </c>
      <c r="C4" s="9">
        <v>1015.63</v>
      </c>
    </row>
    <row r="5" spans="2:3" x14ac:dyDescent="0.35">
      <c r="B5" s="8">
        <f>EOMONTH(B4,1)</f>
        <v>44895</v>
      </c>
      <c r="C5" s="9">
        <v>950</v>
      </c>
    </row>
    <row r="6" spans="2:3" x14ac:dyDescent="0.35">
      <c r="B6" s="8">
        <f>EOMONTH(B5,1)</f>
        <v>44926</v>
      </c>
      <c r="C6" s="9">
        <v>940</v>
      </c>
    </row>
    <row r="7" spans="2:3" x14ac:dyDescent="0.35">
      <c r="B7" s="10" t="s">
        <v>1</v>
      </c>
      <c r="C7" s="11">
        <f>+AVERAGE(C4:C6)</f>
        <v>968.54333333333341</v>
      </c>
    </row>
    <row r="9" spans="2:3" x14ac:dyDescent="0.35">
      <c r="B9" s="10" t="s">
        <v>2</v>
      </c>
      <c r="C9" s="10">
        <v>13</v>
      </c>
    </row>
    <row r="10" spans="2:3" x14ac:dyDescent="0.35">
      <c r="B10" s="10" t="s">
        <v>3</v>
      </c>
      <c r="C10" s="23">
        <v>163.33000000000001</v>
      </c>
    </row>
    <row r="12" spans="2:3" x14ac:dyDescent="0.35">
      <c r="B12" s="10" t="s">
        <v>4</v>
      </c>
      <c r="C12" s="10">
        <v>33.18</v>
      </c>
    </row>
    <row r="14" spans="2:3" x14ac:dyDescent="0.35">
      <c r="B14" s="12" t="s">
        <v>5</v>
      </c>
      <c r="C14" s="13">
        <f>(C10+C9+C7)+C12</f>
        <v>1178.0533333333335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E3CF-E4AC-4F77-AB6D-85083A08F9BB}">
  <sheetPr codeName="Hoja2"/>
  <dimension ref="B3:G13"/>
  <sheetViews>
    <sheetView showGridLines="0" zoomScaleNormal="100" workbookViewId="0">
      <selection activeCell="B27" sqref="B27"/>
    </sheetView>
  </sheetViews>
  <sheetFormatPr defaultColWidth="9.1796875" defaultRowHeight="12.5" x14ac:dyDescent="0.25"/>
  <cols>
    <col min="1" max="1" width="9.1796875" style="14"/>
    <col min="2" max="2" width="10.1796875" style="14" bestFit="1" customWidth="1"/>
    <col min="3" max="6" width="11.54296875" style="14" customWidth="1"/>
    <col min="7" max="16384" width="9.1796875" style="14"/>
  </cols>
  <sheetData>
    <row r="3" spans="2:7" ht="14.5" x14ac:dyDescent="0.35">
      <c r="B3" s="138" t="s">
        <v>6</v>
      </c>
      <c r="C3" s="138"/>
      <c r="D3" s="138"/>
      <c r="E3" s="138"/>
      <c r="F3" s="138"/>
    </row>
    <row r="4" spans="2:7" ht="14.5" x14ac:dyDescent="0.35">
      <c r="B4"/>
      <c r="C4"/>
      <c r="D4"/>
      <c r="E4"/>
      <c r="F4"/>
    </row>
    <row r="5" spans="2:7" ht="29" x14ac:dyDescent="0.25">
      <c r="C5" s="18" t="s">
        <v>7</v>
      </c>
      <c r="D5" s="18" t="s">
        <v>8</v>
      </c>
      <c r="E5" s="18" t="s">
        <v>9</v>
      </c>
      <c r="F5" s="18" t="s">
        <v>10</v>
      </c>
    </row>
    <row r="6" spans="2:7" ht="14.5" x14ac:dyDescent="0.35">
      <c r="B6" s="8">
        <v>44866</v>
      </c>
      <c r="C6" s="9">
        <f>+C12</f>
        <v>730.34</v>
      </c>
      <c r="D6" s="16">
        <v>0.309</v>
      </c>
      <c r="E6" s="9">
        <v>631.4</v>
      </c>
      <c r="F6" s="9">
        <f>+C6/(1-D6)+E6</f>
        <v>1688.3319826338638</v>
      </c>
      <c r="G6" s="14" t="s">
        <v>11</v>
      </c>
    </row>
    <row r="7" spans="2:7" ht="14.5" x14ac:dyDescent="0.35">
      <c r="B7" s="8">
        <f>+B6</f>
        <v>44866</v>
      </c>
      <c r="C7" s="9">
        <f>+C13</f>
        <v>0</v>
      </c>
      <c r="D7" s="16">
        <v>0.36199999999999999</v>
      </c>
      <c r="E7" s="9">
        <v>649</v>
      </c>
      <c r="F7" s="9">
        <f>+C7/(1-D7)+E7</f>
        <v>649</v>
      </c>
      <c r="G7" s="14" t="s">
        <v>12</v>
      </c>
    </row>
    <row r="8" spans="2:7" ht="13" x14ac:dyDescent="0.3">
      <c r="F8" s="19">
        <f>+SUMPRODUCT(F6:F7,D12:D13)</f>
        <v>1688.3319826338638</v>
      </c>
    </row>
    <row r="11" spans="2:7" ht="14.5" x14ac:dyDescent="0.35">
      <c r="C11" s="15" t="s">
        <v>13</v>
      </c>
      <c r="D11" s="15" t="s">
        <v>14</v>
      </c>
    </row>
    <row r="12" spans="2:7" ht="14.5" x14ac:dyDescent="0.35">
      <c r="B12" s="8" t="s">
        <v>11</v>
      </c>
      <c r="C12" s="9">
        <v>730.34</v>
      </c>
      <c r="D12" s="17">
        <f>1-D13</f>
        <v>1</v>
      </c>
    </row>
    <row r="13" spans="2:7" ht="14.5" x14ac:dyDescent="0.35">
      <c r="B13" s="8" t="s">
        <v>12</v>
      </c>
      <c r="C13" s="9"/>
      <c r="D13" s="17">
        <v>0</v>
      </c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/>
  <dimension ref="A1:N53"/>
  <sheetViews>
    <sheetView showGridLines="0" topLeftCell="A6" zoomScale="70" zoomScaleNormal="70" workbookViewId="0">
      <selection activeCell="C13" sqref="C13"/>
    </sheetView>
  </sheetViews>
  <sheetFormatPr defaultColWidth="10.81640625" defaultRowHeight="14.5" outlineLevelCol="1" x14ac:dyDescent="0.35"/>
  <cols>
    <col min="1" max="1" width="14.453125" bestFit="1" customWidth="1"/>
    <col min="2" max="2" width="25.1796875" customWidth="1"/>
    <col min="3" max="3" width="14.81640625" bestFit="1" customWidth="1"/>
    <col min="4" max="5" width="11.54296875" customWidth="1"/>
    <col min="6" max="6" width="13.54296875" customWidth="1"/>
    <col min="7" max="7" width="19.54296875" customWidth="1"/>
    <col min="8" max="8" width="14.1796875" customWidth="1"/>
    <col min="9" max="9" width="19.453125" customWidth="1"/>
    <col min="10" max="10" width="16.81640625" customWidth="1"/>
    <col min="12" max="12" width="12.453125" customWidth="1" outlineLevel="1"/>
    <col min="14" max="14" width="20.453125" customWidth="1"/>
    <col min="17" max="17" width="15.81640625" customWidth="1"/>
  </cols>
  <sheetData>
    <row r="1" spans="2:14" x14ac:dyDescent="0.35">
      <c r="F1" t="s">
        <v>15</v>
      </c>
      <c r="G1" t="s">
        <v>16</v>
      </c>
      <c r="H1" t="s">
        <v>17</v>
      </c>
      <c r="I1" t="s">
        <v>18</v>
      </c>
    </row>
    <row r="3" spans="2:14" ht="15.5" x14ac:dyDescent="0.35">
      <c r="B3" s="139" t="s">
        <v>19</v>
      </c>
      <c r="C3" s="139"/>
      <c r="D3" s="139"/>
      <c r="E3" s="139"/>
      <c r="F3" s="139"/>
      <c r="G3" s="139"/>
      <c r="H3" s="139"/>
      <c r="I3" s="139"/>
      <c r="J3" s="139"/>
      <c r="K3" s="5"/>
    </row>
    <row r="4" spans="2:14" ht="15.5" x14ac:dyDescent="0.35">
      <c r="B4" s="140" t="str">
        <f>C8</f>
        <v>Abril 2026</v>
      </c>
      <c r="C4" s="139"/>
      <c r="D4" s="139"/>
      <c r="E4" s="139"/>
      <c r="F4" s="139"/>
      <c r="G4" s="139"/>
      <c r="H4" s="139"/>
      <c r="I4" s="139"/>
      <c r="J4" s="139"/>
      <c r="K4" s="5"/>
    </row>
    <row r="6" spans="2:14" x14ac:dyDescent="0.35">
      <c r="B6" s="37" t="s">
        <v>20</v>
      </c>
      <c r="C6" s="38" t="s">
        <v>21</v>
      </c>
    </row>
    <row r="7" spans="2:14" x14ac:dyDescent="0.35">
      <c r="B7" s="39" t="s">
        <v>22</v>
      </c>
      <c r="C7" s="40" t="s">
        <v>12</v>
      </c>
    </row>
    <row r="8" spans="2:14" x14ac:dyDescent="0.35">
      <c r="B8" s="37" t="s">
        <v>23</v>
      </c>
      <c r="C8" s="41" t="str">
        <f>TEXT(DATE(2020,Inputs!D6,1),"mmmm")&amp;" "&amp;Inputs!C6</f>
        <v>Abril 2026</v>
      </c>
      <c r="D8" t="s">
        <v>24</v>
      </c>
    </row>
    <row r="9" spans="2:14" x14ac:dyDescent="0.35">
      <c r="B9" s="37" t="s">
        <v>25</v>
      </c>
      <c r="C9" s="40" t="s">
        <v>26</v>
      </c>
    </row>
    <row r="10" spans="2:14" x14ac:dyDescent="0.35">
      <c r="B10" s="37"/>
      <c r="C10" s="40"/>
    </row>
    <row r="11" spans="2:14" x14ac:dyDescent="0.35">
      <c r="B11" s="45" t="s">
        <v>27</v>
      </c>
      <c r="C11" s="44" t="s">
        <v>28</v>
      </c>
    </row>
    <row r="12" spans="2:14" x14ac:dyDescent="0.35">
      <c r="B12" s="42" t="s">
        <v>29</v>
      </c>
      <c r="C12" s="43">
        <f>Inputs!$P$12</f>
        <v>1429.5849741122574</v>
      </c>
    </row>
    <row r="13" spans="2:14" x14ac:dyDescent="0.35">
      <c r="B13" s="42" t="s">
        <v>30</v>
      </c>
      <c r="C13" s="43">
        <f>Inputs!$H$11</f>
        <v>1048.5</v>
      </c>
      <c r="D13" s="2"/>
      <c r="E13" s="2"/>
      <c r="I13" s="3"/>
    </row>
    <row r="14" spans="2:14" x14ac:dyDescent="0.35">
      <c r="B14" s="1"/>
      <c r="C14" s="4"/>
      <c r="D14" s="2"/>
      <c r="E14" s="2"/>
      <c r="I14" s="3"/>
    </row>
    <row r="15" spans="2:14" x14ac:dyDescent="0.35">
      <c r="B15" s="42" t="s">
        <v>31</v>
      </c>
      <c r="C15" s="43">
        <f>Inputs!U13</f>
        <v>1986.5268000000001</v>
      </c>
      <c r="D15" s="2"/>
      <c r="E15" s="2"/>
      <c r="I15" s="3"/>
    </row>
    <row r="16" spans="2:14" x14ac:dyDescent="0.35">
      <c r="N16" s="1" t="s">
        <v>103</v>
      </c>
    </row>
    <row r="17" spans="1:14" ht="58" x14ac:dyDescent="0.35">
      <c r="A17" s="136"/>
      <c r="B17" s="46" t="s">
        <v>32</v>
      </c>
      <c r="C17" s="47" t="s">
        <v>33</v>
      </c>
      <c r="D17" s="46" t="s">
        <v>34</v>
      </c>
      <c r="E17" s="47" t="s">
        <v>35</v>
      </c>
      <c r="F17" s="46" t="s">
        <v>36</v>
      </c>
      <c r="G17" s="46" t="s">
        <v>37</v>
      </c>
      <c r="H17" s="47" t="s">
        <v>38</v>
      </c>
      <c r="I17" s="47" t="s">
        <v>39</v>
      </c>
      <c r="J17" s="46" t="s">
        <v>40</v>
      </c>
      <c r="L17" s="30" t="s">
        <v>41</v>
      </c>
      <c r="N17" s="46" t="s">
        <v>37</v>
      </c>
    </row>
    <row r="18" spans="1:14" x14ac:dyDescent="0.35">
      <c r="A18" s="136" t="str">
        <f t="shared" ref="A18:A19" si="0">B18&amp;C18&amp;E18</f>
        <v>15.7Green0</v>
      </c>
      <c r="B18" s="31">
        <v>15.7</v>
      </c>
      <c r="C18" s="32" t="s">
        <v>91</v>
      </c>
      <c r="D18" s="33">
        <v>1881</v>
      </c>
      <c r="E18" s="34">
        <v>0</v>
      </c>
      <c r="F18" s="48">
        <f t="shared" ref="F18:F19" si="1">+($C$13/1000*(1-E18)+$C$12/1000*E18)*B18*(1+0.5%)</f>
        <v>16.543757249999999</v>
      </c>
      <c r="G18" s="119">
        <f>N18*(1+(Inputs!AA$8/Inputs!AA$7-1)*50%)</f>
        <v>7.8995639382621663</v>
      </c>
      <c r="H18" s="49">
        <f t="shared" ref="H18:H19" si="2">C$15/36/$L18</f>
        <v>2.8298102564102563</v>
      </c>
      <c r="I18" s="49">
        <v>6.946568235780167</v>
      </c>
      <c r="J18" s="50">
        <f t="shared" ref="J18:J19" si="3">+SUM(F18:I18)</f>
        <v>34.219699680452585</v>
      </c>
      <c r="K18" s="24"/>
      <c r="L18" s="35">
        <v>19.5</v>
      </c>
      <c r="N18" s="119">
        <v>7.7764598621128291</v>
      </c>
    </row>
    <row r="19" spans="1:14" x14ac:dyDescent="0.35">
      <c r="A19" s="136" t="str">
        <f t="shared" si="0"/>
        <v>15.7Green0.25</v>
      </c>
      <c r="B19" s="31">
        <v>15.7</v>
      </c>
      <c r="C19" s="32" t="s">
        <v>91</v>
      </c>
      <c r="D19" s="33">
        <v>1881</v>
      </c>
      <c r="E19" s="34">
        <v>0.25</v>
      </c>
      <c r="F19" s="48">
        <f t="shared" si="1"/>
        <v>18.046994566007562</v>
      </c>
      <c r="G19" s="119">
        <f>N19*(1+(Inputs!AA$8/Inputs!AA$7-1)*50%)</f>
        <v>7.8995639382621663</v>
      </c>
      <c r="H19" s="49">
        <f t="shared" si="2"/>
        <v>2.8298102564102563</v>
      </c>
      <c r="I19" s="49">
        <v>6.946568235780167</v>
      </c>
      <c r="J19" s="50">
        <f t="shared" si="3"/>
        <v>35.722936996460149</v>
      </c>
      <c r="K19" s="24"/>
      <c r="L19" s="35">
        <v>19.5</v>
      </c>
      <c r="N19" s="119">
        <v>7.7764598621128291</v>
      </c>
    </row>
    <row r="20" spans="1:14" x14ac:dyDescent="0.35">
      <c r="A20" s="136" t="str">
        <f t="shared" ref="A20" si="4">B20&amp;C20&amp;E20</f>
        <v>17.7Clear0</v>
      </c>
      <c r="B20" s="31">
        <v>17.7</v>
      </c>
      <c r="C20" s="32" t="s">
        <v>90</v>
      </c>
      <c r="D20" s="33">
        <v>1881</v>
      </c>
      <c r="E20" s="34">
        <v>0</v>
      </c>
      <c r="F20" s="48">
        <f t="shared" ref="F20" si="5">+($C$13/1000*(1-E20)+$C$12/1000*E20)*B20*(1+0.5%)</f>
        <v>18.651242249999999</v>
      </c>
      <c r="G20" s="119">
        <f>N20*(1+(Inputs!AA$8/Inputs!AA$7-1)*50%)</f>
        <v>7.3701977267800753</v>
      </c>
      <c r="H20" s="49">
        <f t="shared" ref="H20" si="6">C$15/36/$L20</f>
        <v>2.8298102564102563</v>
      </c>
      <c r="I20" s="49">
        <v>6.946568235780167</v>
      </c>
      <c r="J20" s="50">
        <f t="shared" ref="J20" si="7">+SUM(F20:I20)</f>
        <v>35.797818468970497</v>
      </c>
      <c r="K20" s="24"/>
      <c r="L20" s="35">
        <v>19.5</v>
      </c>
      <c r="N20" s="119">
        <v>7.2553431108437936</v>
      </c>
    </row>
    <row r="21" spans="1:14" x14ac:dyDescent="0.35">
      <c r="A21" s="136" t="str">
        <f t="shared" ref="A21:A46" si="8">B21&amp;C21&amp;E21</f>
        <v>17.7Green0</v>
      </c>
      <c r="B21" s="31">
        <v>17.7</v>
      </c>
      <c r="C21" s="32" t="s">
        <v>91</v>
      </c>
      <c r="D21" s="33">
        <v>1881</v>
      </c>
      <c r="E21" s="34">
        <v>0</v>
      </c>
      <c r="F21" s="48">
        <f t="shared" ref="F21" si="9">+($C$13/1000*(1-E21)+$C$12/1000*E21)*B21*(1+0.5%)</f>
        <v>18.651242249999999</v>
      </c>
      <c r="G21" s="119">
        <f>N21*(1+(Inputs!AA$8/Inputs!AA$7-1)*50%)</f>
        <v>7.8995639382621663</v>
      </c>
      <c r="H21" s="49">
        <f t="shared" ref="H21:H46" si="10">C$15/36/$L21</f>
        <v>2.8298102564102563</v>
      </c>
      <c r="I21" s="49">
        <v>6.946568235780167</v>
      </c>
      <c r="J21" s="50">
        <f t="shared" ref="J21:J46" si="11">+SUM(F21:I21)</f>
        <v>36.327184680452589</v>
      </c>
      <c r="K21" s="24"/>
      <c r="L21" s="35">
        <v>19.5</v>
      </c>
      <c r="N21" s="119">
        <v>7.7764598621128291</v>
      </c>
    </row>
    <row r="22" spans="1:14" x14ac:dyDescent="0.35">
      <c r="A22" s="136" t="str">
        <f t="shared" si="8"/>
        <v>17.7Green0.25</v>
      </c>
      <c r="B22" s="31">
        <v>17.7</v>
      </c>
      <c r="C22" s="32" t="s">
        <v>91</v>
      </c>
      <c r="D22" s="33">
        <v>1881</v>
      </c>
      <c r="E22" s="34">
        <v>0.25</v>
      </c>
      <c r="F22" s="48">
        <f t="shared" ref="F22:F46" si="12">+($C$13/1000*(1-E22)+$C$12/1000*E22)*B22*(1+0.5%)</f>
        <v>20.345974765498973</v>
      </c>
      <c r="G22" s="119">
        <f>N22*(1+(Inputs!AA$8/Inputs!AA$7-1)*50%)</f>
        <v>7.8995639382621663</v>
      </c>
      <c r="H22" s="49">
        <f t="shared" si="10"/>
        <v>2.8298102564102563</v>
      </c>
      <c r="I22" s="49">
        <v>6.946568235780167</v>
      </c>
      <c r="J22" s="50">
        <f t="shared" si="11"/>
        <v>38.021917195951559</v>
      </c>
      <c r="K22" s="24"/>
      <c r="L22" s="35">
        <v>19.5</v>
      </c>
      <c r="N22" s="119">
        <v>7.7764598621128291</v>
      </c>
    </row>
    <row r="23" spans="1:14" x14ac:dyDescent="0.35">
      <c r="A23" s="136" t="str">
        <f t="shared" si="8"/>
        <v>19.7Clear0</v>
      </c>
      <c r="B23" s="31">
        <v>19.7</v>
      </c>
      <c r="C23" s="32" t="s">
        <v>90</v>
      </c>
      <c r="D23" s="33">
        <v>1881</v>
      </c>
      <c r="E23" s="34">
        <v>0</v>
      </c>
      <c r="F23" s="48">
        <f t="shared" ref="F23" si="13">+($C$13/1000*(1-E23)+$C$12/1000*E23)*B23*(1+0.5%)</f>
        <v>20.758727249999996</v>
      </c>
      <c r="G23" s="119">
        <f>N23*(1+(Inputs!AA$8/Inputs!AA$7-1)*50%)</f>
        <v>7.3809198147373731</v>
      </c>
      <c r="H23" s="49">
        <f t="shared" si="10"/>
        <v>2.8298102564102563</v>
      </c>
      <c r="I23" s="49">
        <v>6.946568235780167</v>
      </c>
      <c r="J23" s="50">
        <f t="shared" si="11"/>
        <v>37.916025556927792</v>
      </c>
      <c r="K23" s="24"/>
      <c r="L23" s="35">
        <v>19.5</v>
      </c>
      <c r="N23" s="119">
        <v>7.2658981094854411</v>
      </c>
    </row>
    <row r="24" spans="1:14" x14ac:dyDescent="0.35">
      <c r="A24" s="136" t="str">
        <f t="shared" si="8"/>
        <v>19.7Clear0.25</v>
      </c>
      <c r="B24" s="31">
        <v>19.7</v>
      </c>
      <c r="C24" s="32" t="s">
        <v>90</v>
      </c>
      <c r="D24" s="33">
        <v>1881</v>
      </c>
      <c r="E24" s="34">
        <v>0.25</v>
      </c>
      <c r="F24" s="48">
        <f t="shared" si="12"/>
        <v>22.644954964990383</v>
      </c>
      <c r="G24" s="119">
        <f>N24*(1+(Inputs!AA$8/Inputs!AA$7-1)*50%)</f>
        <v>7.3809198147373731</v>
      </c>
      <c r="H24" s="49">
        <f t="shared" si="10"/>
        <v>2.8298102564102563</v>
      </c>
      <c r="I24" s="49">
        <v>6.946568235780167</v>
      </c>
      <c r="J24" s="50">
        <f t="shared" si="11"/>
        <v>39.802253271918183</v>
      </c>
      <c r="K24" s="24"/>
      <c r="L24" s="35">
        <v>19.5</v>
      </c>
      <c r="N24" s="119">
        <v>7.2658981094854411</v>
      </c>
    </row>
    <row r="25" spans="1:14" x14ac:dyDescent="0.35">
      <c r="A25" s="136" t="str">
        <f t="shared" si="8"/>
        <v>19.7Green0</v>
      </c>
      <c r="B25" s="31">
        <v>19.7</v>
      </c>
      <c r="C25" s="32" t="s">
        <v>91</v>
      </c>
      <c r="D25" s="33">
        <v>1881</v>
      </c>
      <c r="E25" s="34">
        <v>0</v>
      </c>
      <c r="F25" s="48">
        <f t="shared" ref="F25" si="14">+($C$13/1000*(1-E25)+$C$12/1000*E25)*B25*(1+0.5%)</f>
        <v>20.758727249999996</v>
      </c>
      <c r="G25" s="119">
        <f>N25*(1+(Inputs!AA$8/Inputs!AA$7-1)*50%)</f>
        <v>7.970101417347383</v>
      </c>
      <c r="H25" s="49">
        <f t="shared" si="10"/>
        <v>2.8298102564102563</v>
      </c>
      <c r="I25" s="49">
        <v>6.946568235780167</v>
      </c>
      <c r="J25" s="50">
        <f t="shared" si="11"/>
        <v>38.505207159537804</v>
      </c>
      <c r="K25" s="24"/>
      <c r="L25" s="35">
        <v>19.5</v>
      </c>
      <c r="N25" s="119">
        <v>7.8458981094854412</v>
      </c>
    </row>
    <row r="26" spans="1:14" x14ac:dyDescent="0.35">
      <c r="A26" s="136" t="str">
        <f t="shared" si="8"/>
        <v>19.7Green0.25</v>
      </c>
      <c r="B26" s="31">
        <v>19.7</v>
      </c>
      <c r="C26" s="32" t="s">
        <v>91</v>
      </c>
      <c r="D26" s="33">
        <v>1881</v>
      </c>
      <c r="E26" s="34">
        <v>0.25</v>
      </c>
      <c r="F26" s="48">
        <f t="shared" si="12"/>
        <v>22.644954964990383</v>
      </c>
      <c r="G26" s="119">
        <f>N26*(1+(Inputs!AA$8/Inputs!AA$7-1)*50%)</f>
        <v>7.970101417347383</v>
      </c>
      <c r="H26" s="49">
        <f t="shared" si="10"/>
        <v>2.8298102564102563</v>
      </c>
      <c r="I26" s="49">
        <v>6.946568235780167</v>
      </c>
      <c r="J26" s="50">
        <f t="shared" si="11"/>
        <v>40.391434874528194</v>
      </c>
      <c r="K26" s="24"/>
      <c r="L26" s="35">
        <v>19.5</v>
      </c>
      <c r="N26" s="119">
        <v>7.8458981094854412</v>
      </c>
    </row>
    <row r="27" spans="1:14" x14ac:dyDescent="0.35">
      <c r="A27" s="136" t="str">
        <f t="shared" si="8"/>
        <v>23.7Clear0</v>
      </c>
      <c r="B27" s="31">
        <v>23.7</v>
      </c>
      <c r="C27" s="32" t="s">
        <v>90</v>
      </c>
      <c r="D27" s="33">
        <v>1881</v>
      </c>
      <c r="E27" s="34">
        <v>0</v>
      </c>
      <c r="F27" s="48">
        <f t="shared" ref="F27" si="15">+($C$13/1000*(1-E27)+$C$12/1000*E27)*B27*(1+0.5%)</f>
        <v>24.973697249999994</v>
      </c>
      <c r="G27" s="119">
        <f>N27*(1+(Inputs!AA$8/Inputs!AA$7-1)*50%)</f>
        <v>10.797193680180044</v>
      </c>
      <c r="H27" s="49">
        <f t="shared" si="10"/>
        <v>3.44883125</v>
      </c>
      <c r="I27" s="49">
        <v>6.7284414551533862</v>
      </c>
      <c r="J27" s="50">
        <f t="shared" si="11"/>
        <v>45.948163635333422</v>
      </c>
      <c r="K27" s="24"/>
      <c r="L27" s="35">
        <v>16</v>
      </c>
      <c r="N27" s="119">
        <v>10.62893394288416</v>
      </c>
    </row>
    <row r="28" spans="1:14" x14ac:dyDescent="0.35">
      <c r="A28" s="136" t="str">
        <f t="shared" si="8"/>
        <v>23.7Clear0.25</v>
      </c>
      <c r="B28" s="31">
        <v>23.7</v>
      </c>
      <c r="C28" s="32" t="s">
        <v>90</v>
      </c>
      <c r="D28" s="33">
        <v>1881</v>
      </c>
      <c r="E28" s="34">
        <v>0.25</v>
      </c>
      <c r="F28" s="48">
        <f t="shared" si="12"/>
        <v>27.2429153639732</v>
      </c>
      <c r="G28" s="119">
        <f>N28*(1+(Inputs!AA$8/Inputs!AA$7-1)*50%)</f>
        <v>10.797193680180044</v>
      </c>
      <c r="H28" s="49">
        <f t="shared" si="10"/>
        <v>3.44883125</v>
      </c>
      <c r="I28" s="49">
        <v>6.7284414551533862</v>
      </c>
      <c r="J28" s="50">
        <f t="shared" si="11"/>
        <v>48.217381749306625</v>
      </c>
      <c r="K28" s="24"/>
      <c r="L28" s="35">
        <v>16</v>
      </c>
      <c r="N28" s="119">
        <v>10.62893394288416</v>
      </c>
    </row>
    <row r="29" spans="1:14" x14ac:dyDescent="0.35">
      <c r="A29" s="136" t="str">
        <f t="shared" si="8"/>
        <v>23.7Green0</v>
      </c>
      <c r="B29" s="31">
        <v>23.7</v>
      </c>
      <c r="C29" s="32" t="s">
        <v>91</v>
      </c>
      <c r="D29" s="33">
        <v>1881</v>
      </c>
      <c r="E29" s="34">
        <v>0</v>
      </c>
      <c r="F29" s="48">
        <f t="shared" ref="F29" si="16">+($C$13/1000*(1-E29)+$C$12/1000*E29)*B29*(1+0.5%)</f>
        <v>24.973697249999994</v>
      </c>
      <c r="G29" s="119">
        <f>N29*(1+(Inputs!AA$8/Inputs!AA$7-1)*50%)</f>
        <v>11.487958317722814</v>
      </c>
      <c r="H29" s="49">
        <f t="shared" si="10"/>
        <v>3.44883125</v>
      </c>
      <c r="I29" s="49">
        <v>6.7284414551533862</v>
      </c>
      <c r="J29" s="50">
        <f t="shared" si="11"/>
        <v>46.638928272876193</v>
      </c>
      <c r="K29" s="24"/>
      <c r="L29" s="35">
        <f>L27</f>
        <v>16</v>
      </c>
      <c r="N29" s="119">
        <v>11.30893394288416</v>
      </c>
    </row>
    <row r="30" spans="1:14" x14ac:dyDescent="0.35">
      <c r="A30" s="136" t="str">
        <f t="shared" si="8"/>
        <v>23.7Green0.25</v>
      </c>
      <c r="B30" s="31">
        <v>23.7</v>
      </c>
      <c r="C30" s="32" t="s">
        <v>91</v>
      </c>
      <c r="D30" s="33">
        <v>1881</v>
      </c>
      <c r="E30" s="34">
        <v>0.25</v>
      </c>
      <c r="F30" s="48">
        <f t="shared" si="12"/>
        <v>27.2429153639732</v>
      </c>
      <c r="G30" s="119">
        <f>N30*(1+(Inputs!AA$8/Inputs!AA$7-1)*50%)</f>
        <v>11.487958317722814</v>
      </c>
      <c r="H30" s="49">
        <f t="shared" si="10"/>
        <v>3.44883125</v>
      </c>
      <c r="I30" s="49">
        <v>6.7284414551533862</v>
      </c>
      <c r="J30" s="50">
        <f t="shared" si="11"/>
        <v>48.908146386849396</v>
      </c>
      <c r="K30" s="24"/>
      <c r="L30" s="35">
        <f>L28</f>
        <v>16</v>
      </c>
      <c r="N30" s="119">
        <v>11.30893394288416</v>
      </c>
    </row>
    <row r="31" spans="1:14" x14ac:dyDescent="0.35">
      <c r="A31" s="136" t="str">
        <f t="shared" si="8"/>
        <v>33.7Clear0</v>
      </c>
      <c r="B31" s="31">
        <v>33.700000000000003</v>
      </c>
      <c r="C31" s="32" t="s">
        <v>90</v>
      </c>
      <c r="D31" s="36">
        <v>1881</v>
      </c>
      <c r="E31" s="34">
        <v>0</v>
      </c>
      <c r="F31" s="48">
        <f t="shared" ref="F31" si="17">+($C$13/1000*(1-E31)+$C$12/1000*E31)*B31*(1+0.5%)</f>
        <v>35.51112225</v>
      </c>
      <c r="G31" s="119">
        <f>N31*(1+(Inputs!AA$8/Inputs!AA$7-1)*50%)</f>
        <v>11.05550435210734</v>
      </c>
      <c r="H31" s="49">
        <f t="shared" si="10"/>
        <v>4.7983739130434779</v>
      </c>
      <c r="I31" s="49">
        <v>8.2458124297912416</v>
      </c>
      <c r="J31" s="50">
        <f t="shared" si="11"/>
        <v>59.610812944942062</v>
      </c>
      <c r="K31" s="24"/>
      <c r="L31" s="35">
        <v>11.5</v>
      </c>
      <c r="N31" s="119">
        <v>10.883219190512641</v>
      </c>
    </row>
    <row r="32" spans="1:14" x14ac:dyDescent="0.35">
      <c r="A32" s="136" t="str">
        <f t="shared" si="8"/>
        <v>33.7Clear0.25</v>
      </c>
      <c r="B32" s="31">
        <v>33.700000000000003</v>
      </c>
      <c r="C32" s="32" t="s">
        <v>90</v>
      </c>
      <c r="D32" s="36">
        <v>1881</v>
      </c>
      <c r="E32" s="34">
        <v>0.25</v>
      </c>
      <c r="F32" s="48">
        <f t="shared" si="12"/>
        <v>38.737816361430248</v>
      </c>
      <c r="G32" s="119">
        <f>N32*(1+(Inputs!AA$8/Inputs!AA$7-1)*50%)</f>
        <v>11.05550435210734</v>
      </c>
      <c r="H32" s="49">
        <f t="shared" si="10"/>
        <v>4.7983739130434779</v>
      </c>
      <c r="I32" s="49">
        <v>8.2458124297912416</v>
      </c>
      <c r="J32" s="50">
        <f t="shared" si="11"/>
        <v>62.83750705637231</v>
      </c>
      <c r="K32" s="24"/>
      <c r="L32" s="35">
        <v>11.5</v>
      </c>
      <c r="N32" s="119">
        <v>10.883219190512641</v>
      </c>
    </row>
    <row r="33" spans="1:14" x14ac:dyDescent="0.35">
      <c r="A33" s="136" t="str">
        <f t="shared" si="8"/>
        <v>33.7Green0</v>
      </c>
      <c r="B33" s="31">
        <v>33.700000000000003</v>
      </c>
      <c r="C33" s="32" t="s">
        <v>91</v>
      </c>
      <c r="D33" s="36">
        <v>1881</v>
      </c>
      <c r="E33" s="34">
        <v>0</v>
      </c>
      <c r="F33" s="48">
        <f t="shared" ref="F33" si="18">+($C$13/1000*(1-E33)+$C$12/1000*E33)*B33*(1+0.5%)</f>
        <v>35.51112225</v>
      </c>
      <c r="G33" s="119">
        <f>N33*(1+(Inputs!AA$8/Inputs!AA$7-1)*50%)</f>
        <v>12.040859790955116</v>
      </c>
      <c r="H33" s="49">
        <f t="shared" si="10"/>
        <v>4.7983739130434779</v>
      </c>
      <c r="I33" s="49">
        <v>8.2458124297912416</v>
      </c>
      <c r="J33" s="50">
        <f t="shared" si="11"/>
        <v>60.596168383789838</v>
      </c>
      <c r="K33" s="24"/>
      <c r="L33" s="35">
        <f>L31</f>
        <v>11.5</v>
      </c>
      <c r="N33" s="119">
        <v>11.853219190512641</v>
      </c>
    </row>
    <row r="34" spans="1:14" x14ac:dyDescent="0.35">
      <c r="A34" s="136" t="str">
        <f t="shared" si="8"/>
        <v>33.7Green0.25</v>
      </c>
      <c r="B34" s="31">
        <v>33.700000000000003</v>
      </c>
      <c r="C34" s="32" t="s">
        <v>91</v>
      </c>
      <c r="D34" s="36">
        <v>1881</v>
      </c>
      <c r="E34" s="34">
        <v>0.25</v>
      </c>
      <c r="F34" s="48">
        <f t="shared" si="12"/>
        <v>38.737816361430248</v>
      </c>
      <c r="G34" s="119">
        <f>N34*(1+(Inputs!AA$8/Inputs!AA$7-1)*50%)</f>
        <v>12.040859790955116</v>
      </c>
      <c r="H34" s="49">
        <f t="shared" si="10"/>
        <v>4.7983739130434779</v>
      </c>
      <c r="I34" s="49">
        <v>8.2458124297912416</v>
      </c>
      <c r="J34" s="50">
        <f t="shared" si="11"/>
        <v>63.822862495220086</v>
      </c>
      <c r="K34" s="24"/>
      <c r="L34" s="35">
        <f>L32</f>
        <v>11.5</v>
      </c>
      <c r="N34" s="119">
        <v>11.853219190512641</v>
      </c>
    </row>
    <row r="35" spans="1:14" x14ac:dyDescent="0.35">
      <c r="A35" s="136" t="str">
        <f t="shared" si="8"/>
        <v>39.5Clear0</v>
      </c>
      <c r="B35" s="31">
        <v>39.5</v>
      </c>
      <c r="C35" s="32" t="s">
        <v>90</v>
      </c>
      <c r="D35" s="36">
        <v>1881</v>
      </c>
      <c r="E35" s="34">
        <v>0</v>
      </c>
      <c r="F35" s="48">
        <f t="shared" ref="F35" si="19">+($C$13/1000*(1-E35)+$C$12/1000*E35)*B35*(1+0.5%)</f>
        <v>41.622828749999996</v>
      </c>
      <c r="G35" s="119">
        <f>N35*(1+(Inputs!AA$8/Inputs!AA$7-1)*50%)</f>
        <v>13.136341402389839</v>
      </c>
      <c r="H35" s="49">
        <f t="shared" si="10"/>
        <v>6.5692023809523805</v>
      </c>
      <c r="I35" s="49">
        <v>10.545880356452924</v>
      </c>
      <c r="J35" s="50">
        <f t="shared" si="11"/>
        <v>71.874252889795144</v>
      </c>
      <c r="K35" s="24"/>
      <c r="L35" s="35">
        <v>8.4</v>
      </c>
      <c r="N35" s="119">
        <v>12.931629194860161</v>
      </c>
    </row>
    <row r="36" spans="1:14" x14ac:dyDescent="0.35">
      <c r="A36" s="136" t="str">
        <f t="shared" si="8"/>
        <v>39.5Clear0.25</v>
      </c>
      <c r="B36" s="31">
        <v>39.5</v>
      </c>
      <c r="C36" s="32" t="s">
        <v>90</v>
      </c>
      <c r="D36" s="36">
        <v>1881</v>
      </c>
      <c r="E36" s="34">
        <v>0.25</v>
      </c>
      <c r="F36" s="48">
        <f t="shared" si="12"/>
        <v>45.404858939955332</v>
      </c>
      <c r="G36" s="119">
        <f>N36*(1+(Inputs!AA$8/Inputs!AA$7-1)*50%)</f>
        <v>13.136341402389839</v>
      </c>
      <c r="H36" s="49">
        <f t="shared" si="10"/>
        <v>6.5692023809523805</v>
      </c>
      <c r="I36" s="49">
        <v>10.545880356452924</v>
      </c>
      <c r="J36" s="50">
        <f t="shared" si="11"/>
        <v>75.65628307975048</v>
      </c>
      <c r="K36" s="24"/>
      <c r="L36" s="35">
        <v>8.4</v>
      </c>
      <c r="N36" s="119">
        <v>12.931629194860161</v>
      </c>
    </row>
    <row r="37" spans="1:14" x14ac:dyDescent="0.35">
      <c r="A37" s="136" t="str">
        <f t="shared" si="8"/>
        <v>39.5Green0</v>
      </c>
      <c r="B37" s="31">
        <v>39.5</v>
      </c>
      <c r="C37" s="32" t="s">
        <v>91</v>
      </c>
      <c r="D37" s="36">
        <v>1881</v>
      </c>
      <c r="E37" s="34">
        <v>0</v>
      </c>
      <c r="F37" s="48">
        <f t="shared" ref="F37" si="20">+($C$13/1000*(1-E37)+$C$12/1000*E37)*B37*(1+0.5%)</f>
        <v>41.622828749999996</v>
      </c>
      <c r="G37" s="119">
        <f>N37*(1+(Inputs!AA$8/Inputs!AA$7-1)*50%)</f>
        <v>14.395971035556068</v>
      </c>
      <c r="H37" s="49">
        <f t="shared" si="10"/>
        <v>6.5692023809523805</v>
      </c>
      <c r="I37" s="49">
        <v>10.545880356452924</v>
      </c>
      <c r="J37" s="50">
        <f t="shared" si="11"/>
        <v>73.133882522961372</v>
      </c>
      <c r="K37" s="24"/>
      <c r="L37" s="35">
        <f>L35</f>
        <v>8.4</v>
      </c>
      <c r="N37" s="119">
        <v>14.171629194860161</v>
      </c>
    </row>
    <row r="38" spans="1:14" x14ac:dyDescent="0.35">
      <c r="A38" s="136" t="str">
        <f t="shared" si="8"/>
        <v>39.5Green0.25</v>
      </c>
      <c r="B38" s="31">
        <v>39.5</v>
      </c>
      <c r="C38" s="32" t="s">
        <v>91</v>
      </c>
      <c r="D38" s="36">
        <v>1881</v>
      </c>
      <c r="E38" s="34">
        <v>0.25</v>
      </c>
      <c r="F38" s="48">
        <f t="shared" si="12"/>
        <v>45.404858939955332</v>
      </c>
      <c r="G38" s="119">
        <f>N38*(1+(Inputs!AA$8/Inputs!AA$7-1)*50%)</f>
        <v>14.395971035556068</v>
      </c>
      <c r="H38" s="49">
        <f t="shared" si="10"/>
        <v>6.5692023809523805</v>
      </c>
      <c r="I38" s="49">
        <v>10.545880356452924</v>
      </c>
      <c r="J38" s="50">
        <f t="shared" si="11"/>
        <v>76.915912712916708</v>
      </c>
      <c r="K38" s="24"/>
      <c r="L38" s="35">
        <f>L36</f>
        <v>8.4</v>
      </c>
      <c r="N38" s="119">
        <v>14.171629194860161</v>
      </c>
    </row>
    <row r="39" spans="1:14" x14ac:dyDescent="0.35">
      <c r="A39" s="136" t="str">
        <f t="shared" si="8"/>
        <v>42.7Green0</v>
      </c>
      <c r="B39" s="31">
        <v>42.7</v>
      </c>
      <c r="C39" s="32" t="s">
        <v>91</v>
      </c>
      <c r="D39" s="33">
        <v>1881</v>
      </c>
      <c r="E39" s="34">
        <v>0</v>
      </c>
      <c r="F39" s="48">
        <f t="shared" ref="F39" si="21">+($C$13/1000*(1-E39)+$C$12/1000*E39)*B39*(1+0.5%)</f>
        <v>44.994804749999993</v>
      </c>
      <c r="G39" s="119">
        <f>N39*(1+(Inputs!AA$8/Inputs!AA$7-1)*50%)</f>
        <v>14.397419851546488</v>
      </c>
      <c r="H39" s="49">
        <f t="shared" si="10"/>
        <v>6.5692023809523805</v>
      </c>
      <c r="I39" s="49">
        <v>10.545880356452924</v>
      </c>
      <c r="J39" s="50">
        <f t="shared" si="11"/>
        <v>76.50730733895179</v>
      </c>
      <c r="K39" s="24"/>
      <c r="L39" s="35">
        <v>8.4</v>
      </c>
      <c r="N39" s="119">
        <v>14.173055433002562</v>
      </c>
    </row>
    <row r="40" spans="1:14" x14ac:dyDescent="0.35">
      <c r="A40" s="136" t="str">
        <f t="shared" si="8"/>
        <v>42.7Green0.25</v>
      </c>
      <c r="B40" s="31">
        <v>42.7</v>
      </c>
      <c r="C40" s="32" t="s">
        <v>91</v>
      </c>
      <c r="D40" s="33">
        <v>1881</v>
      </c>
      <c r="E40" s="34">
        <v>0.25</v>
      </c>
      <c r="F40" s="48">
        <f t="shared" si="12"/>
        <v>49.083227259141587</v>
      </c>
      <c r="G40" s="119">
        <f>N40*(1+(Inputs!AA$8/Inputs!AA$7-1)*50%)</f>
        <v>14.397419851546488</v>
      </c>
      <c r="H40" s="49">
        <f t="shared" si="10"/>
        <v>6.5692023809523805</v>
      </c>
      <c r="I40" s="49">
        <v>10.545880356452924</v>
      </c>
      <c r="J40" s="50">
        <f t="shared" si="11"/>
        <v>80.595729848093384</v>
      </c>
      <c r="K40" s="24"/>
      <c r="L40" s="35">
        <v>8.4</v>
      </c>
      <c r="N40" s="119">
        <v>14.173055433002562</v>
      </c>
    </row>
    <row r="41" spans="1:14" x14ac:dyDescent="0.35">
      <c r="A41" s="136" t="str">
        <f t="shared" si="8"/>
        <v>42.7Clear0</v>
      </c>
      <c r="B41" s="31">
        <v>42.7</v>
      </c>
      <c r="C41" s="32" t="s">
        <v>90</v>
      </c>
      <c r="D41" s="33">
        <v>1881</v>
      </c>
      <c r="E41" s="34">
        <v>0</v>
      </c>
      <c r="F41" s="48">
        <f t="shared" ref="F41" si="22">+($C$13/1000*(1-E41)+$C$12/1000*E41)*B41*(1+0.5%)</f>
        <v>44.994804749999993</v>
      </c>
      <c r="G41" s="119">
        <f>N41*(1+(Inputs!AA$8/Inputs!AA$7-1)*50%)</f>
        <v>13.137790218380259</v>
      </c>
      <c r="H41" s="49">
        <f t="shared" si="10"/>
        <v>6.5692023809523805</v>
      </c>
      <c r="I41" s="49">
        <v>10.545880356452924</v>
      </c>
      <c r="J41" s="50">
        <f t="shared" si="11"/>
        <v>75.247677705785563</v>
      </c>
      <c r="K41" s="24"/>
      <c r="L41" s="35">
        <f>L39</f>
        <v>8.4</v>
      </c>
      <c r="N41" s="119">
        <v>12.933055433002561</v>
      </c>
    </row>
    <row r="42" spans="1:14" x14ac:dyDescent="0.35">
      <c r="A42" s="136" t="str">
        <f t="shared" si="8"/>
        <v>42.7Clear0.25</v>
      </c>
      <c r="B42" s="31">
        <v>42.7</v>
      </c>
      <c r="C42" s="32" t="s">
        <v>90</v>
      </c>
      <c r="D42" s="33">
        <v>1881</v>
      </c>
      <c r="E42" s="34">
        <v>0.25</v>
      </c>
      <c r="F42" s="48">
        <f t="shared" si="12"/>
        <v>49.083227259141587</v>
      </c>
      <c r="G42" s="119">
        <f>N42*(1+(Inputs!AA$8/Inputs!AA$7-1)*50%)</f>
        <v>13.137790218380259</v>
      </c>
      <c r="H42" s="49">
        <f t="shared" si="10"/>
        <v>6.5692023809523805</v>
      </c>
      <c r="I42" s="49">
        <v>10.545880356452924</v>
      </c>
      <c r="J42" s="50">
        <f t="shared" si="11"/>
        <v>79.336100214927157</v>
      </c>
      <c r="K42" s="24"/>
      <c r="L42" s="35">
        <f>L40</f>
        <v>8.4</v>
      </c>
      <c r="N42" s="119">
        <v>12.933055433002561</v>
      </c>
    </row>
    <row r="43" spans="1:14" x14ac:dyDescent="0.35">
      <c r="A43" s="136" t="str">
        <f t="shared" si="8"/>
        <v>51.2Clear0</v>
      </c>
      <c r="B43" s="31">
        <v>51.2</v>
      </c>
      <c r="C43" s="32" t="s">
        <v>90</v>
      </c>
      <c r="D43" s="33">
        <v>1881</v>
      </c>
      <c r="E43" s="34">
        <v>0</v>
      </c>
      <c r="F43" s="48">
        <f t="shared" ref="F43" si="23">+($C$13/1000*(1-E43)+$C$12/1000*E43)*B43*(1+0.5%)</f>
        <v>53.951615999999994</v>
      </c>
      <c r="G43" s="119">
        <f>N43*(1+(Inputs!AA$8/Inputs!AA$7-1)*50%)</f>
        <v>13.146581221651415</v>
      </c>
      <c r="H43" s="49">
        <f t="shared" si="10"/>
        <v>7.4569324324324322</v>
      </c>
      <c r="I43" s="49">
        <v>7.7723723723723737</v>
      </c>
      <c r="J43" s="50">
        <f t="shared" si="11"/>
        <v>82.327502026456216</v>
      </c>
      <c r="K43" s="24"/>
      <c r="L43" s="35">
        <v>7.4</v>
      </c>
      <c r="N43" s="119">
        <v>12.941709440314881</v>
      </c>
    </row>
    <row r="44" spans="1:14" x14ac:dyDescent="0.35">
      <c r="A44" s="136" t="str">
        <f t="shared" si="8"/>
        <v>51.2Clear0.25</v>
      </c>
      <c r="B44" s="31">
        <v>51.2</v>
      </c>
      <c r="C44" s="32" t="s">
        <v>90</v>
      </c>
      <c r="D44" s="33">
        <v>1881</v>
      </c>
      <c r="E44" s="34">
        <v>0.25</v>
      </c>
      <c r="F44" s="48">
        <f t="shared" si="12"/>
        <v>58.853893106980081</v>
      </c>
      <c r="G44" s="119">
        <f>N44*(1+(Inputs!AA$8/Inputs!AA$7-1)*50%)</f>
        <v>13.146581221651415</v>
      </c>
      <c r="H44" s="49">
        <f t="shared" si="10"/>
        <v>7.4569324324324322</v>
      </c>
      <c r="I44" s="49">
        <v>7.7723723723723737</v>
      </c>
      <c r="J44" s="50">
        <f t="shared" si="11"/>
        <v>87.22977913343631</v>
      </c>
      <c r="K44" s="24"/>
      <c r="L44" s="35">
        <v>7.4</v>
      </c>
      <c r="N44" s="119">
        <v>12.941709440314881</v>
      </c>
    </row>
    <row r="45" spans="1:14" x14ac:dyDescent="0.35">
      <c r="A45" s="136" t="str">
        <f t="shared" si="8"/>
        <v>51.2Green0</v>
      </c>
      <c r="B45" s="31">
        <v>51.2</v>
      </c>
      <c r="C45" s="32" t="s">
        <v>91</v>
      </c>
      <c r="D45" s="33">
        <v>1881</v>
      </c>
      <c r="E45" s="34">
        <v>0</v>
      </c>
      <c r="F45" s="48">
        <f t="shared" ref="F45" si="24">+($C$13/1000*(1-E45)+$C$12/1000*E45)*B45*(1+0.5%)</f>
        <v>53.951615999999994</v>
      </c>
      <c r="G45" s="119">
        <f>N45*(1+(Inputs!AA$8/Inputs!AA$7-1)*50%)</f>
        <v>14.660168442149546</v>
      </c>
      <c r="H45" s="49">
        <f t="shared" si="10"/>
        <v>7.4569324324324322</v>
      </c>
      <c r="I45" s="49">
        <v>7.7723723723723737</v>
      </c>
      <c r="J45" s="50">
        <f t="shared" si="11"/>
        <v>83.841089246954354</v>
      </c>
      <c r="K45" s="24"/>
      <c r="L45" s="35">
        <f>L43</f>
        <v>7.4</v>
      </c>
      <c r="N45" s="119">
        <v>14.431709440314881</v>
      </c>
    </row>
    <row r="46" spans="1:14" x14ac:dyDescent="0.35">
      <c r="A46" s="136" t="str">
        <f t="shared" si="8"/>
        <v>51.2Green0.25</v>
      </c>
      <c r="B46" s="31">
        <v>51.2</v>
      </c>
      <c r="C46" s="32" t="s">
        <v>91</v>
      </c>
      <c r="D46" s="33">
        <v>1881</v>
      </c>
      <c r="E46" s="34">
        <v>0.25</v>
      </c>
      <c r="F46" s="48">
        <f t="shared" si="12"/>
        <v>58.853893106980081</v>
      </c>
      <c r="G46" s="119">
        <f>N46*(1+(Inputs!AA$8/Inputs!AA$7-1)*50%)</f>
        <v>14.660168442149546</v>
      </c>
      <c r="H46" s="49">
        <f t="shared" si="10"/>
        <v>7.4569324324324322</v>
      </c>
      <c r="I46" s="49">
        <v>7.7723723723723737</v>
      </c>
      <c r="J46" s="50">
        <f t="shared" si="11"/>
        <v>88.743366353934434</v>
      </c>
      <c r="K46" s="24"/>
      <c r="L46" s="35">
        <f>L44</f>
        <v>7.4</v>
      </c>
      <c r="N46" s="119">
        <v>14.431709440314881</v>
      </c>
    </row>
    <row r="48" spans="1:14" x14ac:dyDescent="0.35">
      <c r="F48" s="20"/>
      <c r="G48" s="20"/>
      <c r="H48" s="20"/>
      <c r="I48" s="20"/>
      <c r="J48" s="20"/>
    </row>
    <row r="49" spans="5:10" x14ac:dyDescent="0.35">
      <c r="E49" s="21"/>
      <c r="F49" s="22"/>
      <c r="G49" s="22"/>
      <c r="H49" s="22"/>
      <c r="I49" s="22"/>
      <c r="J49" s="22"/>
    </row>
    <row r="51" spans="5:10" ht="8.25" customHeight="1" x14ac:dyDescent="0.35"/>
    <row r="52" spans="5:10" hidden="1" x14ac:dyDescent="0.35"/>
    <row r="53" spans="5:10" hidden="1" x14ac:dyDescent="0.35"/>
  </sheetData>
  <mergeCells count="2">
    <mergeCell ref="B3:J3"/>
    <mergeCell ref="B4:J4"/>
  </mergeCells>
  <dataValidations count="1">
    <dataValidation type="list" allowBlank="1" showInputMessage="1" showErrorMessage="1" sqref="C7" xr:uid="{A6A263E8-BE11-44CC-988A-07CF0538E499}">
      <formula1>"Perú, Colombia, Ecuador, México, Costa Rica, Panamá, Argentina, Chile, Costa Rica, Guatemala"</formula1>
    </dataValidation>
  </dataValidations>
  <pageMargins left="0.7" right="0.7" top="0.75" bottom="0.75" header="0.3" footer="0.3"/>
  <pageSetup scale="9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F09B-2E0A-47DA-A971-EF514CC20BCC}">
  <sheetPr>
    <tabColor rgb="FF66FF33"/>
  </sheetPr>
  <dimension ref="A1:H21"/>
  <sheetViews>
    <sheetView topLeftCell="A3" workbookViewId="0">
      <selection activeCell="A2" sqref="A2:H21"/>
    </sheetView>
  </sheetViews>
  <sheetFormatPr defaultColWidth="10.81640625" defaultRowHeight="14.5" x14ac:dyDescent="0.35"/>
  <cols>
    <col min="4" max="4" width="14.54296875" customWidth="1"/>
    <col min="5" max="5" width="23.81640625" customWidth="1"/>
    <col min="6" max="6" width="27.81640625" customWidth="1"/>
    <col min="8" max="8" width="13.81640625" customWidth="1"/>
  </cols>
  <sheetData>
    <row r="1" spans="1:8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35">
      <c r="A2" t="s">
        <v>12</v>
      </c>
      <c r="B2" t="s">
        <v>21</v>
      </c>
      <c r="C2" s="25">
        <f>PRECIOS!B23</f>
        <v>19.7</v>
      </c>
      <c r="D2" s="26" t="s">
        <v>50</v>
      </c>
      <c r="E2" s="24">
        <f>PRECIOS!F23</f>
        <v>20.758727249999996</v>
      </c>
      <c r="F2" s="24">
        <f>PRECIOS!G23</f>
        <v>7.3809198147373731</v>
      </c>
      <c r="G2" s="27">
        <v>45200</v>
      </c>
      <c r="H2" t="s">
        <v>26</v>
      </c>
    </row>
    <row r="3" spans="1:8" x14ac:dyDescent="0.35">
      <c r="A3" t="s">
        <v>12</v>
      </c>
      <c r="B3" t="s">
        <v>21</v>
      </c>
      <c r="C3" s="25">
        <f>PRECIOS!B24</f>
        <v>19.7</v>
      </c>
      <c r="D3" s="26" t="s">
        <v>51</v>
      </c>
      <c r="E3" s="24">
        <f>PRECIOS!F24</f>
        <v>22.644954964990383</v>
      </c>
      <c r="F3" s="24">
        <f>PRECIOS!G24</f>
        <v>7.3809198147373731</v>
      </c>
      <c r="G3" s="27">
        <v>45200</v>
      </c>
      <c r="H3" t="s">
        <v>26</v>
      </c>
    </row>
    <row r="4" spans="1:8" x14ac:dyDescent="0.35">
      <c r="A4" t="s">
        <v>12</v>
      </c>
      <c r="B4" t="s">
        <v>21</v>
      </c>
      <c r="C4" s="25" t="e">
        <f>PRECIOS!#REF!</f>
        <v>#REF!</v>
      </c>
      <c r="D4" s="26" t="s">
        <v>50</v>
      </c>
      <c r="E4" s="24" t="e">
        <f>PRECIOS!#REF!</f>
        <v>#REF!</v>
      </c>
      <c r="F4" s="24" t="e">
        <f>PRECIOS!#REF!</f>
        <v>#REF!</v>
      </c>
      <c r="G4" s="27">
        <v>45200</v>
      </c>
      <c r="H4" t="s">
        <v>26</v>
      </c>
    </row>
    <row r="5" spans="1:8" x14ac:dyDescent="0.35">
      <c r="A5" t="s">
        <v>12</v>
      </c>
      <c r="B5" t="s">
        <v>21</v>
      </c>
      <c r="C5" s="25" t="e">
        <f>PRECIOS!#REF!</f>
        <v>#REF!</v>
      </c>
      <c r="D5" s="26" t="s">
        <v>51</v>
      </c>
      <c r="E5" s="24" t="e">
        <f>PRECIOS!#REF!</f>
        <v>#REF!</v>
      </c>
      <c r="F5" s="24" t="e">
        <f>PRECIOS!#REF!</f>
        <v>#REF!</v>
      </c>
      <c r="G5" s="27">
        <v>45200</v>
      </c>
      <c r="H5" t="s">
        <v>26</v>
      </c>
    </row>
    <row r="6" spans="1:8" x14ac:dyDescent="0.35">
      <c r="A6" t="s">
        <v>12</v>
      </c>
      <c r="B6" t="s">
        <v>21</v>
      </c>
      <c r="C6" s="25">
        <f>PRECIOS!B27</f>
        <v>23.7</v>
      </c>
      <c r="D6" s="26" t="s">
        <v>50</v>
      </c>
      <c r="E6" s="24">
        <f>PRECIOS!F27</f>
        <v>24.973697249999994</v>
      </c>
      <c r="F6" s="24">
        <f>PRECIOS!G27</f>
        <v>10.797193680180044</v>
      </c>
      <c r="G6" s="27">
        <v>45200</v>
      </c>
      <c r="H6" t="s">
        <v>26</v>
      </c>
    </row>
    <row r="7" spans="1:8" x14ac:dyDescent="0.35">
      <c r="A7" t="s">
        <v>12</v>
      </c>
      <c r="B7" t="s">
        <v>21</v>
      </c>
      <c r="C7" s="25">
        <f>PRECIOS!B28</f>
        <v>23.7</v>
      </c>
      <c r="D7" s="26" t="s">
        <v>51</v>
      </c>
      <c r="E7" s="24">
        <f>PRECIOS!F28</f>
        <v>27.2429153639732</v>
      </c>
      <c r="F7" s="24">
        <f>PRECIOS!G28</f>
        <v>10.797193680180044</v>
      </c>
      <c r="G7" s="27">
        <v>45200</v>
      </c>
      <c r="H7" t="s">
        <v>26</v>
      </c>
    </row>
    <row r="8" spans="1:8" x14ac:dyDescent="0.35">
      <c r="A8" t="s">
        <v>12</v>
      </c>
      <c r="B8" t="s">
        <v>21</v>
      </c>
      <c r="C8" s="25" t="e">
        <f>PRECIOS!#REF!</f>
        <v>#REF!</v>
      </c>
      <c r="D8" s="26" t="s">
        <v>50</v>
      </c>
      <c r="E8" s="24" t="e">
        <f>PRECIOS!#REF!</f>
        <v>#REF!</v>
      </c>
      <c r="F8" s="24" t="e">
        <f>PRECIOS!#REF!</f>
        <v>#REF!</v>
      </c>
      <c r="G8" s="27">
        <v>45200</v>
      </c>
      <c r="H8" t="s">
        <v>26</v>
      </c>
    </row>
    <row r="9" spans="1:8" x14ac:dyDescent="0.35">
      <c r="A9" t="s">
        <v>12</v>
      </c>
      <c r="B9" t="s">
        <v>21</v>
      </c>
      <c r="C9" s="25" t="e">
        <f>PRECIOS!#REF!</f>
        <v>#REF!</v>
      </c>
      <c r="D9" s="26" t="s">
        <v>51</v>
      </c>
      <c r="E9" s="24" t="e">
        <f>PRECIOS!#REF!</f>
        <v>#REF!</v>
      </c>
      <c r="F9" s="24" t="e">
        <f>PRECIOS!#REF!</f>
        <v>#REF!</v>
      </c>
      <c r="G9" s="27">
        <v>45200</v>
      </c>
      <c r="H9" t="s">
        <v>26</v>
      </c>
    </row>
    <row r="10" spans="1:8" x14ac:dyDescent="0.35">
      <c r="A10" t="s">
        <v>12</v>
      </c>
      <c r="B10" t="s">
        <v>21</v>
      </c>
      <c r="C10" s="25" t="e">
        <f>PRECIOS!#REF!</f>
        <v>#REF!</v>
      </c>
      <c r="D10" s="26" t="s">
        <v>50</v>
      </c>
      <c r="E10" s="24" t="e">
        <f>PRECIOS!#REF!</f>
        <v>#REF!</v>
      </c>
      <c r="F10" s="24" t="e">
        <f>PRECIOS!#REF!</f>
        <v>#REF!</v>
      </c>
      <c r="G10" s="27">
        <v>45200</v>
      </c>
      <c r="H10" t="s">
        <v>26</v>
      </c>
    </row>
    <row r="11" spans="1:8" x14ac:dyDescent="0.35">
      <c r="A11" t="s">
        <v>12</v>
      </c>
      <c r="B11" t="s">
        <v>21</v>
      </c>
      <c r="C11" s="25" t="e">
        <f>PRECIOS!#REF!</f>
        <v>#REF!</v>
      </c>
      <c r="D11" s="26" t="s">
        <v>51</v>
      </c>
      <c r="E11" s="24" t="e">
        <f>PRECIOS!#REF!</f>
        <v>#REF!</v>
      </c>
      <c r="F11" s="24" t="e">
        <f>PRECIOS!#REF!</f>
        <v>#REF!</v>
      </c>
      <c r="G11" s="27">
        <v>45200</v>
      </c>
      <c r="H11" t="s">
        <v>26</v>
      </c>
    </row>
    <row r="12" spans="1:8" x14ac:dyDescent="0.35">
      <c r="A12" t="s">
        <v>12</v>
      </c>
      <c r="B12" t="s">
        <v>21</v>
      </c>
      <c r="C12" s="25">
        <f>PRECIOS!B31</f>
        <v>33.700000000000003</v>
      </c>
      <c r="D12" s="26" t="s">
        <v>50</v>
      </c>
      <c r="E12" s="24">
        <f>PRECIOS!F31</f>
        <v>35.51112225</v>
      </c>
      <c r="F12" s="24">
        <f>PRECIOS!G31</f>
        <v>11.05550435210734</v>
      </c>
      <c r="G12" s="27">
        <v>45200</v>
      </c>
      <c r="H12" t="s">
        <v>26</v>
      </c>
    </row>
    <row r="13" spans="1:8" x14ac:dyDescent="0.35">
      <c r="A13" t="s">
        <v>12</v>
      </c>
      <c r="B13" t="s">
        <v>21</v>
      </c>
      <c r="C13" s="25">
        <f>PRECIOS!B32</f>
        <v>33.700000000000003</v>
      </c>
      <c r="D13" s="26" t="s">
        <v>51</v>
      </c>
      <c r="E13" s="24">
        <f>PRECIOS!F32</f>
        <v>38.737816361430248</v>
      </c>
      <c r="F13" s="24">
        <f>PRECIOS!G32</f>
        <v>11.05550435210734</v>
      </c>
      <c r="G13" s="27">
        <v>45200</v>
      </c>
      <c r="H13" t="s">
        <v>26</v>
      </c>
    </row>
    <row r="14" spans="1:8" x14ac:dyDescent="0.35">
      <c r="A14" t="s">
        <v>12</v>
      </c>
      <c r="B14" t="s">
        <v>21</v>
      </c>
      <c r="C14" s="25">
        <f>PRECIOS!B35</f>
        <v>39.5</v>
      </c>
      <c r="D14" s="26" t="s">
        <v>50</v>
      </c>
      <c r="E14" s="24">
        <f>PRECIOS!F35</f>
        <v>41.622828749999996</v>
      </c>
      <c r="F14" s="24">
        <f>PRECIOS!G35</f>
        <v>13.136341402389839</v>
      </c>
      <c r="G14" s="27">
        <v>45200</v>
      </c>
      <c r="H14" t="s">
        <v>26</v>
      </c>
    </row>
    <row r="15" spans="1:8" x14ac:dyDescent="0.35">
      <c r="A15" t="s">
        <v>12</v>
      </c>
      <c r="B15" t="s">
        <v>21</v>
      </c>
      <c r="C15" s="25">
        <f>PRECIOS!B36</f>
        <v>39.5</v>
      </c>
      <c r="D15" s="26" t="s">
        <v>51</v>
      </c>
      <c r="E15" s="24">
        <f>PRECIOS!F36</f>
        <v>45.404858939955332</v>
      </c>
      <c r="F15" s="24">
        <f>PRECIOS!G36</f>
        <v>13.136341402389839</v>
      </c>
      <c r="G15" s="27">
        <v>45200</v>
      </c>
      <c r="H15" t="s">
        <v>26</v>
      </c>
    </row>
    <row r="16" spans="1:8" x14ac:dyDescent="0.35">
      <c r="A16" t="s">
        <v>12</v>
      </c>
      <c r="B16" t="s">
        <v>21</v>
      </c>
      <c r="C16" s="25">
        <f>PRECIOS!B41</f>
        <v>42.7</v>
      </c>
      <c r="D16" s="26" t="s">
        <v>50</v>
      </c>
      <c r="E16" s="24">
        <f>PRECIOS!F41</f>
        <v>44.994804749999993</v>
      </c>
      <c r="F16" s="24">
        <f>PRECIOS!G41</f>
        <v>13.137790218380259</v>
      </c>
      <c r="G16" s="27">
        <v>45200</v>
      </c>
      <c r="H16" t="s">
        <v>26</v>
      </c>
    </row>
    <row r="17" spans="1:8" x14ac:dyDescent="0.35">
      <c r="A17" t="s">
        <v>12</v>
      </c>
      <c r="B17" t="s">
        <v>21</v>
      </c>
      <c r="C17" s="25">
        <f>PRECIOS!B42</f>
        <v>42.7</v>
      </c>
      <c r="D17" s="26" t="s">
        <v>51</v>
      </c>
      <c r="E17" s="24">
        <f>PRECIOS!F42</f>
        <v>49.083227259141587</v>
      </c>
      <c r="F17" s="24">
        <f>PRECIOS!G42</f>
        <v>13.137790218380259</v>
      </c>
      <c r="G17" s="27">
        <v>45200</v>
      </c>
      <c r="H17" t="s">
        <v>26</v>
      </c>
    </row>
    <row r="18" spans="1:8" x14ac:dyDescent="0.35">
      <c r="A18" t="s">
        <v>12</v>
      </c>
      <c r="B18" t="s">
        <v>21</v>
      </c>
      <c r="C18" s="25" t="e">
        <f>PRECIOS!#REF!</f>
        <v>#REF!</v>
      </c>
      <c r="D18" s="26" t="s">
        <v>50</v>
      </c>
      <c r="E18" s="24" t="e">
        <f>PRECIOS!#REF!</f>
        <v>#REF!</v>
      </c>
      <c r="F18" s="24" t="e">
        <f>PRECIOS!#REF!</f>
        <v>#REF!</v>
      </c>
      <c r="G18" s="27">
        <v>45200</v>
      </c>
      <c r="H18" t="s">
        <v>26</v>
      </c>
    </row>
    <row r="19" spans="1:8" x14ac:dyDescent="0.35">
      <c r="A19" t="s">
        <v>12</v>
      </c>
      <c r="B19" t="s">
        <v>21</v>
      </c>
      <c r="C19" s="25" t="e">
        <f>PRECIOS!#REF!</f>
        <v>#REF!</v>
      </c>
      <c r="D19" s="26" t="s">
        <v>51</v>
      </c>
      <c r="E19" s="24" t="e">
        <f>PRECIOS!#REF!</f>
        <v>#REF!</v>
      </c>
      <c r="F19" s="24" t="e">
        <f>PRECIOS!#REF!</f>
        <v>#REF!</v>
      </c>
      <c r="G19" s="27">
        <v>45200</v>
      </c>
      <c r="H19" t="s">
        <v>26</v>
      </c>
    </row>
    <row r="20" spans="1:8" x14ac:dyDescent="0.35">
      <c r="A20" t="s">
        <v>12</v>
      </c>
      <c r="B20" t="s">
        <v>21</v>
      </c>
      <c r="C20" s="25">
        <f>PRECIOS!B43</f>
        <v>51.2</v>
      </c>
      <c r="D20" s="26" t="s">
        <v>50</v>
      </c>
      <c r="E20" s="24">
        <f>PRECIOS!F43</f>
        <v>53.951615999999994</v>
      </c>
      <c r="F20" s="24">
        <f>PRECIOS!G43</f>
        <v>13.146581221651415</v>
      </c>
      <c r="G20" s="27">
        <v>45200</v>
      </c>
      <c r="H20" t="s">
        <v>26</v>
      </c>
    </row>
    <row r="21" spans="1:8" x14ac:dyDescent="0.35">
      <c r="A21" t="s">
        <v>12</v>
      </c>
      <c r="B21" t="s">
        <v>21</v>
      </c>
      <c r="C21" s="25">
        <f>PRECIOS!B44</f>
        <v>51.2</v>
      </c>
      <c r="D21" s="26" t="s">
        <v>51</v>
      </c>
      <c r="E21" s="24">
        <f>PRECIOS!F44</f>
        <v>58.853893106980081</v>
      </c>
      <c r="F21" s="24">
        <f>PRECIOS!G44</f>
        <v>13.146581221651415</v>
      </c>
      <c r="G21" s="27">
        <v>45200</v>
      </c>
      <c r="H2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A7FE-CA1C-43D1-80B4-B36B945002FC}">
  <sheetPr>
    <tabColor rgb="FF002060"/>
  </sheetPr>
  <dimension ref="A2:AC159"/>
  <sheetViews>
    <sheetView showGridLines="0" zoomScale="80" zoomScaleNormal="80" workbookViewId="0">
      <pane xSplit="5" topLeftCell="F1" activePane="topRight" state="frozen"/>
      <selection pane="topRight" activeCell="H15" sqref="H15"/>
    </sheetView>
  </sheetViews>
  <sheetFormatPr defaultColWidth="10.81640625" defaultRowHeight="14.5" x14ac:dyDescent="0.35"/>
  <cols>
    <col min="1" max="1" width="3" style="52" customWidth="1"/>
    <col min="2" max="2" width="14" style="52" customWidth="1"/>
    <col min="3" max="3" width="12.453125" style="52" customWidth="1"/>
    <col min="4" max="4" width="5.54296875" style="52" customWidth="1"/>
    <col min="5" max="5" width="6.54296875" style="53" customWidth="1"/>
    <col min="6" max="6" width="4" customWidth="1"/>
    <col min="7" max="7" width="23.81640625" customWidth="1"/>
    <col min="8" max="8" width="14" customWidth="1"/>
    <col min="9" max="9" width="12" style="54" customWidth="1"/>
    <col min="10" max="10" width="4.81640625" customWidth="1"/>
    <col min="11" max="11" width="17.453125" customWidth="1"/>
    <col min="12" max="12" width="16.453125" customWidth="1"/>
    <col min="13" max="13" width="4.81640625" style="54" customWidth="1"/>
    <col min="14" max="14" width="4.54296875" customWidth="1"/>
    <col min="15" max="15" width="21.453125" style="76" bestFit="1" customWidth="1"/>
    <col min="16" max="16" width="11.453125" style="76"/>
    <col min="17" max="17" width="10.81640625" style="76"/>
    <col min="18" max="18" width="4.54296875" style="54" customWidth="1"/>
    <col min="19" max="19" width="4.54296875" customWidth="1"/>
    <col min="20" max="20" width="22.54296875" style="76" customWidth="1"/>
    <col min="21" max="21" width="14" style="76" customWidth="1"/>
    <col min="22" max="22" width="11.453125" style="76" customWidth="1"/>
    <col min="24" max="24" width="2.81640625" style="76" customWidth="1"/>
    <col min="25" max="25" width="6.1796875" style="76" bestFit="1" customWidth="1"/>
    <col min="26" max="26" width="14.81640625" style="76" customWidth="1"/>
    <col min="27" max="27" width="10.453125" style="76" customWidth="1"/>
    <col min="28" max="28" width="11.453125" style="76"/>
  </cols>
  <sheetData>
    <row r="2" spans="1:29" x14ac:dyDescent="0.35">
      <c r="B2" s="55" t="s">
        <v>52</v>
      </c>
      <c r="G2" s="107" t="s">
        <v>93</v>
      </c>
      <c r="K2" s="1" t="s">
        <v>56</v>
      </c>
      <c r="O2" s="1" t="s">
        <v>53</v>
      </c>
      <c r="T2" s="109" t="s">
        <v>54</v>
      </c>
      <c r="Z2" s="107" t="s">
        <v>97</v>
      </c>
      <c r="AB2" s="125"/>
    </row>
    <row r="3" spans="1:29" ht="15.5" x14ac:dyDescent="0.35">
      <c r="A3" s="56"/>
      <c r="B3" s="56"/>
      <c r="C3" s="56"/>
      <c r="D3" s="56"/>
      <c r="E3" s="57"/>
      <c r="G3" s="1" t="s">
        <v>55</v>
      </c>
      <c r="J3" s="120"/>
      <c r="K3" s="1" t="s">
        <v>94</v>
      </c>
      <c r="R3" s="80"/>
      <c r="T3" s="76" t="s">
        <v>57</v>
      </c>
      <c r="U3" s="95" t="s">
        <v>11</v>
      </c>
      <c r="V3" s="76" t="s">
        <v>58</v>
      </c>
      <c r="Z3" s="107" t="s">
        <v>98</v>
      </c>
      <c r="AA3" s="125" t="s">
        <v>99</v>
      </c>
      <c r="AB3" s="63"/>
    </row>
    <row r="4" spans="1:29" x14ac:dyDescent="0.35">
      <c r="G4" s="121" t="s">
        <v>95</v>
      </c>
      <c r="J4" s="120"/>
      <c r="K4" s="122" t="s">
        <v>95</v>
      </c>
      <c r="O4" s="82" t="s">
        <v>59</v>
      </c>
      <c r="P4" s="81" t="s">
        <v>11</v>
      </c>
      <c r="R4" s="80"/>
      <c r="T4" s="76" t="s">
        <v>60</v>
      </c>
      <c r="U4" s="95" t="s">
        <v>12</v>
      </c>
      <c r="Z4" s="126" t="s">
        <v>100</v>
      </c>
      <c r="AA4" s="127"/>
      <c r="AB4" s="63"/>
    </row>
    <row r="5" spans="1:29" x14ac:dyDescent="0.35">
      <c r="C5" s="58" t="s">
        <v>61</v>
      </c>
      <c r="D5" s="59" t="s">
        <v>62</v>
      </c>
      <c r="G5" s="82" t="s">
        <v>96</v>
      </c>
      <c r="H5" s="68"/>
      <c r="J5" s="123"/>
      <c r="K5" s="124" t="s">
        <v>105</v>
      </c>
      <c r="L5" s="51"/>
      <c r="O5" s="110" t="s">
        <v>63</v>
      </c>
      <c r="P5" s="110" t="s">
        <v>65</v>
      </c>
      <c r="R5" s="80"/>
      <c r="T5" s="96" t="s">
        <v>63</v>
      </c>
      <c r="U5" s="111" t="s">
        <v>108</v>
      </c>
      <c r="Z5" s="82" t="s">
        <v>101</v>
      </c>
      <c r="AA5" s="128"/>
      <c r="AB5" s="63"/>
    </row>
    <row r="6" spans="1:29" ht="31" x14ac:dyDescent="0.35">
      <c r="B6" s="61" t="s">
        <v>66</v>
      </c>
      <c r="C6" s="62">
        <v>2026</v>
      </c>
      <c r="D6" s="62">
        <v>4</v>
      </c>
      <c r="G6" s="110" t="s">
        <v>63</v>
      </c>
      <c r="H6" s="110" t="s">
        <v>28</v>
      </c>
      <c r="J6" s="60"/>
      <c r="K6" s="110" t="s">
        <v>63</v>
      </c>
      <c r="L6" s="110" t="s">
        <v>64</v>
      </c>
      <c r="O6" s="111" t="s">
        <v>108</v>
      </c>
      <c r="P6" s="112">
        <v>485.17557959482116</v>
      </c>
      <c r="Q6" s="76" t="s">
        <v>67</v>
      </c>
      <c r="R6" s="80"/>
      <c r="T6" s="97" t="s">
        <v>68</v>
      </c>
      <c r="U6" s="98">
        <v>30000</v>
      </c>
      <c r="Z6" s="129" t="s">
        <v>63</v>
      </c>
      <c r="AA6" s="129" t="s">
        <v>92</v>
      </c>
      <c r="AB6" s="130" t="s">
        <v>102</v>
      </c>
    </row>
    <row r="7" spans="1:29" x14ac:dyDescent="0.35">
      <c r="G7" s="111" t="s">
        <v>108</v>
      </c>
      <c r="H7" s="113">
        <v>852.5</v>
      </c>
      <c r="I7" s="116"/>
      <c r="K7" s="111" t="s">
        <v>108</v>
      </c>
      <c r="L7" s="113">
        <v>55.272727272727273</v>
      </c>
      <c r="R7" s="80"/>
      <c r="T7" s="96" t="s">
        <v>69</v>
      </c>
      <c r="U7" s="95" t="s">
        <v>70</v>
      </c>
      <c r="Y7" s="131" t="s">
        <v>103</v>
      </c>
      <c r="Z7" s="63" t="s">
        <v>88</v>
      </c>
      <c r="AA7" s="132">
        <v>314.17500000000001</v>
      </c>
      <c r="AB7" s="63"/>
    </row>
    <row r="8" spans="1:29" x14ac:dyDescent="0.35">
      <c r="C8" s="58" t="s">
        <v>71</v>
      </c>
      <c r="D8" s="59" t="s">
        <v>72</v>
      </c>
      <c r="G8" s="67" t="s">
        <v>73</v>
      </c>
      <c r="H8" s="77">
        <f>AVERAGE(H7:H7)</f>
        <v>852.5</v>
      </c>
      <c r="O8" s="83" t="s">
        <v>8</v>
      </c>
      <c r="P8" s="84">
        <v>0.3</v>
      </c>
      <c r="R8" s="80"/>
      <c r="Y8" s="131" t="s">
        <v>104</v>
      </c>
      <c r="Z8" s="133" t="s">
        <v>107</v>
      </c>
      <c r="AA8" s="132">
        <v>324.12200000000001</v>
      </c>
      <c r="AB8" s="134">
        <f>AA8/AA7-1</f>
        <v>3.1660698655208153E-2</v>
      </c>
      <c r="AC8" s="28" t="s">
        <v>106</v>
      </c>
    </row>
    <row r="9" spans="1:29" ht="18.5" x14ac:dyDescent="0.35">
      <c r="C9" s="66" t="str">
        <f>UPPER(C6&amp;"-"&amp;D6)</f>
        <v>2026-4</v>
      </c>
      <c r="D9" s="66">
        <f>D6</f>
        <v>4</v>
      </c>
      <c r="G9" s="69" t="s">
        <v>77</v>
      </c>
      <c r="H9" s="135">
        <f>IF(L7&gt;180,L7+25,161)</f>
        <v>161</v>
      </c>
      <c r="I9" s="65"/>
      <c r="O9" s="83" t="s">
        <v>9</v>
      </c>
      <c r="P9" s="85">
        <f>725*(1+(Inputs!AA$8/Inputs!AA$7-1)*50%)</f>
        <v>736.47700326251288</v>
      </c>
      <c r="Q9" s="76" t="s">
        <v>67</v>
      </c>
      <c r="T9" s="100" t="s">
        <v>74</v>
      </c>
      <c r="U9" s="101">
        <v>1060</v>
      </c>
      <c r="V9" s="100" t="s">
        <v>75</v>
      </c>
    </row>
    <row r="10" spans="1:29" ht="18.5" x14ac:dyDescent="0.35">
      <c r="C10" s="66"/>
      <c r="D10" s="66"/>
      <c r="G10" s="78" t="s">
        <v>4</v>
      </c>
      <c r="H10" s="79">
        <v>35</v>
      </c>
      <c r="I10" s="70"/>
      <c r="O10" s="83" t="s">
        <v>76</v>
      </c>
      <c r="P10" s="86">
        <f>+P6/(1-P8)+P9</f>
        <v>1429.5849741122574</v>
      </c>
      <c r="Q10" s="76" t="s">
        <v>67</v>
      </c>
      <c r="T10" s="100" t="s">
        <v>77</v>
      </c>
      <c r="U10" s="101">
        <v>900</v>
      </c>
      <c r="V10" s="100" t="s">
        <v>78</v>
      </c>
    </row>
    <row r="11" spans="1:29" ht="18.5" x14ac:dyDescent="0.35">
      <c r="B11" s="55" t="s">
        <v>79</v>
      </c>
      <c r="C11" s="115">
        <f>DATE($C$6,$D$6,1)</f>
        <v>46113</v>
      </c>
      <c r="D11" s="66"/>
      <c r="G11" s="74" t="s">
        <v>84</v>
      </c>
      <c r="H11" s="137">
        <f>+H8+H9+H10</f>
        <v>1048.5</v>
      </c>
      <c r="I11" s="71"/>
      <c r="T11" s="102" t="s">
        <v>80</v>
      </c>
      <c r="U11" s="103">
        <v>26.526800000000001</v>
      </c>
    </row>
    <row r="12" spans="1:29" x14ac:dyDescent="0.35">
      <c r="B12" s="55" t="s">
        <v>81</v>
      </c>
      <c r="C12" s="115">
        <f>IF(ISNUMBER($D$6),EOMONTH(C11,0),0) +
 IF(LEFT($D$6,1)="B",EOMONTH(C11,1),0) +
 IF(LEFT($D$6,1)="Q",EOMONTH(C11,2),0) +
 IF(LEFT($D$6,1)="S",EOMONTH(C11,5),0)</f>
        <v>46142</v>
      </c>
      <c r="I12" s="71"/>
      <c r="O12" s="93" t="s">
        <v>82</v>
      </c>
      <c r="P12" s="86">
        <f>+SUMPRODUCT(P10:Q10,P16:Q16)</f>
        <v>1429.5849741122574</v>
      </c>
      <c r="Q12" s="76" t="s">
        <v>67</v>
      </c>
      <c r="T12" s="105" t="s">
        <v>83</v>
      </c>
      <c r="U12" s="106">
        <v>0</v>
      </c>
      <c r="V12" s="104"/>
    </row>
    <row r="13" spans="1:29" x14ac:dyDescent="0.35">
      <c r="G13" s="117" t="s">
        <v>89</v>
      </c>
      <c r="H13" s="118">
        <v>5.0000000000000001E-3</v>
      </c>
      <c r="I13" s="72"/>
      <c r="T13" s="107" t="s">
        <v>85</v>
      </c>
      <c r="U13" s="108">
        <v>1986.5268000000001</v>
      </c>
      <c r="V13" s="99" t="s">
        <v>86</v>
      </c>
    </row>
    <row r="14" spans="1:29" x14ac:dyDescent="0.35">
      <c r="I14" s="73"/>
      <c r="O14" s="28"/>
      <c r="P14" s="63" t="s">
        <v>87</v>
      </c>
    </row>
    <row r="15" spans="1:29" x14ac:dyDescent="0.35">
      <c r="I15" s="114"/>
      <c r="O15" s="29" t="s">
        <v>13</v>
      </c>
      <c r="P15" s="94">
        <f>+P6</f>
        <v>485.17557959482116</v>
      </c>
      <c r="T15" s="64"/>
      <c r="U15" s="64"/>
      <c r="V15" s="104"/>
    </row>
    <row r="16" spans="1:29" x14ac:dyDescent="0.35">
      <c r="I16" s="114"/>
      <c r="O16" s="29" t="s">
        <v>14</v>
      </c>
      <c r="P16" s="17">
        <f>1-Q16</f>
        <v>1</v>
      </c>
      <c r="T16" s="64"/>
      <c r="U16" s="64"/>
      <c r="V16" s="64"/>
    </row>
    <row r="17" spans="9:21" x14ac:dyDescent="0.35">
      <c r="I17" s="114"/>
      <c r="T17" s="64"/>
      <c r="U17" s="64"/>
    </row>
    <row r="18" spans="9:21" ht="29" x14ac:dyDescent="0.35">
      <c r="O18" s="117" t="s">
        <v>89</v>
      </c>
      <c r="P18" s="118">
        <v>5.0000000000000001E-3</v>
      </c>
      <c r="Q18" s="64"/>
      <c r="T18" s="64"/>
      <c r="U18" s="64"/>
    </row>
    <row r="20" spans="9:21" x14ac:dyDescent="0.35">
      <c r="O20" s="87"/>
      <c r="P20" s="87"/>
      <c r="Q20" s="87"/>
    </row>
    <row r="21" spans="9:21" x14ac:dyDescent="0.35">
      <c r="O21" s="88"/>
      <c r="P21" s="88"/>
      <c r="Q21" s="88"/>
    </row>
    <row r="22" spans="9:21" x14ac:dyDescent="0.35">
      <c r="O22" s="89"/>
      <c r="P22" s="89"/>
      <c r="Q22" s="89"/>
    </row>
    <row r="26" spans="9:21" x14ac:dyDescent="0.35">
      <c r="O26" s="90"/>
      <c r="P26" s="90"/>
      <c r="Q26" s="90"/>
    </row>
    <row r="27" spans="9:21" x14ac:dyDescent="0.35">
      <c r="O27" s="91"/>
      <c r="P27" s="91"/>
      <c r="Q27" s="91"/>
    </row>
    <row r="28" spans="9:21" x14ac:dyDescent="0.35">
      <c r="O28" s="92"/>
      <c r="P28" s="92"/>
      <c r="Q28" s="92"/>
    </row>
    <row r="29" spans="9:21" x14ac:dyDescent="0.35">
      <c r="O29" s="91"/>
      <c r="P29" s="91"/>
      <c r="Q29" s="91"/>
    </row>
    <row r="150" spans="10:12" x14ac:dyDescent="0.35">
      <c r="K150" s="75"/>
      <c r="L150" s="75"/>
    </row>
    <row r="151" spans="10:12" x14ac:dyDescent="0.35">
      <c r="K151" s="75"/>
      <c r="L151" s="75"/>
    </row>
    <row r="152" spans="10:12" x14ac:dyDescent="0.35">
      <c r="J152" s="75"/>
      <c r="K152" s="75"/>
      <c r="L152" s="75"/>
    </row>
    <row r="153" spans="10:12" x14ac:dyDescent="0.35">
      <c r="J153" s="75"/>
      <c r="K153" s="75"/>
      <c r="L153" s="75"/>
    </row>
    <row r="154" spans="10:12" x14ac:dyDescent="0.35">
      <c r="J154" s="75"/>
      <c r="K154" s="75"/>
      <c r="L154" s="75"/>
    </row>
    <row r="155" spans="10:12" x14ac:dyDescent="0.35">
      <c r="J155" s="75"/>
      <c r="K155" s="75"/>
      <c r="L155" s="75"/>
    </row>
    <row r="156" spans="10:12" x14ac:dyDescent="0.35">
      <c r="J156" s="75"/>
      <c r="K156" s="75"/>
      <c r="L156" s="75"/>
    </row>
    <row r="157" spans="10:12" x14ac:dyDescent="0.35">
      <c r="J157" s="75"/>
      <c r="K157" s="75"/>
      <c r="L157" s="75"/>
    </row>
    <row r="158" spans="10:12" x14ac:dyDescent="0.35">
      <c r="J158" s="75"/>
    </row>
    <row r="159" spans="10:12" x14ac:dyDescent="0.35">
      <c r="J159" s="75"/>
    </row>
  </sheetData>
  <dataValidations count="1">
    <dataValidation type="list" allowBlank="1" showInputMessage="1" showErrorMessage="1" sqref="D6" xr:uid="{968E2761-B9AF-4545-B239-0CAF3CF4E76F}">
      <formula1>"1,2,3,4,5,6,7,8,9,10,11,12"</formula1>
    </dataValidation>
  </dataValidations>
  <hyperlinks>
    <hyperlink ref="AA3" r:id="rId1" xr:uid="{B5BED8DD-B35F-4F8C-A076-FCA3174EBA7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2884-74DE-4823-95A0-E738EEDDD406}">
  <dimension ref="F6:I11"/>
  <sheetViews>
    <sheetView tabSelected="1" workbookViewId="0">
      <selection activeCell="I13" sqref="I13"/>
    </sheetView>
  </sheetViews>
  <sheetFormatPr defaultRowHeight="14.5" x14ac:dyDescent="0.35"/>
  <cols>
    <col min="6" max="6" width="17.26953125" bestFit="1" customWidth="1"/>
    <col min="7" max="7" width="17.08984375" bestFit="1" customWidth="1"/>
    <col min="9" max="9" width="22.6328125" bestFit="1" customWidth="1"/>
  </cols>
  <sheetData>
    <row r="6" spans="6:9" x14ac:dyDescent="0.35">
      <c r="F6" t="s">
        <v>109</v>
      </c>
      <c r="G6" t="s">
        <v>73</v>
      </c>
      <c r="H6">
        <v>852.5</v>
      </c>
      <c r="I6" s="141" t="s">
        <v>113</v>
      </c>
    </row>
    <row r="7" spans="6:9" x14ac:dyDescent="0.35">
      <c r="F7" t="s">
        <v>110</v>
      </c>
      <c r="G7" t="s">
        <v>77</v>
      </c>
      <c r="H7">
        <v>161</v>
      </c>
      <c r="I7" s="141" t="s">
        <v>114</v>
      </c>
    </row>
    <row r="8" spans="6:9" x14ac:dyDescent="0.35">
      <c r="F8" t="s">
        <v>111</v>
      </c>
      <c r="G8" t="s">
        <v>115</v>
      </c>
      <c r="H8">
        <v>0</v>
      </c>
    </row>
    <row r="9" spans="6:9" x14ac:dyDescent="0.35">
      <c r="G9" t="s">
        <v>116</v>
      </c>
      <c r="H9">
        <f>(H7+H6)*(1+H8)</f>
        <v>1013.5</v>
      </c>
    </row>
    <row r="10" spans="6:9" x14ac:dyDescent="0.35">
      <c r="F10" t="s">
        <v>112</v>
      </c>
      <c r="G10" t="s">
        <v>4</v>
      </c>
      <c r="H10">
        <v>35</v>
      </c>
    </row>
    <row r="11" spans="6:9" x14ac:dyDescent="0.35">
      <c r="G11" s="1" t="s">
        <v>84</v>
      </c>
      <c r="H11" s="1">
        <f>H9+H10</f>
        <v>1048.5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0674FA40451B48844B0F762B2577E0" ma:contentTypeVersion="11" ma:contentTypeDescription="Crear nuevo documento." ma:contentTypeScope="" ma:versionID="908e26021aabdeaf1c635798e9c267a4">
  <xsd:schema xmlns:xsd="http://www.w3.org/2001/XMLSchema" xmlns:xs="http://www.w3.org/2001/XMLSchema" xmlns:p="http://schemas.microsoft.com/office/2006/metadata/properties" xmlns:ns2="ec0f8c29-d384-43e4-af7a-7087ba759c33" xmlns:ns3="1ffc9efa-4fd2-4b43-b099-382498c4b061" targetNamespace="http://schemas.microsoft.com/office/2006/metadata/properties" ma:root="true" ma:fieldsID="135afefcb278bd344ccb8b9751303dc7" ns2:_="" ns3:_="">
    <xsd:import namespace="ec0f8c29-d384-43e4-af7a-7087ba759c33"/>
    <xsd:import namespace="1ffc9efa-4fd2-4b43-b099-382498c4b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8c29-d384-43e4-af7a-7087ba759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6fed87-db61-446d-a8b1-f34d6b92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c9efa-4fd2-4b43-b099-382498c4b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18eed7-6fa0-4d6c-adfe-19757cc7d677}" ma:internalName="TaxCatchAll" ma:showField="CatchAllData" ma:web="1ffc9efa-4fd2-4b43-b099-382498c4b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c9efa-4fd2-4b43-b099-382498c4b061" xsi:nil="true"/>
    <lcf76f155ced4ddcb4097134ff3c332f xmlns="ec0f8c29-d384-43e4-af7a-7087ba759c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3DB283-4E05-40C2-B4FE-2307287C8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f8c29-d384-43e4-af7a-7087ba759c33"/>
    <ds:schemaRef ds:uri="1ffc9efa-4fd2-4b43-b099-382498c4b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30A82-CE62-4C16-BCB0-302EE7757B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C7A07-4A48-4D65-B6E8-448D504EA1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B66E716-0E11-42BF-8777-696313B12CB5}">
  <ds:schemaRefs>
    <ds:schemaRef ds:uri="http://schemas.microsoft.com/office/2006/metadata/properties"/>
    <ds:schemaRef ds:uri="http://schemas.microsoft.com/office/infopath/2007/PartnerControls"/>
    <ds:schemaRef ds:uri="4f1d9c5b-abfc-4583-bc3a-6a9c11b6a5cb"/>
    <ds:schemaRef ds:uri="8b51d238-e526-442e-b128-f5a6f70ec75e"/>
    <ds:schemaRef ds:uri="1ffc9efa-4fd2-4b43-b099-382498c4b061"/>
    <ds:schemaRef ds:uri="ec0f8c29-d384-43e4-af7a-7087ba759c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</vt:lpstr>
      <vt:lpstr>RPET</vt:lpstr>
      <vt:lpstr>PRECIOS</vt:lpstr>
      <vt:lpstr>PreformasBI</vt:lpstr>
      <vt:lpstr>Inputs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</dc:creator>
  <cp:keywords/>
  <dc:description/>
  <cp:lastModifiedBy>Murugan Narendhra Kumar</cp:lastModifiedBy>
  <cp:revision/>
  <dcterms:created xsi:type="dcterms:W3CDTF">2016-11-16T20:12:39Z</dcterms:created>
  <dcterms:modified xsi:type="dcterms:W3CDTF">2026-05-07T10:33:18Z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0x010100DD0674FA40451B48844B0F762B2577E0</vt:lpwstr>
  </property>
  <property fmtid="{D5CDD505-2E9C-101B-9397-08002B2CF9AE}" pid="3" name="MediaServiceImageTags">
    <vt:lpwstr/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2026-05-04T15:21:57Z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08b77c5a-5d87-462a-8a59-0b1fe9fb49a0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10, 3, 0, 1</vt:lpwstr>
  </property>
</Properties>
</file>